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Xin\meridian\金证\gold\"/>
    </mc:Choice>
  </mc:AlternateContent>
  <xr:revisionPtr revIDLastSave="0" documentId="13_ncr:1_{C4E6BF66-EA2C-49AB-AD21-8AE03B57E9A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uT+D损益" sheetId="1" r:id="rId1"/>
    <sheet name="AuT+D对冲AU99.99现货持仓" sheetId="2" r:id="rId2"/>
    <sheet name="上海金vsComex Futu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3" l="1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M22" i="3"/>
  <c r="N22" i="3"/>
  <c r="L22" i="3"/>
  <c r="K23" i="3"/>
  <c r="K25" i="3"/>
  <c r="K22" i="3"/>
  <c r="G21" i="3"/>
  <c r="J21" i="3" s="1"/>
  <c r="G111" i="3"/>
  <c r="H111" i="3" s="1"/>
  <c r="K111" i="3"/>
  <c r="L111" i="3"/>
  <c r="M111" i="3"/>
  <c r="K72" i="3"/>
  <c r="C16" i="2"/>
  <c r="C17" i="2"/>
  <c r="C18" i="2"/>
  <c r="C19" i="2"/>
  <c r="F19" i="2" s="1"/>
  <c r="C20" i="2"/>
  <c r="C21" i="2"/>
  <c r="C22" i="2"/>
  <c r="F23" i="2" s="1"/>
  <c r="C23" i="2"/>
  <c r="C24" i="2"/>
  <c r="C15" i="2"/>
  <c r="B16" i="2"/>
  <c r="B17" i="2"/>
  <c r="E17" i="2" s="1"/>
  <c r="B18" i="2"/>
  <c r="B19" i="2"/>
  <c r="D19" i="2" s="1"/>
  <c r="B20" i="2"/>
  <c r="D20" i="2" s="1"/>
  <c r="B21" i="2"/>
  <c r="D21" i="2" s="1"/>
  <c r="H21" i="2" s="1"/>
  <c r="B22" i="2"/>
  <c r="B23" i="2"/>
  <c r="B24" i="2"/>
  <c r="O24" i="2" s="1"/>
  <c r="B15" i="2"/>
  <c r="B7" i="1"/>
  <c r="B8" i="1"/>
  <c r="M110" i="3"/>
  <c r="L110" i="3"/>
  <c r="K110" i="3"/>
  <c r="G110" i="3"/>
  <c r="J110" i="3" s="1"/>
  <c r="M109" i="3"/>
  <c r="L109" i="3"/>
  <c r="K109" i="3"/>
  <c r="G109" i="3"/>
  <c r="J109" i="3" s="1"/>
  <c r="M108" i="3"/>
  <c r="L108" i="3"/>
  <c r="K108" i="3"/>
  <c r="G108" i="3"/>
  <c r="J108" i="3" s="1"/>
  <c r="M107" i="3"/>
  <c r="L107" i="3"/>
  <c r="K107" i="3"/>
  <c r="G107" i="3"/>
  <c r="H107" i="3" s="1"/>
  <c r="M106" i="3"/>
  <c r="L106" i="3"/>
  <c r="K106" i="3"/>
  <c r="G106" i="3"/>
  <c r="I106" i="3" s="1"/>
  <c r="M105" i="3"/>
  <c r="L105" i="3"/>
  <c r="K105" i="3"/>
  <c r="G105" i="3"/>
  <c r="J105" i="3" s="1"/>
  <c r="M104" i="3"/>
  <c r="L104" i="3"/>
  <c r="K104" i="3"/>
  <c r="G104" i="3"/>
  <c r="J104" i="3" s="1"/>
  <c r="M103" i="3"/>
  <c r="L103" i="3"/>
  <c r="K103" i="3"/>
  <c r="G103" i="3"/>
  <c r="J103" i="3" s="1"/>
  <c r="M102" i="3"/>
  <c r="L102" i="3"/>
  <c r="K102" i="3"/>
  <c r="G102" i="3"/>
  <c r="J102" i="3" s="1"/>
  <c r="M101" i="3"/>
  <c r="L101" i="3"/>
  <c r="K101" i="3"/>
  <c r="G101" i="3"/>
  <c r="J101" i="3" s="1"/>
  <c r="M100" i="3"/>
  <c r="L100" i="3"/>
  <c r="K100" i="3"/>
  <c r="H100" i="3"/>
  <c r="G100" i="3"/>
  <c r="I100" i="3" s="1"/>
  <c r="M99" i="3"/>
  <c r="L99" i="3"/>
  <c r="K99" i="3"/>
  <c r="G99" i="3"/>
  <c r="J99" i="3" s="1"/>
  <c r="M98" i="3"/>
  <c r="L98" i="3"/>
  <c r="K98" i="3"/>
  <c r="G98" i="3"/>
  <c r="J98" i="3" s="1"/>
  <c r="M97" i="3"/>
  <c r="L97" i="3"/>
  <c r="K97" i="3"/>
  <c r="G97" i="3"/>
  <c r="J97" i="3" s="1"/>
  <c r="M96" i="3"/>
  <c r="L96" i="3"/>
  <c r="K96" i="3"/>
  <c r="G96" i="3"/>
  <c r="I96" i="3" s="1"/>
  <c r="M95" i="3"/>
  <c r="L95" i="3"/>
  <c r="K95" i="3"/>
  <c r="G95" i="3"/>
  <c r="I95" i="3" s="1"/>
  <c r="M94" i="3"/>
  <c r="L94" i="3"/>
  <c r="K94" i="3"/>
  <c r="G94" i="3"/>
  <c r="I94" i="3" s="1"/>
  <c r="M93" i="3"/>
  <c r="L93" i="3"/>
  <c r="K93" i="3"/>
  <c r="G93" i="3"/>
  <c r="J93" i="3" s="1"/>
  <c r="M92" i="3"/>
  <c r="L92" i="3"/>
  <c r="K92" i="3"/>
  <c r="G92" i="3"/>
  <c r="I92" i="3" s="1"/>
  <c r="M91" i="3"/>
  <c r="L91" i="3"/>
  <c r="K91" i="3"/>
  <c r="G91" i="3"/>
  <c r="J91" i="3" s="1"/>
  <c r="M90" i="3"/>
  <c r="L90" i="3"/>
  <c r="K90" i="3"/>
  <c r="G90" i="3"/>
  <c r="H90" i="3" s="1"/>
  <c r="M89" i="3"/>
  <c r="L89" i="3"/>
  <c r="K89" i="3"/>
  <c r="G89" i="3"/>
  <c r="J89" i="3" s="1"/>
  <c r="M88" i="3"/>
  <c r="L88" i="3"/>
  <c r="K88" i="3"/>
  <c r="G88" i="3"/>
  <c r="I88" i="3" s="1"/>
  <c r="M87" i="3"/>
  <c r="L87" i="3"/>
  <c r="K87" i="3"/>
  <c r="G87" i="3"/>
  <c r="J87" i="3" s="1"/>
  <c r="M86" i="3"/>
  <c r="L86" i="3"/>
  <c r="K86" i="3"/>
  <c r="G86" i="3"/>
  <c r="H86" i="3" s="1"/>
  <c r="M85" i="3"/>
  <c r="L85" i="3"/>
  <c r="K85" i="3"/>
  <c r="G85" i="3"/>
  <c r="J85" i="3" s="1"/>
  <c r="M84" i="3"/>
  <c r="L84" i="3"/>
  <c r="K84" i="3"/>
  <c r="G84" i="3"/>
  <c r="J84" i="3" s="1"/>
  <c r="M83" i="3"/>
  <c r="L83" i="3"/>
  <c r="K83" i="3"/>
  <c r="G83" i="3"/>
  <c r="I83" i="3" s="1"/>
  <c r="M82" i="3"/>
  <c r="L82" i="3"/>
  <c r="K82" i="3"/>
  <c r="G82" i="3"/>
  <c r="I82" i="3" s="1"/>
  <c r="M81" i="3"/>
  <c r="L81" i="3"/>
  <c r="K81" i="3"/>
  <c r="G81" i="3"/>
  <c r="J81" i="3" s="1"/>
  <c r="M80" i="3"/>
  <c r="L80" i="3"/>
  <c r="K80" i="3"/>
  <c r="G80" i="3"/>
  <c r="J80" i="3" s="1"/>
  <c r="M79" i="3"/>
  <c r="L79" i="3"/>
  <c r="K79" i="3"/>
  <c r="G79" i="3"/>
  <c r="J79" i="3" s="1"/>
  <c r="M78" i="3"/>
  <c r="L78" i="3"/>
  <c r="K78" i="3"/>
  <c r="G78" i="3"/>
  <c r="I78" i="3" s="1"/>
  <c r="M77" i="3"/>
  <c r="L77" i="3"/>
  <c r="K77" i="3"/>
  <c r="G77" i="3"/>
  <c r="H77" i="3" s="1"/>
  <c r="M76" i="3"/>
  <c r="L76" i="3"/>
  <c r="K76" i="3"/>
  <c r="G76" i="3"/>
  <c r="I76" i="3" s="1"/>
  <c r="M75" i="3"/>
  <c r="L75" i="3"/>
  <c r="K75" i="3"/>
  <c r="G75" i="3"/>
  <c r="J75" i="3" s="1"/>
  <c r="M74" i="3"/>
  <c r="L74" i="3"/>
  <c r="K74" i="3"/>
  <c r="G74" i="3"/>
  <c r="H74" i="3" s="1"/>
  <c r="M73" i="3"/>
  <c r="L73" i="3"/>
  <c r="K73" i="3"/>
  <c r="G73" i="3"/>
  <c r="J73" i="3" s="1"/>
  <c r="M72" i="3"/>
  <c r="L72" i="3"/>
  <c r="G72" i="3"/>
  <c r="H72" i="3" s="1"/>
  <c r="M71" i="3"/>
  <c r="L71" i="3"/>
  <c r="K71" i="3"/>
  <c r="G71" i="3"/>
  <c r="I71" i="3" s="1"/>
  <c r="M70" i="3"/>
  <c r="L70" i="3"/>
  <c r="K70" i="3"/>
  <c r="G70" i="3"/>
  <c r="I70" i="3" s="1"/>
  <c r="M69" i="3"/>
  <c r="L69" i="3"/>
  <c r="K69" i="3"/>
  <c r="G69" i="3"/>
  <c r="J69" i="3" s="1"/>
  <c r="M68" i="3"/>
  <c r="L68" i="3"/>
  <c r="K68" i="3"/>
  <c r="G68" i="3"/>
  <c r="H68" i="3" s="1"/>
  <c r="M67" i="3"/>
  <c r="L67" i="3"/>
  <c r="K67" i="3"/>
  <c r="G67" i="3"/>
  <c r="J67" i="3" s="1"/>
  <c r="M66" i="3"/>
  <c r="L66" i="3"/>
  <c r="K66" i="3"/>
  <c r="G66" i="3"/>
  <c r="J66" i="3" s="1"/>
  <c r="M65" i="3"/>
  <c r="L65" i="3"/>
  <c r="K65" i="3"/>
  <c r="J65" i="3"/>
  <c r="G65" i="3"/>
  <c r="H65" i="3" s="1"/>
  <c r="M64" i="3"/>
  <c r="L64" i="3"/>
  <c r="K64" i="3"/>
  <c r="G64" i="3"/>
  <c r="I64" i="3" s="1"/>
  <c r="M63" i="3"/>
  <c r="L63" i="3"/>
  <c r="K63" i="3"/>
  <c r="G63" i="3"/>
  <c r="J63" i="3" s="1"/>
  <c r="M62" i="3"/>
  <c r="L62" i="3"/>
  <c r="K62" i="3"/>
  <c r="G62" i="3"/>
  <c r="J62" i="3" s="1"/>
  <c r="M61" i="3"/>
  <c r="L61" i="3"/>
  <c r="K61" i="3"/>
  <c r="G61" i="3"/>
  <c r="J61" i="3" s="1"/>
  <c r="M60" i="3"/>
  <c r="L60" i="3"/>
  <c r="K60" i="3"/>
  <c r="G60" i="3"/>
  <c r="J60" i="3" s="1"/>
  <c r="M59" i="3"/>
  <c r="L59" i="3"/>
  <c r="K59" i="3"/>
  <c r="G59" i="3"/>
  <c r="H59" i="3" s="1"/>
  <c r="M58" i="3"/>
  <c r="L58" i="3"/>
  <c r="K58" i="3"/>
  <c r="G58" i="3"/>
  <c r="I58" i="3" s="1"/>
  <c r="M57" i="3"/>
  <c r="L57" i="3"/>
  <c r="K57" i="3"/>
  <c r="G57" i="3"/>
  <c r="J57" i="3" s="1"/>
  <c r="M56" i="3"/>
  <c r="L56" i="3"/>
  <c r="K56" i="3"/>
  <c r="G56" i="3"/>
  <c r="J56" i="3" s="1"/>
  <c r="M55" i="3"/>
  <c r="L55" i="3"/>
  <c r="K55" i="3"/>
  <c r="G55" i="3"/>
  <c r="J55" i="3" s="1"/>
  <c r="M54" i="3"/>
  <c r="L54" i="3"/>
  <c r="K54" i="3"/>
  <c r="G54" i="3"/>
  <c r="I54" i="3" s="1"/>
  <c r="M53" i="3"/>
  <c r="L53" i="3"/>
  <c r="K53" i="3"/>
  <c r="G53" i="3"/>
  <c r="I53" i="3" s="1"/>
  <c r="M52" i="3"/>
  <c r="L52" i="3"/>
  <c r="K52" i="3"/>
  <c r="G52" i="3"/>
  <c r="I52" i="3" s="1"/>
  <c r="M51" i="3"/>
  <c r="L51" i="3"/>
  <c r="K51" i="3"/>
  <c r="G51" i="3"/>
  <c r="J51" i="3" s="1"/>
  <c r="M50" i="3"/>
  <c r="L50" i="3"/>
  <c r="K50" i="3"/>
  <c r="G50" i="3"/>
  <c r="J50" i="3" s="1"/>
  <c r="M49" i="3"/>
  <c r="L49" i="3"/>
  <c r="K49" i="3"/>
  <c r="G49" i="3"/>
  <c r="J49" i="3" s="1"/>
  <c r="M48" i="3"/>
  <c r="L48" i="3"/>
  <c r="K48" i="3"/>
  <c r="G48" i="3"/>
  <c r="H48" i="3" s="1"/>
  <c r="M47" i="3"/>
  <c r="L47" i="3"/>
  <c r="K47" i="3"/>
  <c r="G47" i="3"/>
  <c r="J47" i="3" s="1"/>
  <c r="M46" i="3"/>
  <c r="L46" i="3"/>
  <c r="K46" i="3"/>
  <c r="G46" i="3"/>
  <c r="I46" i="3" s="1"/>
  <c r="M45" i="3"/>
  <c r="L45" i="3"/>
  <c r="K45" i="3"/>
  <c r="G45" i="3"/>
  <c r="J45" i="3" s="1"/>
  <c r="M44" i="3"/>
  <c r="L44" i="3"/>
  <c r="K44" i="3"/>
  <c r="J44" i="3"/>
  <c r="G44" i="3"/>
  <c r="H44" i="3" s="1"/>
  <c r="M43" i="3"/>
  <c r="L43" i="3"/>
  <c r="K43" i="3"/>
  <c r="G43" i="3"/>
  <c r="J43" i="3" s="1"/>
  <c r="M42" i="3"/>
  <c r="L42" i="3"/>
  <c r="K42" i="3"/>
  <c r="G42" i="3"/>
  <c r="H42" i="3" s="1"/>
  <c r="M41" i="3"/>
  <c r="L41" i="3"/>
  <c r="K41" i="3"/>
  <c r="G41" i="3"/>
  <c r="H41" i="3" s="1"/>
  <c r="M40" i="3"/>
  <c r="L40" i="3"/>
  <c r="K40" i="3"/>
  <c r="G40" i="3"/>
  <c r="I40" i="3" s="1"/>
  <c r="M39" i="3"/>
  <c r="L39" i="3"/>
  <c r="K39" i="3"/>
  <c r="G39" i="3"/>
  <c r="J39" i="3" s="1"/>
  <c r="M38" i="3"/>
  <c r="L38" i="3"/>
  <c r="K38" i="3"/>
  <c r="G38" i="3"/>
  <c r="H38" i="3" s="1"/>
  <c r="M37" i="3"/>
  <c r="L37" i="3"/>
  <c r="K37" i="3"/>
  <c r="G37" i="3"/>
  <c r="J37" i="3" s="1"/>
  <c r="M36" i="3"/>
  <c r="L36" i="3"/>
  <c r="K36" i="3"/>
  <c r="G36" i="3"/>
  <c r="I36" i="3" s="1"/>
  <c r="M35" i="3"/>
  <c r="L35" i="3"/>
  <c r="K35" i="3"/>
  <c r="G35" i="3"/>
  <c r="I35" i="3" s="1"/>
  <c r="M34" i="3"/>
  <c r="L34" i="3"/>
  <c r="K34" i="3"/>
  <c r="G34" i="3"/>
  <c r="I34" i="3" s="1"/>
  <c r="M33" i="3"/>
  <c r="L33" i="3"/>
  <c r="K33" i="3"/>
  <c r="G33" i="3"/>
  <c r="J33" i="3" s="1"/>
  <c r="M32" i="3"/>
  <c r="L32" i="3"/>
  <c r="K32" i="3"/>
  <c r="G32" i="3"/>
  <c r="H32" i="3" s="1"/>
  <c r="M31" i="3"/>
  <c r="L31" i="3"/>
  <c r="K31" i="3"/>
  <c r="G31" i="3"/>
  <c r="J31" i="3" s="1"/>
  <c r="M30" i="3"/>
  <c r="L30" i="3"/>
  <c r="K30" i="3"/>
  <c r="G30" i="3"/>
  <c r="J30" i="3" s="1"/>
  <c r="M29" i="3"/>
  <c r="L29" i="3"/>
  <c r="K29" i="3"/>
  <c r="G29" i="3"/>
  <c r="H29" i="3" s="1"/>
  <c r="M28" i="3"/>
  <c r="L28" i="3"/>
  <c r="K28" i="3"/>
  <c r="G28" i="3"/>
  <c r="I28" i="3" s="1"/>
  <c r="M27" i="3"/>
  <c r="L27" i="3"/>
  <c r="K27" i="3"/>
  <c r="G27" i="3"/>
  <c r="J27" i="3" s="1"/>
  <c r="M26" i="3"/>
  <c r="L26" i="3"/>
  <c r="K26" i="3"/>
  <c r="G26" i="3"/>
  <c r="J26" i="3" s="1"/>
  <c r="M25" i="3"/>
  <c r="L25" i="3"/>
  <c r="G25" i="3"/>
  <c r="J25" i="3" s="1"/>
  <c r="M24" i="3"/>
  <c r="L24" i="3"/>
  <c r="K24" i="3"/>
  <c r="G24" i="3"/>
  <c r="J24" i="3" s="1"/>
  <c r="M23" i="3"/>
  <c r="L23" i="3"/>
  <c r="G23" i="3"/>
  <c r="J23" i="3" s="1"/>
  <c r="G22" i="3"/>
  <c r="I22" i="3" s="1"/>
  <c r="J20" i="2"/>
  <c r="J21" i="2"/>
  <c r="J23" i="2"/>
  <c r="J16" i="2"/>
  <c r="O16" i="2"/>
  <c r="O17" i="2"/>
  <c r="O18" i="2"/>
  <c r="O19" i="2"/>
  <c r="O20" i="2"/>
  <c r="O21" i="2"/>
  <c r="O22" i="2"/>
  <c r="O23" i="2"/>
  <c r="O15" i="2"/>
  <c r="M15" i="2"/>
  <c r="E23" i="2"/>
  <c r="E24" i="2"/>
  <c r="F18" i="2"/>
  <c r="F21" i="2"/>
  <c r="F24" i="2"/>
  <c r="M24" i="2"/>
  <c r="K24" i="2"/>
  <c r="J24" i="2"/>
  <c r="I24" i="2"/>
  <c r="M23" i="2"/>
  <c r="K23" i="2"/>
  <c r="I23" i="2"/>
  <c r="M22" i="2"/>
  <c r="K22" i="2"/>
  <c r="J22" i="2"/>
  <c r="I22" i="2"/>
  <c r="D22" i="2"/>
  <c r="M21" i="2"/>
  <c r="K21" i="2"/>
  <c r="L21" i="2"/>
  <c r="I21" i="2"/>
  <c r="M20" i="2"/>
  <c r="I20" i="2"/>
  <c r="M19" i="2"/>
  <c r="K19" i="2"/>
  <c r="J19" i="2"/>
  <c r="I19" i="2"/>
  <c r="M18" i="2"/>
  <c r="K18" i="2"/>
  <c r="J18" i="2"/>
  <c r="I18" i="2"/>
  <c r="M17" i="2"/>
  <c r="K17" i="2"/>
  <c r="J17" i="2"/>
  <c r="I17" i="2"/>
  <c r="D17" i="2"/>
  <c r="M16" i="2"/>
  <c r="K16" i="2"/>
  <c r="I16" i="2"/>
  <c r="K15" i="2"/>
  <c r="J15" i="2"/>
  <c r="I15" i="2"/>
  <c r="L25" i="1"/>
  <c r="L19" i="1"/>
  <c r="L18" i="1"/>
  <c r="L23" i="1" s="1"/>
  <c r="L14" i="1"/>
  <c r="L12" i="1"/>
  <c r="L5" i="1"/>
  <c r="L9" i="1"/>
  <c r="L8" i="1"/>
  <c r="L11" i="1"/>
  <c r="L10" i="1"/>
  <c r="H24" i="1"/>
  <c r="B22" i="1"/>
  <c r="F26" i="1"/>
  <c r="E26" i="1"/>
  <c r="G26" i="1" s="1"/>
  <c r="H26" i="1" s="1"/>
  <c r="F25" i="1"/>
  <c r="E25" i="1"/>
  <c r="G25" i="1" s="1"/>
  <c r="H25" i="1" s="1"/>
  <c r="F24" i="1"/>
  <c r="E24" i="1"/>
  <c r="B18" i="1"/>
  <c r="L7" i="1"/>
  <c r="L6" i="1"/>
  <c r="J95" i="3" l="1"/>
  <c r="I68" i="3"/>
  <c r="E19" i="2"/>
  <c r="F17" i="2"/>
  <c r="E20" i="2"/>
  <c r="G20" i="2" s="1"/>
  <c r="J34" i="3"/>
  <c r="D16" i="2"/>
  <c r="H17" i="2" s="1"/>
  <c r="H21" i="3"/>
  <c r="E22" i="2"/>
  <c r="E21" i="2"/>
  <c r="D18" i="2"/>
  <c r="H19" i="2" s="1"/>
  <c r="E18" i="2"/>
  <c r="G18" i="2" s="1"/>
  <c r="E16" i="2"/>
  <c r="L16" i="2"/>
  <c r="I24" i="1"/>
  <c r="F20" i="2"/>
  <c r="I65" i="3"/>
  <c r="I21" i="3"/>
  <c r="H40" i="3"/>
  <c r="I77" i="3"/>
  <c r="H82" i="3"/>
  <c r="H22" i="3"/>
  <c r="J77" i="3"/>
  <c r="J82" i="3"/>
  <c r="H27" i="3"/>
  <c r="H22" i="2"/>
  <c r="J64" i="3"/>
  <c r="I66" i="3"/>
  <c r="F16" i="2"/>
  <c r="F22" i="2"/>
  <c r="G22" i="2" s="1"/>
  <c r="D24" i="2"/>
  <c r="H24" i="2" s="1"/>
  <c r="J72" i="3"/>
  <c r="D23" i="2"/>
  <c r="H23" i="2" s="1"/>
  <c r="G23" i="2"/>
  <c r="H78" i="3"/>
  <c r="J83" i="3"/>
  <c r="H75" i="3"/>
  <c r="J78" i="3"/>
  <c r="I86" i="3"/>
  <c r="H104" i="3"/>
  <c r="J111" i="3"/>
  <c r="I111" i="3"/>
  <c r="I107" i="3"/>
  <c r="I110" i="3"/>
  <c r="H101" i="3"/>
  <c r="J96" i="3"/>
  <c r="I90" i="3"/>
  <c r="J90" i="3"/>
  <c r="H89" i="3"/>
  <c r="I89" i="3"/>
  <c r="J92" i="3"/>
  <c r="H84" i="3"/>
  <c r="J86" i="3"/>
  <c r="I84" i="3"/>
  <c r="H83" i="3"/>
  <c r="H80" i="3"/>
  <c r="I80" i="3"/>
  <c r="J76" i="3"/>
  <c r="I74" i="3"/>
  <c r="J71" i="3"/>
  <c r="I72" i="3"/>
  <c r="J68" i="3"/>
  <c r="H66" i="3"/>
  <c r="I59" i="3"/>
  <c r="J59" i="3"/>
  <c r="H62" i="3"/>
  <c r="I62" i="3"/>
  <c r="H60" i="3"/>
  <c r="I41" i="3"/>
  <c r="J41" i="3"/>
  <c r="J40" i="3"/>
  <c r="J35" i="3"/>
  <c r="H34" i="3"/>
  <c r="J22" i="3"/>
  <c r="H35" i="3"/>
  <c r="H24" i="3"/>
  <c r="H110" i="3"/>
  <c r="J106" i="3"/>
  <c r="H95" i="3"/>
  <c r="I101" i="3"/>
  <c r="J107" i="3"/>
  <c r="H106" i="3"/>
  <c r="H94" i="3"/>
  <c r="H98" i="3"/>
  <c r="J100" i="3"/>
  <c r="H102" i="3"/>
  <c r="I104" i="3"/>
  <c r="H88" i="3"/>
  <c r="H92" i="3"/>
  <c r="J94" i="3"/>
  <c r="H96" i="3"/>
  <c r="I98" i="3"/>
  <c r="I102" i="3"/>
  <c r="J88" i="3"/>
  <c r="H70" i="3"/>
  <c r="J74" i="3"/>
  <c r="J70" i="3"/>
  <c r="I60" i="3"/>
  <c r="H71" i="3"/>
  <c r="J48" i="3"/>
  <c r="I48" i="3"/>
  <c r="I50" i="3"/>
  <c r="J54" i="3"/>
  <c r="H50" i="3"/>
  <c r="H53" i="3"/>
  <c r="H46" i="3"/>
  <c r="J53" i="3"/>
  <c r="J46" i="3"/>
  <c r="I44" i="3"/>
  <c r="H47" i="3"/>
  <c r="I47" i="3"/>
  <c r="H43" i="3"/>
  <c r="J58" i="3"/>
  <c r="H52" i="3"/>
  <c r="H56" i="3"/>
  <c r="J52" i="3"/>
  <c r="H54" i="3"/>
  <c r="I56" i="3"/>
  <c r="I29" i="3"/>
  <c r="H37" i="3"/>
  <c r="H23" i="3"/>
  <c r="J29" i="3"/>
  <c r="H36" i="3"/>
  <c r="I23" i="3"/>
  <c r="I42" i="3"/>
  <c r="H26" i="3"/>
  <c r="J28" i="3"/>
  <c r="H30" i="3"/>
  <c r="I32" i="3"/>
  <c r="J42" i="3"/>
  <c r="H28" i="3"/>
  <c r="I38" i="3"/>
  <c r="I26" i="3"/>
  <c r="I30" i="3"/>
  <c r="J32" i="3"/>
  <c r="J36" i="3"/>
  <c r="J38" i="3"/>
  <c r="I24" i="3"/>
  <c r="H20" i="2"/>
  <c r="D15" i="2"/>
  <c r="L15" i="2"/>
  <c r="N15" i="2" s="1"/>
  <c r="Q21" i="3"/>
  <c r="P21" i="3"/>
  <c r="H33" i="3"/>
  <c r="H39" i="3"/>
  <c r="H45" i="3"/>
  <c r="H51" i="3"/>
  <c r="H57" i="3"/>
  <c r="H63" i="3"/>
  <c r="H69" i="3"/>
  <c r="H81" i="3"/>
  <c r="H87" i="3"/>
  <c r="H93" i="3"/>
  <c r="H99" i="3"/>
  <c r="H105" i="3"/>
  <c r="I27" i="3"/>
  <c r="I33" i="3"/>
  <c r="I39" i="3"/>
  <c r="I45" i="3"/>
  <c r="I51" i="3"/>
  <c r="I57" i="3"/>
  <c r="I63" i="3"/>
  <c r="I69" i="3"/>
  <c r="I75" i="3"/>
  <c r="I81" i="3"/>
  <c r="I87" i="3"/>
  <c r="I93" i="3"/>
  <c r="I99" i="3"/>
  <c r="I105" i="3"/>
  <c r="H58" i="3"/>
  <c r="H64" i="3"/>
  <c r="H76" i="3"/>
  <c r="H108" i="3"/>
  <c r="I108" i="3"/>
  <c r="H49" i="3"/>
  <c r="H55" i="3"/>
  <c r="H61" i="3"/>
  <c r="H67" i="3"/>
  <c r="H73" i="3"/>
  <c r="H79" i="3"/>
  <c r="H85" i="3"/>
  <c r="H91" i="3"/>
  <c r="H97" i="3"/>
  <c r="H103" i="3"/>
  <c r="H109" i="3"/>
  <c r="H31" i="3"/>
  <c r="I25" i="3"/>
  <c r="I31" i="3"/>
  <c r="I37" i="3"/>
  <c r="I43" i="3"/>
  <c r="I49" i="3"/>
  <c r="I55" i="3"/>
  <c r="I61" i="3"/>
  <c r="I67" i="3"/>
  <c r="I73" i="3"/>
  <c r="I79" i="3"/>
  <c r="I85" i="3"/>
  <c r="I91" i="3"/>
  <c r="I97" i="3"/>
  <c r="I103" i="3"/>
  <c r="I109" i="3"/>
  <c r="H25" i="3"/>
  <c r="L20" i="2"/>
  <c r="N20" i="2" s="1"/>
  <c r="L18" i="2"/>
  <c r="L19" i="2"/>
  <c r="G21" i="2"/>
  <c r="N21" i="2" s="1"/>
  <c r="L22" i="2"/>
  <c r="L23" i="2"/>
  <c r="N23" i="2" s="1"/>
  <c r="L17" i="2"/>
  <c r="L24" i="2"/>
  <c r="G19" i="2"/>
  <c r="G17" i="2"/>
  <c r="G24" i="2"/>
  <c r="N24" i="2" s="1"/>
  <c r="B19" i="1"/>
  <c r="G24" i="1"/>
  <c r="I25" i="1"/>
  <c r="L15" i="1" s="1"/>
  <c r="I26" i="1"/>
  <c r="H16" i="2" l="1"/>
  <c r="H18" i="2"/>
  <c r="P111" i="3"/>
  <c r="G16" i="2"/>
  <c r="N16" i="2" s="1"/>
  <c r="N22" i="2"/>
  <c r="Q102" i="3"/>
  <c r="Q111" i="3"/>
  <c r="R111" i="3" s="1"/>
  <c r="N19" i="2"/>
  <c r="Q80" i="3"/>
  <c r="P80" i="3"/>
  <c r="R21" i="3"/>
  <c r="Z21" i="3" s="1"/>
  <c r="P23" i="3"/>
  <c r="Q24" i="3"/>
  <c r="Q36" i="3"/>
  <c r="Q29" i="3"/>
  <c r="Q23" i="3"/>
  <c r="P22" i="3"/>
  <c r="Q22" i="3"/>
  <c r="P24" i="3"/>
  <c r="Q31" i="3"/>
  <c r="P27" i="3"/>
  <c r="N18" i="2"/>
  <c r="L16" i="1"/>
  <c r="L26" i="1" s="1"/>
  <c r="Q75" i="3"/>
  <c r="P99" i="3"/>
  <c r="P107" i="3"/>
  <c r="P29" i="3"/>
  <c r="P66" i="3"/>
  <c r="P62" i="3"/>
  <c r="P101" i="3"/>
  <c r="P78" i="3"/>
  <c r="Q35" i="3"/>
  <c r="Q47" i="3"/>
  <c r="Q56" i="3"/>
  <c r="P105" i="3"/>
  <c r="P94" i="3"/>
  <c r="Q52" i="3"/>
  <c r="P84" i="3"/>
  <c r="Q41" i="3"/>
  <c r="Q49" i="3"/>
  <c r="Q62" i="3"/>
  <c r="P39" i="3"/>
  <c r="Q93" i="3"/>
  <c r="P100" i="3"/>
  <c r="P41" i="3"/>
  <c r="Q83" i="3"/>
  <c r="P90" i="3"/>
  <c r="Q60" i="3"/>
  <c r="Q65" i="3"/>
  <c r="P91" i="3"/>
  <c r="Q55" i="3"/>
  <c r="Q95" i="3"/>
  <c r="P86" i="3"/>
  <c r="Q68" i="3"/>
  <c r="P45" i="3"/>
  <c r="Q27" i="3"/>
  <c r="Q99" i="3"/>
  <c r="P106" i="3"/>
  <c r="Q64" i="3"/>
  <c r="P47" i="3"/>
  <c r="Q103" i="3"/>
  <c r="Q42" i="3"/>
  <c r="Q48" i="3"/>
  <c r="P79" i="3"/>
  <c r="P74" i="3"/>
  <c r="P33" i="3"/>
  <c r="Q87" i="3"/>
  <c r="P35" i="3"/>
  <c r="Q53" i="3"/>
  <c r="Q54" i="3"/>
  <c r="P85" i="3"/>
  <c r="Q77" i="3"/>
  <c r="Q58" i="3"/>
  <c r="P96" i="3"/>
  <c r="Q66" i="3"/>
  <c r="P25" i="3"/>
  <c r="P97" i="3"/>
  <c r="Q61" i="3"/>
  <c r="Q107" i="3"/>
  <c r="P92" i="3"/>
  <c r="Q74" i="3"/>
  <c r="P51" i="3"/>
  <c r="Q33" i="3"/>
  <c r="Q105" i="3"/>
  <c r="Q70" i="3"/>
  <c r="P53" i="3"/>
  <c r="Q44" i="3"/>
  <c r="Q37" i="3"/>
  <c r="Q81" i="3"/>
  <c r="P67" i="3"/>
  <c r="P73" i="3"/>
  <c r="P88" i="3"/>
  <c r="P30" i="3"/>
  <c r="P102" i="3"/>
  <c r="Q72" i="3"/>
  <c r="P31" i="3"/>
  <c r="P103" i="3"/>
  <c r="Q67" i="3"/>
  <c r="P26" i="3"/>
  <c r="P98" i="3"/>
  <c r="P57" i="3"/>
  <c r="Q39" i="3"/>
  <c r="P46" i="3"/>
  <c r="P28" i="3"/>
  <c r="Q76" i="3"/>
  <c r="P59" i="3"/>
  <c r="P36" i="3"/>
  <c r="P108" i="3"/>
  <c r="Q78" i="3"/>
  <c r="P37" i="3"/>
  <c r="P109" i="3"/>
  <c r="Q73" i="3"/>
  <c r="P32" i="3"/>
  <c r="P104" i="3"/>
  <c r="Q86" i="3"/>
  <c r="P63" i="3"/>
  <c r="Q45" i="3"/>
  <c r="P52" i="3"/>
  <c r="P34" i="3"/>
  <c r="Q82" i="3"/>
  <c r="P65" i="3"/>
  <c r="P42" i="3"/>
  <c r="Q71" i="3"/>
  <c r="Q84" i="3"/>
  <c r="P43" i="3"/>
  <c r="Q79" i="3"/>
  <c r="P38" i="3"/>
  <c r="P110" i="3"/>
  <c r="Q92" i="3"/>
  <c r="P69" i="3"/>
  <c r="Q51" i="3"/>
  <c r="P58" i="3"/>
  <c r="P40" i="3"/>
  <c r="Q88" i="3"/>
  <c r="P71" i="3"/>
  <c r="P72" i="3"/>
  <c r="P68" i="3"/>
  <c r="Q46" i="3"/>
  <c r="Q59" i="3"/>
  <c r="P48" i="3"/>
  <c r="Q89" i="3"/>
  <c r="Q90" i="3"/>
  <c r="P49" i="3"/>
  <c r="Q85" i="3"/>
  <c r="P44" i="3"/>
  <c r="Q26" i="3"/>
  <c r="Q98" i="3"/>
  <c r="P75" i="3"/>
  <c r="Q57" i="3"/>
  <c r="P64" i="3"/>
  <c r="Q94" i="3"/>
  <c r="P77" i="3"/>
  <c r="P54" i="3"/>
  <c r="Q96" i="3"/>
  <c r="P55" i="3"/>
  <c r="Q101" i="3"/>
  <c r="Q91" i="3"/>
  <c r="P50" i="3"/>
  <c r="Q32" i="3"/>
  <c r="Q104" i="3"/>
  <c r="P81" i="3"/>
  <c r="Q63" i="3"/>
  <c r="P70" i="3"/>
  <c r="Q28" i="3"/>
  <c r="Q100" i="3"/>
  <c r="P83" i="3"/>
  <c r="P60" i="3"/>
  <c r="Q30" i="3"/>
  <c r="P61" i="3"/>
  <c r="Q25" i="3"/>
  <c r="Q97" i="3"/>
  <c r="P56" i="3"/>
  <c r="Q38" i="3"/>
  <c r="Q110" i="3"/>
  <c r="P87" i="3"/>
  <c r="Q69" i="3"/>
  <c r="P76" i="3"/>
  <c r="Q34" i="3"/>
  <c r="Q106" i="3"/>
  <c r="P89" i="3"/>
  <c r="Q108" i="3"/>
  <c r="U21" i="3"/>
  <c r="T21" i="3"/>
  <c r="X21" i="3"/>
  <c r="P93" i="3"/>
  <c r="P82" i="3"/>
  <c r="Q40" i="3"/>
  <c r="P95" i="3"/>
  <c r="Q109" i="3"/>
  <c r="Q50" i="3"/>
  <c r="Q43" i="3"/>
  <c r="N17" i="2"/>
  <c r="R22" i="3" l="1"/>
  <c r="Z22" i="3" s="1"/>
  <c r="R71" i="3"/>
  <c r="U71" i="3" s="1"/>
  <c r="R52" i="3"/>
  <c r="T52" i="3" s="1"/>
  <c r="R23" i="3"/>
  <c r="X23" i="3" s="1"/>
  <c r="R24" i="3"/>
  <c r="Z24" i="3" s="1"/>
  <c r="R29" i="3"/>
  <c r="Z29" i="3" s="1"/>
  <c r="Z23" i="3"/>
  <c r="R27" i="3"/>
  <c r="Z27" i="3" s="1"/>
  <c r="R36" i="3"/>
  <c r="Z36" i="3" s="1"/>
  <c r="T23" i="3"/>
  <c r="U23" i="3"/>
  <c r="R76" i="3"/>
  <c r="T76" i="3" s="1"/>
  <c r="R55" i="3"/>
  <c r="Z55" i="3" s="1"/>
  <c r="R83" i="3"/>
  <c r="X83" i="3" s="1"/>
  <c r="R47" i="3"/>
  <c r="X47" i="3" s="1"/>
  <c r="R48" i="3"/>
  <c r="Z48" i="3" s="1"/>
  <c r="R56" i="3"/>
  <c r="U56" i="3" s="1"/>
  <c r="R75" i="3"/>
  <c r="U75" i="3" s="1"/>
  <c r="R70" i="3"/>
  <c r="Z70" i="3" s="1"/>
  <c r="R31" i="3"/>
  <c r="Z31" i="3" s="1"/>
  <c r="R49" i="3"/>
  <c r="X49" i="3" s="1"/>
  <c r="R82" i="3"/>
  <c r="X82" i="3" s="1"/>
  <c r="R87" i="3"/>
  <c r="T87" i="3" s="1"/>
  <c r="U87" i="3" s="1"/>
  <c r="Z87" i="3" s="1"/>
  <c r="R107" i="3"/>
  <c r="X107" i="3" s="1"/>
  <c r="R73" i="3"/>
  <c r="Z73" i="3" s="1"/>
  <c r="R99" i="3"/>
  <c r="X99" i="3" s="1"/>
  <c r="R89" i="3"/>
  <c r="X89" i="3" s="1"/>
  <c r="R65" i="3"/>
  <c r="U65" i="3" s="1"/>
  <c r="R44" i="3"/>
  <c r="U44" i="3" s="1"/>
  <c r="R108" i="3"/>
  <c r="T108" i="3" s="1"/>
  <c r="U108" i="3" s="1"/>
  <c r="Z108" i="3" s="1"/>
  <c r="R69" i="3"/>
  <c r="Z69" i="3" s="1"/>
  <c r="R51" i="3"/>
  <c r="X51" i="3" s="1"/>
  <c r="R93" i="3"/>
  <c r="X93" i="3" s="1"/>
  <c r="R38" i="3"/>
  <c r="Z38" i="3" s="1"/>
  <c r="R46" i="3"/>
  <c r="Z46" i="3" s="1"/>
  <c r="R88" i="3"/>
  <c r="X88" i="3" s="1"/>
  <c r="R90" i="3"/>
  <c r="T90" i="3" s="1"/>
  <c r="U90" i="3" s="1"/>
  <c r="Z90" i="3" s="1"/>
  <c r="R104" i="3"/>
  <c r="X104" i="3" s="1"/>
  <c r="R92" i="3"/>
  <c r="X92" i="3" s="1"/>
  <c r="R106" i="3"/>
  <c r="T106" i="3" s="1"/>
  <c r="R68" i="3"/>
  <c r="X68" i="3" s="1"/>
  <c r="R35" i="3"/>
  <c r="T35" i="3" s="1"/>
  <c r="R105" i="3"/>
  <c r="R81" i="3"/>
  <c r="R43" i="3"/>
  <c r="R32" i="3"/>
  <c r="R57" i="3"/>
  <c r="R67" i="3"/>
  <c r="R41" i="3"/>
  <c r="R64" i="3"/>
  <c r="R100" i="3"/>
  <c r="R98" i="3"/>
  <c r="R97" i="3"/>
  <c r="R33" i="3"/>
  <c r="R45" i="3"/>
  <c r="R72" i="3"/>
  <c r="R109" i="3"/>
  <c r="R95" i="3"/>
  <c r="R61" i="3"/>
  <c r="R50" i="3"/>
  <c r="R42" i="3"/>
  <c r="R37" i="3"/>
  <c r="R26" i="3"/>
  <c r="R25" i="3"/>
  <c r="R74" i="3"/>
  <c r="R39" i="3"/>
  <c r="R78" i="3"/>
  <c r="R94" i="3"/>
  <c r="R53" i="3"/>
  <c r="R86" i="3"/>
  <c r="R101" i="3"/>
  <c r="R79" i="3"/>
  <c r="R58" i="3"/>
  <c r="R40" i="3"/>
  <c r="R103" i="3"/>
  <c r="R96" i="3"/>
  <c r="R80" i="3"/>
  <c r="R60" i="3"/>
  <c r="R34" i="3"/>
  <c r="U31" i="3"/>
  <c r="U22" i="3"/>
  <c r="X29" i="3"/>
  <c r="T29" i="3"/>
  <c r="R62" i="3"/>
  <c r="R91" i="3"/>
  <c r="R66" i="3"/>
  <c r="R59" i="3"/>
  <c r="R54" i="3"/>
  <c r="R102" i="3"/>
  <c r="R84" i="3"/>
  <c r="R77" i="3"/>
  <c r="R110" i="3"/>
  <c r="R63" i="3"/>
  <c r="R28" i="3"/>
  <c r="R30" i="3"/>
  <c r="R85" i="3"/>
  <c r="X22" i="3" l="1"/>
  <c r="T22" i="3"/>
  <c r="U29" i="3"/>
  <c r="X71" i="3"/>
  <c r="Z71" i="3"/>
  <c r="T71" i="3"/>
  <c r="U52" i="3"/>
  <c r="X52" i="3"/>
  <c r="T48" i="3"/>
  <c r="X31" i="3"/>
  <c r="Z52" i="3"/>
  <c r="T27" i="3"/>
  <c r="U36" i="3"/>
  <c r="U76" i="3"/>
  <c r="X24" i="3"/>
  <c r="Z76" i="3"/>
  <c r="X36" i="3"/>
  <c r="T24" i="3"/>
  <c r="U24" i="3"/>
  <c r="U48" i="3"/>
  <c r="X48" i="3"/>
  <c r="X75" i="3"/>
  <c r="X27" i="3"/>
  <c r="U38" i="3"/>
  <c r="T31" i="3"/>
  <c r="U27" i="3"/>
  <c r="X76" i="3"/>
  <c r="T36" i="3"/>
  <c r="T38" i="3"/>
  <c r="X38" i="3"/>
  <c r="X70" i="3"/>
  <c r="T70" i="3"/>
  <c r="T55" i="3"/>
  <c r="T44" i="3"/>
  <c r="Z47" i="3"/>
  <c r="X44" i="3"/>
  <c r="Z44" i="3"/>
  <c r="T56" i="3"/>
  <c r="T47" i="3"/>
  <c r="X56" i="3"/>
  <c r="U47" i="3"/>
  <c r="Z56" i="3"/>
  <c r="X35" i="3"/>
  <c r="Z35" i="3"/>
  <c r="U55" i="3"/>
  <c r="T89" i="3"/>
  <c r="U89" i="3" s="1"/>
  <c r="Z89" i="3" s="1"/>
  <c r="U70" i="3"/>
  <c r="T83" i="3"/>
  <c r="U83" i="3" s="1"/>
  <c r="Z83" i="3" s="1"/>
  <c r="Z65" i="3"/>
  <c r="T73" i="3"/>
  <c r="X73" i="3"/>
  <c r="Z75" i="3"/>
  <c r="T99" i="3"/>
  <c r="U99" i="3" s="1"/>
  <c r="Z99" i="3" s="1"/>
  <c r="X108" i="3"/>
  <c r="T75" i="3"/>
  <c r="X55" i="3"/>
  <c r="X87" i="3"/>
  <c r="T82" i="3"/>
  <c r="U82" i="3" s="1"/>
  <c r="Z82" i="3" s="1"/>
  <c r="U51" i="3"/>
  <c r="Z49" i="3"/>
  <c r="X65" i="3"/>
  <c r="U73" i="3"/>
  <c r="U46" i="3"/>
  <c r="T46" i="3"/>
  <c r="X46" i="3"/>
  <c r="T49" i="3"/>
  <c r="U49" i="3"/>
  <c r="T51" i="3"/>
  <c r="U35" i="3"/>
  <c r="X69" i="3"/>
  <c r="U69" i="3"/>
  <c r="T107" i="3"/>
  <c r="U107" i="3" s="1"/>
  <c r="Z107" i="3" s="1"/>
  <c r="X90" i="3"/>
  <c r="Z68" i="3"/>
  <c r="T69" i="3"/>
  <c r="T88" i="3"/>
  <c r="U88" i="3" s="1"/>
  <c r="Z88" i="3" s="1"/>
  <c r="T104" i="3"/>
  <c r="U104" i="3" s="1"/>
  <c r="Z104" i="3" s="1"/>
  <c r="T68" i="3"/>
  <c r="U68" i="3"/>
  <c r="Z51" i="3"/>
  <c r="T93" i="3"/>
  <c r="U93" i="3" s="1"/>
  <c r="Z93" i="3" s="1"/>
  <c r="T65" i="3"/>
  <c r="U106" i="3"/>
  <c r="Z106" i="3" s="1"/>
  <c r="X106" i="3"/>
  <c r="T92" i="3"/>
  <c r="U92" i="3" s="1"/>
  <c r="Z92" i="3" s="1"/>
  <c r="Z64" i="3"/>
  <c r="X64" i="3"/>
  <c r="U64" i="3"/>
  <c r="T64" i="3"/>
  <c r="Z42" i="3"/>
  <c r="X42" i="3"/>
  <c r="U42" i="3"/>
  <c r="T42" i="3"/>
  <c r="Z43" i="3"/>
  <c r="X43" i="3"/>
  <c r="U43" i="3"/>
  <c r="T43" i="3"/>
  <c r="X110" i="3"/>
  <c r="T110" i="3"/>
  <c r="U110" i="3" s="1"/>
  <c r="Z110" i="3" s="1"/>
  <c r="Z50" i="3"/>
  <c r="X50" i="3"/>
  <c r="U50" i="3"/>
  <c r="T50" i="3"/>
  <c r="T40" i="3"/>
  <c r="Z40" i="3"/>
  <c r="X40" i="3"/>
  <c r="U40" i="3"/>
  <c r="Z61" i="3"/>
  <c r="X61" i="3"/>
  <c r="U61" i="3"/>
  <c r="T61" i="3"/>
  <c r="T28" i="3"/>
  <c r="Z28" i="3"/>
  <c r="X28" i="3"/>
  <c r="U28" i="3"/>
  <c r="Z66" i="3"/>
  <c r="X66" i="3"/>
  <c r="U66" i="3"/>
  <c r="T66" i="3"/>
  <c r="Z60" i="3"/>
  <c r="X60" i="3"/>
  <c r="U60" i="3"/>
  <c r="T60" i="3"/>
  <c r="X84" i="3"/>
  <c r="T84" i="3"/>
  <c r="U84" i="3" s="1"/>
  <c r="Z84" i="3" s="1"/>
  <c r="X95" i="3"/>
  <c r="T95" i="3"/>
  <c r="U95" i="3" s="1"/>
  <c r="Z95" i="3" s="1"/>
  <c r="X102" i="3"/>
  <c r="T102" i="3"/>
  <c r="U102" i="3" s="1"/>
  <c r="Z102" i="3" s="1"/>
  <c r="X91" i="3"/>
  <c r="T91" i="3"/>
  <c r="U91" i="3" s="1"/>
  <c r="Z91" i="3" s="1"/>
  <c r="X109" i="3"/>
  <c r="T109" i="3"/>
  <c r="U109" i="3" s="1"/>
  <c r="Z109" i="3" s="1"/>
  <c r="Z41" i="3"/>
  <c r="X41" i="3"/>
  <c r="U41" i="3"/>
  <c r="T41" i="3"/>
  <c r="X85" i="3"/>
  <c r="T85" i="3"/>
  <c r="U85" i="3" s="1"/>
  <c r="Z85" i="3" s="1"/>
  <c r="Z54" i="3"/>
  <c r="X54" i="3"/>
  <c r="U54" i="3"/>
  <c r="T54" i="3"/>
  <c r="T94" i="3"/>
  <c r="U94" i="3" s="1"/>
  <c r="Z94" i="3" s="1"/>
  <c r="X94" i="3"/>
  <c r="Z72" i="3"/>
  <c r="X72" i="3"/>
  <c r="U72" i="3"/>
  <c r="T72" i="3"/>
  <c r="T81" i="3"/>
  <c r="U81" i="3" s="1"/>
  <c r="Z81" i="3" s="1"/>
  <c r="X81" i="3"/>
  <c r="U63" i="3"/>
  <c r="T63" i="3"/>
  <c r="X63" i="3"/>
  <c r="Z63" i="3"/>
  <c r="Z77" i="3"/>
  <c r="X77" i="3"/>
  <c r="U77" i="3"/>
  <c r="T77" i="3"/>
  <c r="Z59" i="3"/>
  <c r="X59" i="3"/>
  <c r="U59" i="3"/>
  <c r="T59" i="3"/>
  <c r="T34" i="3"/>
  <c r="Z34" i="3"/>
  <c r="X34" i="3"/>
  <c r="U34" i="3"/>
  <c r="X101" i="3"/>
  <c r="T101" i="3"/>
  <c r="U101" i="3" s="1"/>
  <c r="Z101" i="3" s="1"/>
  <c r="Z78" i="3"/>
  <c r="X78" i="3"/>
  <c r="U78" i="3"/>
  <c r="T78" i="3"/>
  <c r="U45" i="3"/>
  <c r="T45" i="3"/>
  <c r="X45" i="3"/>
  <c r="Z45" i="3"/>
  <c r="X86" i="3"/>
  <c r="T86" i="3"/>
  <c r="U86" i="3" s="1"/>
  <c r="Z86" i="3" s="1"/>
  <c r="U39" i="3"/>
  <c r="T39" i="3"/>
  <c r="X39" i="3"/>
  <c r="Z39" i="3"/>
  <c r="U33" i="3"/>
  <c r="T33" i="3"/>
  <c r="X33" i="3"/>
  <c r="Z33" i="3"/>
  <c r="Z32" i="3"/>
  <c r="X32" i="3"/>
  <c r="U32" i="3"/>
  <c r="T32" i="3"/>
  <c r="X80" i="3"/>
  <c r="T80" i="3"/>
  <c r="U80" i="3" s="1"/>
  <c r="Z80" i="3" s="1"/>
  <c r="Z58" i="3"/>
  <c r="X58" i="3"/>
  <c r="T58" i="3"/>
  <c r="U58" i="3"/>
  <c r="Z53" i="3"/>
  <c r="X53" i="3"/>
  <c r="U53" i="3"/>
  <c r="T53" i="3"/>
  <c r="Z74" i="3"/>
  <c r="X74" i="3"/>
  <c r="U74" i="3"/>
  <c r="T74" i="3"/>
  <c r="X97" i="3"/>
  <c r="T97" i="3"/>
  <c r="U97" i="3" s="1"/>
  <c r="Z97" i="3" s="1"/>
  <c r="Z62" i="3"/>
  <c r="X62" i="3"/>
  <c r="U62" i="3"/>
  <c r="T62" i="3"/>
  <c r="X96" i="3"/>
  <c r="T96" i="3"/>
  <c r="U96" i="3" s="1"/>
  <c r="Z96" i="3" s="1"/>
  <c r="Z79" i="3"/>
  <c r="X79" i="3"/>
  <c r="U79" i="3"/>
  <c r="T79" i="3"/>
  <c r="X98" i="3"/>
  <c r="T98" i="3"/>
  <c r="U98" i="3" s="1"/>
  <c r="Z98" i="3" s="1"/>
  <c r="Z67" i="3"/>
  <c r="X67" i="3"/>
  <c r="U67" i="3"/>
  <c r="T67" i="3"/>
  <c r="Z37" i="3"/>
  <c r="X37" i="3"/>
  <c r="U37" i="3"/>
  <c r="T37" i="3"/>
  <c r="Z25" i="3"/>
  <c r="X25" i="3"/>
  <c r="U25" i="3"/>
  <c r="T25" i="3"/>
  <c r="Z30" i="3"/>
  <c r="X30" i="3"/>
  <c r="U30" i="3"/>
  <c r="T30" i="3"/>
  <c r="X103" i="3"/>
  <c r="T103" i="3"/>
  <c r="U103" i="3" s="1"/>
  <c r="Z103" i="3" s="1"/>
  <c r="Z26" i="3"/>
  <c r="U26" i="3"/>
  <c r="X26" i="3"/>
  <c r="T26" i="3"/>
  <c r="T100" i="3"/>
  <c r="U100" i="3" s="1"/>
  <c r="Z100" i="3" s="1"/>
  <c r="X100" i="3"/>
  <c r="U57" i="3"/>
  <c r="T57" i="3"/>
  <c r="X57" i="3"/>
  <c r="Z57" i="3"/>
  <c r="T105" i="3"/>
  <c r="U105" i="3" s="1"/>
  <c r="Z105" i="3" s="1"/>
  <c r="X105" i="3"/>
  <c r="L24" i="1" l="1"/>
</calcChain>
</file>

<file path=xl/sharedStrings.xml><?xml version="1.0" encoding="utf-8"?>
<sst xmlns="http://schemas.openxmlformats.org/spreadsheetml/2006/main" count="263" uniqueCount="244">
  <si>
    <t>SGE Au(T+D) P&amp;L Attribution (Single Sheet, Gross Long/Short) — CNY</t>
  </si>
  <si>
    <t>Parameter</t>
  </si>
  <si>
    <t>Value</t>
  </si>
  <si>
    <t>Notes</t>
  </si>
  <si>
    <t>Item</t>
  </si>
  <si>
    <t>Amount (CNY)</t>
  </si>
  <si>
    <t>Meaning</t>
  </si>
  <si>
    <t>e.g., 2025-12-27</t>
  </si>
  <si>
    <t>Prior net lots (gross long - gross short)</t>
  </si>
  <si>
    <t>Au(T+D) = 1 kg/lot = 1000 g</t>
  </si>
  <si>
    <t>buys today (lots)</t>
  </si>
  <si>
    <t>Prior day settlement (元/克)</t>
  </si>
  <si>
    <t>sells today (lots)</t>
  </si>
  <si>
    <t>Today settlement (元/克)</t>
  </si>
  <si>
    <t>Net trade lots (buy - sell)</t>
  </si>
  <si>
    <t>Prior day gross long lots</t>
  </si>
  <si>
    <t>Derived EOD net lots (may differ from statement if gross is used)</t>
  </si>
  <si>
    <t>Prior day gross short lots</t>
  </si>
  <si>
    <t>EOD gross long lots (statement input)</t>
  </si>
  <si>
    <t>Transaction fee rate (万分之二)</t>
  </si>
  <si>
    <t>EOD gross short lots (statement input)</t>
  </si>
  <si>
    <t>Deferred fee rate per calendar day</t>
  </si>
  <si>
    <t>EOD_NetLots_Gross</t>
  </si>
  <si>
    <t>EOD net lots computed from gross inputs</t>
  </si>
  <si>
    <t>多付空</t>
  </si>
  <si>
    <t>Enter: 多付空 or 空付多</t>
  </si>
  <si>
    <t>Calendar days applied (1 normally; 3 on Friday, etc.)</t>
  </si>
  <si>
    <t>Prior net lots MTM from PD settle to CD settle</t>
  </si>
  <si>
    <t>Execution P&amp;L vs CD settlement</t>
  </si>
  <si>
    <t>End-of-day gross long lots (from statement)</t>
  </si>
  <si>
    <t>Total price P&amp;L</t>
  </si>
  <si>
    <t>End-of-day gross short lots (from statement)</t>
  </si>
  <si>
    <t>DirectionSign</t>
  </si>
  <si>
    <t>Computed: 多付空=+1, 空付多=-1</t>
  </si>
  <si>
    <t>Gross long notional at CD settle</t>
  </si>
  <si>
    <t>Gross short notional at CD settle</t>
  </si>
  <si>
    <t>TradeTime</t>
  </si>
  <si>
    <t>Side</t>
  </si>
  <si>
    <t>QtyLots</t>
  </si>
  <si>
    <t>TradePrice_RMB_per_g</t>
  </si>
  <si>
    <t>Unit_g</t>
  </si>
  <si>
    <t>CD_Settle</t>
  </si>
  <si>
    <t>TradeNotional_CNY</t>
  </si>
  <si>
    <t>Fee_CNY</t>
  </si>
  <si>
    <t>ExecPnL_vs_Settle_CNY</t>
  </si>
  <si>
    <t>Gross deferred fee P&amp;L (uses EOD gross long/short, direction sign, rate, daycount)</t>
  </si>
  <si>
    <t>10:05</t>
  </si>
  <si>
    <t>S</t>
  </si>
  <si>
    <t>Residual_vs_Statement</t>
  </si>
  <si>
    <t>Statement total - explained</t>
  </si>
  <si>
    <t>11:20</t>
  </si>
  <si>
    <t>B</t>
  </si>
  <si>
    <t>Transaction fees (negative)</t>
  </si>
  <si>
    <t>13:45</t>
  </si>
  <si>
    <t>Explained total (Price + Deferred + Fees)</t>
  </si>
  <si>
    <t>BuyLots_Today 今日买入</t>
  </si>
  <si>
    <t>SellLots_Today 今日卖出</t>
  </si>
  <si>
    <t>Trade_NetLots 日内净头寸</t>
  </si>
  <si>
    <t>TradeDate 估值日</t>
  </si>
  <si>
    <t>Unit_g_per_lot 交易单位</t>
  </si>
  <si>
    <t>CD_settle_RMB_per_g 今日收盘价/克</t>
  </si>
  <si>
    <t>DeferredDirection 延期补偿费方向</t>
  </si>
  <si>
    <t>DayCount 延期补偿费天数</t>
  </si>
  <si>
    <t>EOD_long_lots_gross 买入总手数</t>
  </si>
  <si>
    <t>EOD_short_lots_gross 卖出总手数</t>
  </si>
  <si>
    <t>PD_settle_RMB_per_g 昨日收盘价/克</t>
  </si>
  <si>
    <t>TradeDate 今日交易</t>
  </si>
  <si>
    <t>Margin Required 保证金比例</t>
  </si>
  <si>
    <t xml:space="preserve"> </t>
  </si>
  <si>
    <t>Margin Required Amt 保证金金额</t>
  </si>
  <si>
    <t>PD_NetLots 上一交易日净持仓</t>
  </si>
  <si>
    <t>EOD_NetLots_Derived 当前净持仓（手）</t>
  </si>
  <si>
    <t>EOD_ShortLots_Gross 卖出总手数</t>
  </si>
  <si>
    <t xml:space="preserve">EOD_LongLots_Gross 买入总手数  </t>
  </si>
  <si>
    <t>PD_long_lots 上一交易日累计买入手数</t>
  </si>
  <si>
    <t>PD_short_lots 上一交易日累计卖出手数</t>
  </si>
  <si>
    <t>Fees_PnL_CNY 日内手续费</t>
  </si>
  <si>
    <t>Trade_ExecPnL_CNY 日内损益</t>
  </si>
  <si>
    <t>Position_MTM_CNY 头寸损益</t>
  </si>
  <si>
    <t>PD_Trade_ExecPnL_CNY 累计日内损益</t>
  </si>
  <si>
    <t>Notional_Long_EOD_CNY 买入总支出</t>
  </si>
  <si>
    <t>Notional_Short_EOD_CNY 卖出总支出</t>
  </si>
  <si>
    <t>DeferredRate_per_day 延期补偿费率</t>
  </si>
  <si>
    <t>FeeRate 手续费率</t>
  </si>
  <si>
    <t>Deferred_PnL_Gross_CNY  延期补偿费</t>
  </si>
  <si>
    <t>Total_Explained_CNY 今日总损益</t>
  </si>
  <si>
    <t>Price_Total_CNY 今日交易损益</t>
  </si>
  <si>
    <t>Au(T+D) + Spot Hedge (Daily P&amp;L Explain) - Spot vs Basis vs Deferred Fee</t>
  </si>
  <si>
    <t>Inputs</t>
  </si>
  <si>
    <t>Name</t>
  </si>
  <si>
    <t>Date</t>
  </si>
  <si>
    <t>SpotQty_g (physical grams, +long) Ag99.99现货持仓（克）</t>
  </si>
  <si>
    <t>TD_Lots (Au(T+D), +long / -short)  Au(T+D)合约</t>
  </si>
  <si>
    <t>TD_Unit_g_per_lot 交易单位</t>
  </si>
  <si>
    <t>Default_DeferredRate_per_day 延期补偿费率</t>
  </si>
  <si>
    <t>Default_DirectionSign (+1=多付空, -1=空付多) 延期补偿费方向</t>
  </si>
  <si>
    <t>Default_DayCount 延期补偿费天数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</si>
  <si>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</si>
  <si>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</si>
  <si>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</si>
  <si>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</si>
  <si>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</si>
  <si>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</si>
  <si>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</si>
  <si>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</si>
  <si>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</si>
  <si>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</si>
  <si>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Default_FeesPnL_CNY_per_day (negative) 其他费用， 资金成本等</t>
  </si>
  <si>
    <t>Fees_PnL_CNY-其他费用</t>
  </si>
  <si>
    <t>DeferredFee_PnL_CNY-延期补偿费</t>
  </si>
  <si>
    <t>DayCount延期补偿费天数</t>
  </si>
  <si>
    <t>DirSign延期补偿费支付方向</t>
  </si>
  <si>
    <t>Basis_CNYg (=Spot-TD)基差</t>
  </si>
  <si>
    <t>AU99.99_MTM_PnL_CNY， AU99.99损益</t>
  </si>
  <si>
    <t>Au(T+D)_MTM_PnL_CNY，  Au(T+D)损益</t>
  </si>
  <si>
    <t>NetPrice_PnL_CNY (=Spot+TD) 对冲后净损益</t>
  </si>
  <si>
    <t>Basis_PnL_CNY (diag) 基差损益分析</t>
  </si>
  <si>
    <t>DeferredRate延期补偿费率</t>
  </si>
  <si>
    <t>Parameters</t>
  </si>
  <si>
    <t>Lookback_N (days)</t>
  </si>
  <si>
    <t>MinEdge_CNYg (must exceed costs)</t>
  </si>
  <si>
    <t>EntryZ</t>
  </si>
  <si>
    <t>ExitZ</t>
  </si>
  <si>
    <t>StopZ</t>
  </si>
  <si>
    <t>MaxAbsPrem_CNYg (regime filter)</t>
  </si>
  <si>
    <t>MaxHoldDays</t>
  </si>
  <si>
    <t>BaseSize_kg</t>
  </si>
  <si>
    <t>MaxSizeMultiple</t>
  </si>
  <si>
    <t>UseFXHedge (1=yes,0=no)</t>
  </si>
  <si>
    <t>g_per_oz</t>
  </si>
  <si>
    <t>GC_oz_per_contract</t>
  </si>
  <si>
    <t>SGE_TD_g_per_lot</t>
  </si>
  <si>
    <t>CostBuffer_CNYg (fees+slip est.)</t>
  </si>
  <si>
    <t>Legend:</t>
  </si>
  <si>
    <t>Premium = SGE - (GC*USDCNY/31.1035). Signals trade premium mean reversion. Not risk-free without import.</t>
  </si>
  <si>
    <t>CME_GC_Settle (USD/oz)</t>
  </si>
  <si>
    <t>USDCNY</t>
  </si>
  <si>
    <t>SGE_AuTD_Settle (CNY/g)</t>
  </si>
  <si>
    <t>SGE_Au9999_Settle (CNY/g)</t>
  </si>
  <si>
    <t>SGE_Au9995_Settle (CNY/g)</t>
  </si>
  <si>
    <t>Prem_9995_CNYg</t>
  </si>
  <si>
    <t>Signal</t>
  </si>
  <si>
    <t>SizeMultiple</t>
  </si>
  <si>
    <t>TradeSize_g</t>
  </si>
  <si>
    <t>TD_Lots</t>
  </si>
  <si>
    <t>GC_Contracts</t>
  </si>
  <si>
    <t>FXHedge_USDNotional</t>
  </si>
  <si>
    <t>EdgeToMean_CNY</t>
  </si>
  <si>
    <t>Go_NoGo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</si>
  <si>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</si>
  <si>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</si>
  <si>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</si>
  <si>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</si>
  <si>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</si>
  <si>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</si>
  <si>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</si>
  <si>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</si>
  <si>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</si>
  <si>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</si>
  <si>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</si>
  <si>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</si>
  <si>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</si>
  <si>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</si>
  <si>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</si>
  <si>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</si>
  <si>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</si>
  <si>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</si>
  <si>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</si>
  <si>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</si>
  <si>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</si>
  <si>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</si>
  <si>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</si>
  <si>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</si>
  <si>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</si>
  <si>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</si>
  <si>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</si>
  <si>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</si>
  <si>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</si>
  <si>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</si>
  <si>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</si>
  <si>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</si>
  <si>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</si>
  <si>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</si>
  <si>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</si>
  <si>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</si>
  <si>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</si>
  <si>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</si>
  <si>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</si>
  <si>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</si>
  <si>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</si>
  <si>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</si>
  <si>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</si>
  <si>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</si>
  <si>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</si>
  <si>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</si>
  <si>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</si>
  <si>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</si>
  <si>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</si>
  <si>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</si>
  <si>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</si>
  <si>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</si>
  <si>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</si>
  <si>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</si>
  <si>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</si>
  <si>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</si>
  <si>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</si>
  <si>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</si>
  <si>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</si>
  <si>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</si>
  <si>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</si>
  <si>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</si>
  <si>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</si>
  <si>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</si>
  <si>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</si>
  <si>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</si>
  <si>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</si>
  <si>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</si>
  <si>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</si>
  <si>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</si>
  <si>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</si>
  <si>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</si>
  <si>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</si>
  <si>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</si>
  <si>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</si>
  <si>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</si>
  <si>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</si>
  <si>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</si>
  <si>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</si>
  <si>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</si>
  <si>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</si>
  <si>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Au(T+D)价格/g</t>
  </si>
  <si>
    <t>AU99.99价格</t>
  </si>
  <si>
    <t>Total_PnL_CNY-今日综合损益</t>
  </si>
  <si>
    <t>Prem_TD_Comex Moving Ave 60日平局变化</t>
  </si>
  <si>
    <t>Prem_TD_SDEV</t>
  </si>
  <si>
    <t>Prem_TD_Zscore</t>
  </si>
  <si>
    <t xml:space="preserve">SGE vs COMEX Relative Value </t>
  </si>
  <si>
    <t>Parity_CNYg (GC*FX/31.1035) Comex 转换人民币/克</t>
  </si>
  <si>
    <t>Prem_TD_CNYg 上海金TD和Comex差值</t>
  </si>
  <si>
    <t>Prem_9999_CNYg，上海金9999和Comex差值</t>
  </si>
  <si>
    <t>Prem_Comex_Gold (Δ prem)期货价格变化（CNY/g）</t>
  </si>
  <si>
    <t>Prem_Comex_FX (Δ prem)汇率价格变化（CNY/g）</t>
  </si>
  <si>
    <t>Prem_SGE_TD_Local (Δ prem))延迟合约价格变化（CNY/g）</t>
  </si>
  <si>
    <t>Prem_SGE_9999_Local (Δ prem)现货价格变化（CNY/g）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</si>
</sst>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"/>
    <numFmt numFmtId="166" formatCode="0.000"/>
    <numFmt numFmtId="167" formatCode="0.0000%"/>
    <numFmt numFmtId="172" formatCode="0.0"/>
  </numFmts>
  <fonts count="6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sz val="11"/>
      <color indexed="8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0" fontId="3" fillId="0" borderId="1" xfId="0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" fontId="0" fillId="3" borderId="1" xfId="0" applyNumberFormat="1" applyFill="1" applyBorder="1"/>
    <xf numFmtId="165" fontId="0" fillId="3" borderId="1" xfId="0" applyNumberFormat="1" applyFill="1" applyBorder="1"/>
    <xf numFmtId="166" fontId="0" fillId="3" borderId="1" xfId="0" applyNumberFormat="1" applyFill="1" applyBorder="1"/>
    <xf numFmtId="0" fontId="2" fillId="2" borderId="1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vertical="center" wrapText="1"/>
    </xf>
    <xf numFmtId="0" fontId="1" fillId="0" borderId="0" xfId="0" applyFont="1"/>
    <xf numFmtId="0" fontId="0" fillId="0" borderId="0" xfId="0"/>
    <xf numFmtId="164" fontId="0" fillId="0" borderId="0" xfId="0" applyNumberFormat="1"/>
    <xf numFmtId="167" fontId="0" fillId="3" borderId="1" xfId="0" applyNumberFormat="1" applyFill="1" applyBorder="1"/>
    <xf numFmtId="4" fontId="0" fillId="0" borderId="1" xfId="0" applyNumberFormat="1" applyBorder="1"/>
    <xf numFmtId="9" fontId="0" fillId="3" borderId="1" xfId="0" applyNumberFormat="1" applyFill="1" applyBorder="1"/>
    <xf numFmtId="4" fontId="0" fillId="0" borderId="0" xfId="0" applyNumberFormat="1"/>
    <xf numFmtId="3" fontId="0" fillId="3" borderId="1" xfId="0" applyNumberFormat="1" applyFill="1" applyBorder="1"/>
    <xf numFmtId="4" fontId="0" fillId="0" borderId="1" xfId="0" applyNumberForma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0" borderId="0" xfId="0" applyFont="1"/>
    <xf numFmtId="0" fontId="2" fillId="2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2" fillId="2" borderId="2" xfId="0" applyFont="1" applyFill="1" applyBorder="1" applyAlignment="1">
      <alignment horizontal="center" vertical="center" wrapText="1"/>
    </xf>
    <xf numFmtId="166" fontId="0" fillId="0" borderId="2" xfId="0" applyNumberFormat="1" applyBorder="1"/>
    <xf numFmtId="2" fontId="0" fillId="0" borderId="2" xfId="0" applyNumberFormat="1" applyBorder="1"/>
    <xf numFmtId="10" fontId="0" fillId="3" borderId="2" xfId="0" applyNumberFormat="1" applyFill="1" applyBorder="1"/>
    <xf numFmtId="4" fontId="4" fillId="0" borderId="3" xfId="0" applyNumberFormat="1" applyFont="1" applyFill="1" applyBorder="1" applyAlignment="1" applyProtection="1">
      <alignment horizontal="center" wrapText="1"/>
    </xf>
    <xf numFmtId="0" fontId="4" fillId="0" borderId="3" xfId="0" applyNumberFormat="1" applyFont="1" applyFill="1" applyBorder="1" applyAlignment="1" applyProtection="1">
      <alignment horizontal="center" wrapText="1"/>
    </xf>
    <xf numFmtId="10" fontId="0" fillId="0" borderId="2" xfId="0" applyNumberFormat="1" applyBorder="1"/>
    <xf numFmtId="0" fontId="2" fillId="4" borderId="2" xfId="0" applyFont="1" applyFill="1" applyBorder="1" applyAlignment="1">
      <alignment horizontal="center" vertical="center" wrapText="1"/>
    </xf>
    <xf numFmtId="1" fontId="0" fillId="3" borderId="2" xfId="0" applyNumberFormat="1" applyFill="1" applyBorder="1"/>
    <xf numFmtId="0" fontId="0" fillId="0" borderId="2" xfId="0" applyBorder="1"/>
    <xf numFmtId="2" fontId="0" fillId="3" borderId="2" xfId="0" applyNumberFormat="1" applyFill="1" applyBorder="1"/>
    <xf numFmtId="172" fontId="0" fillId="3" borderId="2" xfId="0" applyNumberFormat="1" applyFill="1" applyBorder="1"/>
    <xf numFmtId="165" fontId="0" fillId="3" borderId="2" xfId="0" applyNumberFormat="1" applyFill="1" applyBorder="1"/>
    <xf numFmtId="0" fontId="0" fillId="0" borderId="0" xfId="0" applyAlignment="1">
      <alignment wrapText="1"/>
    </xf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1" fontId="0" fillId="0" borderId="2" xfId="0" applyNumberFormat="1" applyBorder="1"/>
    <xf numFmtId="0" fontId="5" fillId="0" borderId="0" xfId="0" applyNumberFormat="1" applyFont="1" applyFill="1" applyBorder="1" applyAlignment="1" applyProtection="1">
      <alignment vertical="center"/>
    </xf>
    <xf numFmtId="4" fontId="5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上金所</a:t>
            </a:r>
            <a:r>
              <a:rPr lang="en-US" altLang="zh-CN"/>
              <a:t>-Comex</a:t>
            </a:r>
            <a:r>
              <a:rPr lang="zh-CN" altLang="en-US"/>
              <a:t>价差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v>SGE-Comex差价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'上海金vsComex Future'!$A$80:$A$111</c:f>
              <c:strCache>
                <c:ptCount val="32"/>
                <c:pt idx="0">
                  <c:v>2025-12-02</c:v>
                </c:pt>
                <c:pt idx="1">
                  <c:v>2025-12-03</c:v>
                </c:pt>
                <c:pt idx="2">
                  <c:v>2025-12-04</c:v>
                </c:pt>
                <c:pt idx="3">
                  <c:v>2025-12-05</c:v>
                </c:pt>
                <c:pt idx="4">
                  <c:v>2025-12-08</c:v>
                </c:pt>
                <c:pt idx="5">
                  <c:v>2025-12-09</c:v>
                </c:pt>
                <c:pt idx="6">
                  <c:v>2025-12-10</c:v>
                </c:pt>
                <c:pt idx="7">
                  <c:v>2025-12-11</c:v>
                </c:pt>
                <c:pt idx="8">
                  <c:v>2025-12-12</c:v>
                </c:pt>
                <c:pt idx="9">
                  <c:v>2025-12-15</c:v>
                </c:pt>
                <c:pt idx="10">
                  <c:v>2025-12-16</c:v>
                </c:pt>
                <c:pt idx="11">
                  <c:v>2025-12-17</c:v>
                </c:pt>
                <c:pt idx="12">
                  <c:v>2025-12-18</c:v>
                </c:pt>
                <c:pt idx="13">
                  <c:v>2025-12-19</c:v>
                </c:pt>
                <c:pt idx="14">
                  <c:v>2025-12-22</c:v>
                </c:pt>
                <c:pt idx="15">
                  <c:v>2025-12-23</c:v>
                </c:pt>
                <c:pt idx="16">
                  <c:v>2025-12-24</c:v>
                </c:pt>
                <c:pt idx="17">
                  <c:v>2025-12-25</c:v>
                </c:pt>
                <c:pt idx="18">
                  <c:v>2025-12-26</c:v>
                </c:pt>
                <c:pt idx="19">
                  <c:v>2025-12-29</c:v>
                </c:pt>
                <c:pt idx="20">
                  <c:v>2025-12-30</c:v>
                </c:pt>
                <c:pt idx="21">
                  <c:v>2025-12-31</c:v>
                </c:pt>
                <c:pt idx="22">
                  <c:v>2026-01-05</c:v>
                </c:pt>
                <c:pt idx="23">
                  <c:v>2026-01-06</c:v>
                </c:pt>
                <c:pt idx="24">
                  <c:v>2026-01-07</c:v>
                </c:pt>
                <c:pt idx="25">
                  <c:v>2026-01-08</c:v>
                </c:pt>
                <c:pt idx="26">
                  <c:v>2026-01-09</c:v>
                </c:pt>
                <c:pt idx="27">
                  <c:v>2026-01-12</c:v>
                </c:pt>
                <c:pt idx="28">
                  <c:v>2026-01-13</c:v>
                </c:pt>
                <c:pt idx="29">
                  <c:v>2026-01-14</c:v>
                </c:pt>
                <c:pt idx="30">
                  <c:v>2026-01-15</c:v>
                </c:pt>
                <c:pt idx="31">
                  <c:v>2026-01-16</c:v>
                </c:pt>
              </c:strCache>
            </c:strRef>
          </c:cat>
          <c:val>
            <c:numRef>
              <c:f>'上海金vsComex Future'!$P$80:$P$111</c:f>
              <c:numCache>
                <c:formatCode>0.000</c:formatCode>
                <c:ptCount val="32"/>
                <c:pt idx="0">
                  <c:v>-10.436192698035049</c:v>
                </c:pt>
                <c:pt idx="1">
                  <c:v>-10.046521902679755</c:v>
                </c:pt>
                <c:pt idx="2">
                  <c:v>-9.8906171465161972</c:v>
                </c:pt>
                <c:pt idx="3">
                  <c:v>-9.6364514899180662</c:v>
                </c:pt>
                <c:pt idx="4">
                  <c:v>-9.4376191746909477</c:v>
                </c:pt>
                <c:pt idx="5">
                  <c:v>-9.40167686916263</c:v>
                </c:pt>
                <c:pt idx="6">
                  <c:v>-9.1089910701367955</c:v>
                </c:pt>
                <c:pt idx="7">
                  <c:v>-9.2761144726477696</c:v>
                </c:pt>
                <c:pt idx="8">
                  <c:v>-9.3193907813161427</c:v>
                </c:pt>
                <c:pt idx="9">
                  <c:v>-9.2388127434747425</c:v>
                </c:pt>
                <c:pt idx="10">
                  <c:v>-9.2482751030162742</c:v>
                </c:pt>
                <c:pt idx="11">
                  <c:v>-9.1620630690008067</c:v>
                </c:pt>
                <c:pt idx="12">
                  <c:v>-9.1014727335080217</c:v>
                </c:pt>
                <c:pt idx="13">
                  <c:v>-9.0944232294329161</c:v>
                </c:pt>
                <c:pt idx="14">
                  <c:v>-9.2868149029316083</c:v>
                </c:pt>
                <c:pt idx="15">
                  <c:v>-9.2214524330059326</c:v>
                </c:pt>
                <c:pt idx="16">
                  <c:v>-8.9087907416635854</c:v>
                </c:pt>
                <c:pt idx="17">
                  <c:v>-8.8307407178184629</c:v>
                </c:pt>
                <c:pt idx="18">
                  <c:v>-8.8616943296842212</c:v>
                </c:pt>
                <c:pt idx="19">
                  <c:v>-8.09763048906607</c:v>
                </c:pt>
                <c:pt idx="20">
                  <c:v>-8.0070385674709676</c:v>
                </c:pt>
                <c:pt idx="21">
                  <c:v>-7.7826481692842702</c:v>
                </c:pt>
                <c:pt idx="22">
                  <c:v>-7.6786275874633612</c:v>
                </c:pt>
                <c:pt idx="23">
                  <c:v>-7.8367582426415066</c:v>
                </c:pt>
                <c:pt idx="24">
                  <c:v>-7.7417910497746805</c:v>
                </c:pt>
                <c:pt idx="25">
                  <c:v>-7.3228343728733671</c:v>
                </c:pt>
                <c:pt idx="26">
                  <c:v>-7.2549955632002874</c:v>
                </c:pt>
                <c:pt idx="27">
                  <c:v>-7.3079761334469371</c:v>
                </c:pt>
                <c:pt idx="28">
                  <c:v>-7.0227193670594472</c:v>
                </c:pt>
                <c:pt idx="29">
                  <c:v>-7.1585679157222426</c:v>
                </c:pt>
                <c:pt idx="30">
                  <c:v>-6.8289724977360553</c:v>
                </c:pt>
                <c:pt idx="31">
                  <c:v>-7.6201235391515389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C5F-4EC1-AD1D-DEA22700D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36864"/>
        <c:axId val="65637824"/>
      </c:barChart>
      <c:lineChart>
        <c:grouping val="standard"/>
        <c:varyColors val="0"/>
        <c:ser>
          <c:idx val="14"/>
          <c:order val="1"/>
          <c:tx>
            <c:v>Z-Score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'上海金vsComex Future'!$A$80:$A$111</c:f>
              <c:strCache>
                <c:ptCount val="32"/>
                <c:pt idx="0">
                  <c:v>2025-12-02</c:v>
                </c:pt>
                <c:pt idx="1">
                  <c:v>2025-12-03</c:v>
                </c:pt>
                <c:pt idx="2">
                  <c:v>2025-12-04</c:v>
                </c:pt>
                <c:pt idx="3">
                  <c:v>2025-12-05</c:v>
                </c:pt>
                <c:pt idx="4">
                  <c:v>2025-12-08</c:v>
                </c:pt>
                <c:pt idx="5">
                  <c:v>2025-12-09</c:v>
                </c:pt>
                <c:pt idx="6">
                  <c:v>2025-12-10</c:v>
                </c:pt>
                <c:pt idx="7">
                  <c:v>2025-12-11</c:v>
                </c:pt>
                <c:pt idx="8">
                  <c:v>2025-12-12</c:v>
                </c:pt>
                <c:pt idx="9">
                  <c:v>2025-12-15</c:v>
                </c:pt>
                <c:pt idx="10">
                  <c:v>2025-12-16</c:v>
                </c:pt>
                <c:pt idx="11">
                  <c:v>2025-12-17</c:v>
                </c:pt>
                <c:pt idx="12">
                  <c:v>2025-12-18</c:v>
                </c:pt>
                <c:pt idx="13">
                  <c:v>2025-12-19</c:v>
                </c:pt>
                <c:pt idx="14">
                  <c:v>2025-12-22</c:v>
                </c:pt>
                <c:pt idx="15">
                  <c:v>2025-12-23</c:v>
                </c:pt>
                <c:pt idx="16">
                  <c:v>2025-12-24</c:v>
                </c:pt>
                <c:pt idx="17">
                  <c:v>2025-12-25</c:v>
                </c:pt>
                <c:pt idx="18">
                  <c:v>2025-12-26</c:v>
                </c:pt>
                <c:pt idx="19">
                  <c:v>2025-12-29</c:v>
                </c:pt>
                <c:pt idx="20">
                  <c:v>2025-12-30</c:v>
                </c:pt>
                <c:pt idx="21">
                  <c:v>2025-12-31</c:v>
                </c:pt>
                <c:pt idx="22">
                  <c:v>2026-01-05</c:v>
                </c:pt>
                <c:pt idx="23">
                  <c:v>2026-01-06</c:v>
                </c:pt>
                <c:pt idx="24">
                  <c:v>2026-01-07</c:v>
                </c:pt>
                <c:pt idx="25">
                  <c:v>2026-01-08</c:v>
                </c:pt>
                <c:pt idx="26">
                  <c:v>2026-01-09</c:v>
                </c:pt>
                <c:pt idx="27">
                  <c:v>2026-01-12</c:v>
                </c:pt>
                <c:pt idx="28">
                  <c:v>2026-01-13</c:v>
                </c:pt>
                <c:pt idx="29">
                  <c:v>2026-01-14</c:v>
                </c:pt>
                <c:pt idx="30">
                  <c:v>2026-01-15</c:v>
                </c:pt>
                <c:pt idx="31">
                  <c:v>2026-01-16</c:v>
                </c:pt>
              </c:strCache>
            </c:strRef>
          </c:cat>
          <c:val>
            <c:numRef>
              <c:f>'上海金vsComex Future'!$R$80:$R$111</c:f>
              <c:numCache>
                <c:formatCode>0.00</c:formatCode>
                <c:ptCount val="32"/>
                <c:pt idx="0">
                  <c:v>0.51246580230351724</c:v>
                </c:pt>
                <c:pt idx="1">
                  <c:v>0.1470967085871894</c:v>
                </c:pt>
                <c:pt idx="2">
                  <c:v>-0.35264454607008311</c:v>
                </c:pt>
                <c:pt idx="3">
                  <c:v>-0.14779596966998101</c:v>
                </c:pt>
                <c:pt idx="4">
                  <c:v>0.3174442059057746</c:v>
                </c:pt>
                <c:pt idx="5">
                  <c:v>-0.3605639995509396</c:v>
                </c:pt>
                <c:pt idx="6">
                  <c:v>0.10403827960676491</c:v>
                </c:pt>
                <c:pt idx="7">
                  <c:v>-1.2094698656453122</c:v>
                </c:pt>
                <c:pt idx="8">
                  <c:v>-0.6045467028727769</c:v>
                </c:pt>
                <c:pt idx="9">
                  <c:v>0.16683299949300884</c:v>
                </c:pt>
                <c:pt idx="10">
                  <c:v>-0.27075682103544696</c:v>
                </c:pt>
                <c:pt idx="11">
                  <c:v>-0.6855565454510596</c:v>
                </c:pt>
                <c:pt idx="12">
                  <c:v>-0.36441020027714743</c:v>
                </c:pt>
                <c:pt idx="13">
                  <c:v>-0.40354580570157833</c:v>
                </c:pt>
                <c:pt idx="14">
                  <c:v>-1.3391993211771243</c:v>
                </c:pt>
                <c:pt idx="15">
                  <c:v>-0.25902747888524486</c:v>
                </c:pt>
                <c:pt idx="16">
                  <c:v>0.19795626075030923</c:v>
                </c:pt>
                <c:pt idx="17">
                  <c:v>-0.71051056127009282</c:v>
                </c:pt>
                <c:pt idx="18">
                  <c:v>-3.9530085894078658E-2</c:v>
                </c:pt>
                <c:pt idx="19">
                  <c:v>3.2460736322847361</c:v>
                </c:pt>
                <c:pt idx="20">
                  <c:v>0.26879121493154545</c:v>
                </c:pt>
                <c:pt idx="21">
                  <c:v>-0.31680422390244173</c:v>
                </c:pt>
                <c:pt idx="22">
                  <c:v>-0.22113767290197456</c:v>
                </c:pt>
                <c:pt idx="23">
                  <c:v>-0.12709691684906008</c:v>
                </c:pt>
                <c:pt idx="24">
                  <c:v>0.37881972401950664</c:v>
                </c:pt>
                <c:pt idx="25">
                  <c:v>0.15179122393428812</c:v>
                </c:pt>
                <c:pt idx="26">
                  <c:v>-0.19365946154341085</c:v>
                </c:pt>
                <c:pt idx="27">
                  <c:v>-0.65952735571945553</c:v>
                </c:pt>
                <c:pt idx="28">
                  <c:v>8.603121754582671E-2</c:v>
                </c:pt>
                <c:pt idx="29">
                  <c:v>0.10515487346482054</c:v>
                </c:pt>
                <c:pt idx="30">
                  <c:v>0.17805699941371059</c:v>
                </c:pt>
                <c:pt idx="31">
                  <c:v>0.88712616864411376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C5F-4EC1-AD1D-DEA22700D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462816"/>
        <c:axId val="564463296"/>
      </c:lineChart>
      <c:catAx>
        <c:axId val="56446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63296"/>
        <c:crosses val="autoZero"/>
        <c:auto val="1"/>
        <c:lblAlgn val="ctr"/>
        <c:lblOffset val="100"/>
        <c:noMultiLvlLbl val="0"/>
      </c:catAx>
      <c:valAx>
        <c:axId val="56446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62816"/>
        <c:crosses val="autoZero"/>
        <c:crossBetween val="between"/>
      </c:valAx>
      <c:valAx>
        <c:axId val="65637824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6864"/>
        <c:crosses val="max"/>
        <c:crossBetween val="between"/>
      </c:valAx>
      <c:catAx>
        <c:axId val="65636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6378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1905000</xdr:colOff>
      <xdr:row>40</xdr:row>
      <xdr:rowOff>89648</xdr:rowOff>
    </xdr:from>
    <xdr:to>
      <xdr:col>8</xdr:col>
      <xdr:colOff>1131794</xdr:colOff>
      <xdr:row>64</xdr:row>
      <xdr:rowOff>33618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162D93-7FE4-3AF2-3BDA-1D81BD3EE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2"/>
  <sheetViews>
    <sheetView workbookViewId="0">
      <pane ySplit="23" topLeftCell="A24" activePane="bottomLeft" state="frozen"/>
      <selection pane="bottomLeft" activeCell="F32" sqref="F32"/>
    </sheetView>
  </sheetViews>
  <sheetFormatPr defaultRowHeight="15"/>
  <cols>
    <col min="1" max="1" width="38.28515625" bestFit="1" customWidth="1"/>
    <col min="2" max="2" width="20" customWidth="1"/>
    <col min="3" max="3" width="46" customWidth="1"/>
    <col min="4" max="4" width="18" customWidth="1"/>
    <col min="5" max="6" width="13" customWidth="1"/>
    <col min="7" max="7" width="18" customWidth="1"/>
    <col min="8" max="8" width="13" customWidth="1"/>
    <col min="9" max="9" width="20" customWidth="1"/>
    <col min="11" max="11" width="39.140625" bestFit="1" customWidth="1"/>
    <col min="12" max="12" width="18" customWidth="1"/>
    <col min="13" max="13" width="40" customWidth="1"/>
  </cols>
  <sheetData>
    <row r="1" spans="1:14" ht="18.7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4" spans="1:14">
      <c r="A4" s="2" t="s">
        <v>1</v>
      </c>
      <c r="B4" s="2" t="s">
        <v>2</v>
      </c>
      <c r="C4" s="2" t="s">
        <v>3</v>
      </c>
      <c r="K4" s="2" t="s">
        <v>4</v>
      </c>
      <c r="L4" s="2" t="s">
        <v>5</v>
      </c>
      <c r="M4" s="2" t="s">
        <v>6</v>
      </c>
    </row>
    <row r="5" spans="1:14">
      <c r="A5" s="3" t="s">
        <v>58</v>
      </c>
      <c r="B5" s="4">
        <v>46038</v>
      </c>
      <c r="C5" s="5" t="s">
        <v>7</v>
      </c>
      <c r="K5" s="6" t="s">
        <v>70</v>
      </c>
      <c r="L5" s="7">
        <f>$B$9-$B$10</f>
        <v>10</v>
      </c>
      <c r="M5" s="8" t="s">
        <v>8</v>
      </c>
    </row>
    <row r="6" spans="1:14">
      <c r="A6" s="3" t="s">
        <v>59</v>
      </c>
      <c r="B6" s="9">
        <v>1000</v>
      </c>
      <c r="C6" s="5" t="s">
        <v>9</v>
      </c>
      <c r="K6" s="6" t="s">
        <v>55</v>
      </c>
      <c r="L6" s="7">
        <f>SUMIF($B$24:$B$222,"B",$C$24:$C$222)+SUMIF($B$24:$B$222,"BUY",$C$24:$C$222)+SUMIF($B$24:$B$222,"买",$C$24:$C$222)</f>
        <v>15</v>
      </c>
      <c r="M6" s="8" t="s">
        <v>10</v>
      </c>
    </row>
    <row r="7" spans="1:14">
      <c r="A7" s="3" t="s">
        <v>65</v>
      </c>
      <c r="B7" s="10">
        <f>'上海金vsComex Future'!D110</f>
        <v>1030.92</v>
      </c>
      <c r="C7" s="5" t="s">
        <v>11</v>
      </c>
      <c r="K7" s="6" t="s">
        <v>56</v>
      </c>
      <c r="L7" s="7">
        <f>SUMIF($B$24:$B$222,"S",$C$24:$C$222)+SUMIF($B$24:$B$222,"SELL",$C$24:$C$222)+SUMIF($B$24:$B$222,"卖",$C$24:$C$222)</f>
        <v>10</v>
      </c>
      <c r="M7" s="8" t="s">
        <v>12</v>
      </c>
    </row>
    <row r="8" spans="1:14">
      <c r="A8" s="3" t="s">
        <v>60</v>
      </c>
      <c r="B8" s="10">
        <f>'上海金vsComex Future'!D111</f>
        <v>1030.6600000000001</v>
      </c>
      <c r="C8" s="5" t="s">
        <v>13</v>
      </c>
      <c r="K8" s="6" t="s">
        <v>57</v>
      </c>
      <c r="L8" s="7">
        <f>L6-L7</f>
        <v>5</v>
      </c>
      <c r="M8" s="8" t="s">
        <v>14</v>
      </c>
    </row>
    <row r="9" spans="1:14">
      <c r="A9" s="3" t="s">
        <v>74</v>
      </c>
      <c r="B9" s="11">
        <v>20</v>
      </c>
      <c r="C9" s="5" t="s">
        <v>15</v>
      </c>
      <c r="K9" s="6" t="s">
        <v>71</v>
      </c>
      <c r="L9" s="7">
        <f>L5+L8</f>
        <v>15</v>
      </c>
      <c r="M9" s="8" t="s">
        <v>16</v>
      </c>
    </row>
    <row r="10" spans="1:14">
      <c r="A10" s="3" t="s">
        <v>75</v>
      </c>
      <c r="B10" s="11">
        <v>10</v>
      </c>
      <c r="C10" s="5" t="s">
        <v>17</v>
      </c>
      <c r="K10" s="6" t="s">
        <v>73</v>
      </c>
      <c r="L10" s="7">
        <f>B9+L6</f>
        <v>35</v>
      </c>
      <c r="M10" s="8" t="s">
        <v>18</v>
      </c>
    </row>
    <row r="11" spans="1:14">
      <c r="A11" s="3" t="s">
        <v>83</v>
      </c>
      <c r="B11" s="20">
        <v>2.0000000000000001E-4</v>
      </c>
      <c r="C11" s="5" t="s">
        <v>19</v>
      </c>
      <c r="K11" s="6" t="s">
        <v>72</v>
      </c>
      <c r="L11" s="7">
        <f>B10+L7</f>
        <v>20</v>
      </c>
      <c r="M11" s="8" t="s">
        <v>20</v>
      </c>
    </row>
    <row r="12" spans="1:14">
      <c r="A12" s="3" t="s">
        <v>82</v>
      </c>
      <c r="B12" s="20">
        <v>1.1E-4</v>
      </c>
      <c r="C12" s="5" t="s">
        <v>21</v>
      </c>
      <c r="K12" s="6" t="s">
        <v>22</v>
      </c>
      <c r="L12" s="7">
        <f>L8+L5</f>
        <v>15</v>
      </c>
      <c r="M12" s="8" t="s">
        <v>23</v>
      </c>
    </row>
    <row r="13" spans="1:14">
      <c r="A13" s="3" t="s">
        <v>61</v>
      </c>
      <c r="B13" s="3" t="s">
        <v>24</v>
      </c>
      <c r="C13" s="5" t="s">
        <v>25</v>
      </c>
      <c r="K13" s="8"/>
      <c r="L13" s="8"/>
      <c r="M13" s="8"/>
    </row>
    <row r="14" spans="1:14">
      <c r="A14" s="3" t="s">
        <v>62</v>
      </c>
      <c r="B14" s="9">
        <v>1</v>
      </c>
      <c r="C14" s="5" t="s">
        <v>26</v>
      </c>
      <c r="K14" s="26" t="s">
        <v>78</v>
      </c>
      <c r="L14" s="25">
        <f>($B$8-$B$7)*L12*$B$6</f>
        <v>-3899.9999999998636</v>
      </c>
      <c r="M14" s="8" t="s">
        <v>27</v>
      </c>
    </row>
    <row r="15" spans="1:14">
      <c r="A15" s="3" t="s">
        <v>67</v>
      </c>
      <c r="B15" s="22">
        <v>0.16</v>
      </c>
      <c r="C15" s="5" t="s">
        <v>68</v>
      </c>
      <c r="K15" s="26" t="s">
        <v>77</v>
      </c>
      <c r="L15" s="25">
        <f>SUM($I$24:$I$222)</f>
        <v>64300.00000000064</v>
      </c>
      <c r="M15" s="8" t="s">
        <v>28</v>
      </c>
    </row>
    <row r="16" spans="1:14">
      <c r="A16" s="3" t="s">
        <v>63</v>
      </c>
      <c r="B16" s="9">
        <v>25</v>
      </c>
      <c r="C16" s="5" t="s">
        <v>29</v>
      </c>
      <c r="K16" s="26" t="s">
        <v>86</v>
      </c>
      <c r="L16" s="25">
        <f>L14+L15+B20</f>
        <v>70400.000000000786</v>
      </c>
      <c r="M16" s="8" t="s">
        <v>30</v>
      </c>
    </row>
    <row r="17" spans="1:13">
      <c r="A17" s="3" t="s">
        <v>64</v>
      </c>
      <c r="B17" s="9">
        <v>10</v>
      </c>
      <c r="C17" s="5" t="s">
        <v>31</v>
      </c>
      <c r="K17" s="8"/>
      <c r="L17" s="25"/>
      <c r="M17" s="8"/>
    </row>
    <row r="18" spans="1:13">
      <c r="A18" s="3" t="s">
        <v>32</v>
      </c>
      <c r="B18" s="9">
        <f>IF($B$13="多付空",1,IF($B$13="空付多",-1,0))</f>
        <v>1</v>
      </c>
      <c r="C18" s="5" t="s">
        <v>33</v>
      </c>
      <c r="K18" s="6" t="s">
        <v>80</v>
      </c>
      <c r="L18" s="25">
        <f>L10*$B$8*$B$6</f>
        <v>36073100.000000007</v>
      </c>
      <c r="M18" s="8" t="s">
        <v>34</v>
      </c>
    </row>
    <row r="19" spans="1:13">
      <c r="A19" s="3" t="s">
        <v>69</v>
      </c>
      <c r="B19" s="24">
        <f>B15*L14</f>
        <v>-623.99999999997817</v>
      </c>
      <c r="K19" s="6" t="s">
        <v>81</v>
      </c>
      <c r="L19" s="25">
        <f>L11*$B$8*$B$6</f>
        <v>20613200</v>
      </c>
      <c r="M19" s="8" t="s">
        <v>35</v>
      </c>
    </row>
    <row r="20" spans="1:13">
      <c r="A20" s="6" t="s">
        <v>79</v>
      </c>
      <c r="B20" s="24">
        <v>10000</v>
      </c>
      <c r="K20" s="6"/>
      <c r="L20" s="7"/>
      <c r="M20" s="8"/>
    </row>
    <row r="21" spans="1:13">
      <c r="K21" s="6"/>
      <c r="L21" s="7"/>
      <c r="M21" s="8"/>
    </row>
    <row r="22" spans="1:13">
      <c r="A22" s="3" t="s">
        <v>66</v>
      </c>
      <c r="B22" s="19">
        <f>B5</f>
        <v>46038</v>
      </c>
      <c r="K22" s="8"/>
      <c r="L22" s="8"/>
      <c r="M22" s="8"/>
    </row>
    <row r="23" spans="1:13" ht="27.95" customHeight="1">
      <c r="A23" s="12" t="s">
        <v>36</v>
      </c>
      <c r="B23" s="12" t="s">
        <v>37</v>
      </c>
      <c r="C23" s="12" t="s">
        <v>38</v>
      </c>
      <c r="D23" s="12" t="s">
        <v>39</v>
      </c>
      <c r="E23" s="12" t="s">
        <v>40</v>
      </c>
      <c r="F23" s="12" t="s">
        <v>41</v>
      </c>
      <c r="G23" s="12" t="s">
        <v>42</v>
      </c>
      <c r="H23" s="12" t="s">
        <v>43</v>
      </c>
      <c r="I23" s="12" t="s">
        <v>44</v>
      </c>
      <c r="K23" s="26" t="s">
        <v>84</v>
      </c>
      <c r="L23" s="7">
        <f>(-$B$18)*L18*$B$12*$B$14 + ($B$18)*L19*$B$12*$B$14</f>
        <v>-1700.5890000000009</v>
      </c>
      <c r="M23" s="8" t="s">
        <v>45</v>
      </c>
    </row>
    <row r="24" spans="1:13">
      <c r="A24" s="5" t="s">
        <v>46</v>
      </c>
      <c r="B24" s="5" t="s">
        <v>47</v>
      </c>
      <c r="C24" s="5">
        <v>10</v>
      </c>
      <c r="D24" s="13">
        <v>1035.8</v>
      </c>
      <c r="E24" s="14">
        <f t="shared" ref="E24:E55" si="0">$B$6</f>
        <v>1000</v>
      </c>
      <c r="F24" s="13">
        <f t="shared" ref="F24:F55" si="1">$B$8</f>
        <v>1030.6600000000001</v>
      </c>
      <c r="G24" s="21">
        <f t="shared" ref="G24:G55" si="2">$C24*$D24*$E24</f>
        <v>10358000</v>
      </c>
      <c r="H24" s="15">
        <f>$G24*$B$11</f>
        <v>2071.6</v>
      </c>
      <c r="I24" s="21">
        <f t="shared" ref="I24:I55" si="3">IF(OR($B24="B",$B24="BUY",$B24="买"),($F24-$D24)*$C24*$E24,IF(OR($B24="S",$B24="SELL",$B24="卖"),($D24-$F24)*$C24*$E24,0))</f>
        <v>51399.999999998727</v>
      </c>
      <c r="K24" s="26" t="s">
        <v>48</v>
      </c>
      <c r="L24" s="7" t="b">
        <f>IF($B$15="",$B$15-L24)</f>
        <v>0</v>
      </c>
      <c r="M24" s="8" t="s">
        <v>49</v>
      </c>
    </row>
    <row r="25" spans="1:13">
      <c r="A25" s="5" t="s">
        <v>50</v>
      </c>
      <c r="B25" s="5" t="s">
        <v>51</v>
      </c>
      <c r="C25" s="5">
        <v>5</v>
      </c>
      <c r="D25" s="13">
        <v>1029.2</v>
      </c>
      <c r="E25" s="14">
        <f t="shared" si="0"/>
        <v>1000</v>
      </c>
      <c r="F25" s="13">
        <f t="shared" si="1"/>
        <v>1030.6600000000001</v>
      </c>
      <c r="G25" s="21">
        <f t="shared" si="2"/>
        <v>5146000</v>
      </c>
      <c r="H25" s="15">
        <f t="shared" ref="H24:H55" si="4">$G25*$B$11</f>
        <v>1029.2</v>
      </c>
      <c r="I25" s="21">
        <f t="shared" si="3"/>
        <v>7300.0000000001819</v>
      </c>
      <c r="K25" s="26" t="s">
        <v>76</v>
      </c>
      <c r="L25" s="7">
        <f>-SUM($H$24:$H$222)</f>
        <v>-5161</v>
      </c>
      <c r="M25" s="8" t="s">
        <v>52</v>
      </c>
    </row>
    <row r="26" spans="1:13">
      <c r="A26" s="5" t="s">
        <v>53</v>
      </c>
      <c r="B26" s="5" t="s">
        <v>51</v>
      </c>
      <c r="C26" s="5">
        <v>10</v>
      </c>
      <c r="D26" s="13">
        <v>1030.0999999999999</v>
      </c>
      <c r="E26" s="14">
        <f t="shared" si="0"/>
        <v>1000</v>
      </c>
      <c r="F26" s="13">
        <f t="shared" si="1"/>
        <v>1030.6600000000001</v>
      </c>
      <c r="G26" s="21">
        <f t="shared" si="2"/>
        <v>10301000</v>
      </c>
      <c r="H26" s="15">
        <f t="shared" si="4"/>
        <v>2060.2000000000003</v>
      </c>
      <c r="I26" s="21">
        <f t="shared" si="3"/>
        <v>5600.000000001728</v>
      </c>
      <c r="K26" s="27" t="s">
        <v>85</v>
      </c>
      <c r="L26" s="25">
        <f>L16+L22+L23</f>
        <v>68699.411000000779</v>
      </c>
      <c r="M26" s="16" t="s">
        <v>54</v>
      </c>
    </row>
    <row r="27" spans="1:13">
      <c r="A27" s="5"/>
      <c r="B27" s="5"/>
      <c r="C27" s="5"/>
      <c r="D27" s="13"/>
      <c r="E27" s="14"/>
      <c r="F27" s="13"/>
      <c r="G27" s="15"/>
      <c r="H27" s="15"/>
      <c r="I27" s="15"/>
    </row>
    <row r="28" spans="1:13">
      <c r="A28" s="5"/>
      <c r="B28" s="5"/>
      <c r="C28" s="5"/>
      <c r="D28" s="13"/>
      <c r="E28" s="14"/>
      <c r="F28" s="13"/>
      <c r="G28" s="15"/>
      <c r="H28" s="15"/>
      <c r="I28" s="15"/>
    </row>
    <row r="29" spans="1:13">
      <c r="A29" s="5"/>
      <c r="B29" s="5"/>
      <c r="C29" s="5"/>
      <c r="D29" s="13"/>
      <c r="E29" s="14"/>
      <c r="F29" s="13"/>
      <c r="G29" s="15"/>
      <c r="H29" s="15"/>
      <c r="I29" s="15"/>
    </row>
    <row r="30" spans="1:13">
      <c r="A30" s="5"/>
      <c r="B30" s="5"/>
      <c r="C30" s="5"/>
      <c r="D30" s="13"/>
      <c r="E30" s="14"/>
      <c r="F30" s="13"/>
      <c r="G30" s="15"/>
      <c r="H30" s="15"/>
      <c r="I30" s="15"/>
    </row>
    <row r="31" spans="1:13">
      <c r="A31" s="5"/>
      <c r="B31" s="5"/>
      <c r="C31" s="5"/>
      <c r="D31" s="13"/>
      <c r="E31" s="14"/>
      <c r="F31" s="13"/>
      <c r="G31" s="15"/>
      <c r="H31" s="15"/>
      <c r="I31" s="15"/>
    </row>
    <row r="32" spans="1:13">
      <c r="A32" s="5"/>
      <c r="B32" s="5"/>
      <c r="C32" s="5"/>
      <c r="D32" s="13"/>
      <c r="E32" s="14"/>
      <c r="F32" s="13"/>
      <c r="G32" s="15"/>
      <c r="H32" s="15"/>
      <c r="I32" s="15"/>
    </row>
    <row r="33" spans="1:9">
      <c r="A33" s="5"/>
      <c r="B33" s="5"/>
      <c r="C33" s="5"/>
      <c r="D33" s="13"/>
      <c r="E33" s="14"/>
      <c r="F33" s="13"/>
      <c r="G33" s="15"/>
      <c r="H33" s="15"/>
      <c r="I33" s="15"/>
    </row>
    <row r="34" spans="1:9">
      <c r="A34" s="5"/>
      <c r="B34" s="5"/>
      <c r="C34" s="5"/>
      <c r="D34" s="13"/>
      <c r="E34" s="14"/>
      <c r="F34" s="13"/>
      <c r="G34" s="15"/>
      <c r="H34" s="15"/>
      <c r="I34" s="15"/>
    </row>
    <row r="35" spans="1:9">
      <c r="A35" s="5"/>
      <c r="B35" s="5"/>
      <c r="C35" s="5"/>
      <c r="D35" s="13"/>
      <c r="E35" s="14"/>
      <c r="F35" s="13"/>
      <c r="G35" s="15"/>
      <c r="H35" s="15"/>
      <c r="I35" s="15"/>
    </row>
    <row r="36" spans="1:9">
      <c r="A36" s="5"/>
      <c r="B36" s="5"/>
      <c r="C36" s="5"/>
      <c r="D36" s="13"/>
      <c r="E36" s="14"/>
      <c r="F36" s="13"/>
      <c r="G36" s="15"/>
      <c r="H36" s="15"/>
      <c r="I36" s="15"/>
    </row>
    <row r="37" spans="1:9">
      <c r="A37" s="5"/>
      <c r="B37" s="5"/>
      <c r="C37" s="5"/>
      <c r="D37" s="13"/>
      <c r="E37" s="14"/>
      <c r="F37" s="13"/>
      <c r="G37" s="15"/>
      <c r="H37" s="15"/>
      <c r="I37" s="15"/>
    </row>
    <row r="38" spans="1:9">
      <c r="A38" s="5"/>
      <c r="B38" s="5"/>
      <c r="C38" s="5"/>
      <c r="D38" s="13"/>
      <c r="E38" s="14"/>
      <c r="F38" s="13"/>
      <c r="G38" s="15"/>
      <c r="H38" s="15"/>
      <c r="I38" s="15"/>
    </row>
    <row r="39" spans="1:9">
      <c r="A39" s="5"/>
      <c r="B39" s="5"/>
      <c r="C39" s="5"/>
      <c r="D39" s="13"/>
      <c r="E39" s="14"/>
      <c r="F39" s="13"/>
      <c r="G39" s="15"/>
      <c r="H39" s="15"/>
      <c r="I39" s="15"/>
    </row>
    <row r="40" spans="1:9">
      <c r="A40" s="5"/>
      <c r="B40" s="5"/>
      <c r="C40" s="5"/>
      <c r="D40" s="13"/>
      <c r="E40" s="14"/>
      <c r="F40" s="13"/>
      <c r="G40" s="15"/>
      <c r="H40" s="15"/>
      <c r="I40" s="15"/>
    </row>
    <row r="41" spans="1:9">
      <c r="A41" s="5"/>
      <c r="B41" s="5"/>
      <c r="C41" s="5"/>
      <c r="D41" s="13"/>
      <c r="E41" s="14"/>
      <c r="F41" s="13"/>
      <c r="G41" s="15"/>
      <c r="H41" s="15"/>
      <c r="I41" s="15"/>
    </row>
    <row r="42" spans="1:9">
      <c r="A42" s="5"/>
      <c r="B42" s="5"/>
      <c r="C42" s="5"/>
      <c r="D42" s="13"/>
      <c r="E42" s="14"/>
      <c r="F42" s="13"/>
      <c r="G42" s="15"/>
      <c r="H42" s="15"/>
      <c r="I42" s="15"/>
    </row>
    <row r="43" spans="1:9">
      <c r="A43" s="5"/>
      <c r="B43" s="5"/>
      <c r="C43" s="5"/>
      <c r="D43" s="13"/>
      <c r="E43" s="14"/>
      <c r="F43" s="13"/>
      <c r="G43" s="15"/>
      <c r="H43" s="15"/>
      <c r="I43" s="15"/>
    </row>
    <row r="44" spans="1:9">
      <c r="A44" s="5"/>
      <c r="B44" s="5"/>
      <c r="C44" s="5"/>
      <c r="D44" s="13"/>
      <c r="E44" s="14"/>
      <c r="F44" s="13"/>
      <c r="G44" s="15"/>
      <c r="H44" s="15"/>
      <c r="I44" s="15"/>
    </row>
    <row r="45" spans="1:9">
      <c r="A45" s="5"/>
      <c r="B45" s="5"/>
      <c r="C45" s="5"/>
      <c r="D45" s="13"/>
      <c r="E45" s="14"/>
      <c r="F45" s="13"/>
      <c r="G45" s="15"/>
      <c r="H45" s="15"/>
      <c r="I45" s="15"/>
    </row>
    <row r="46" spans="1:9">
      <c r="A46" s="5"/>
      <c r="B46" s="5"/>
      <c r="C46" s="5"/>
      <c r="D46" s="13"/>
      <c r="E46" s="14"/>
      <c r="F46" s="13"/>
      <c r="G46" s="15"/>
      <c r="H46" s="15"/>
      <c r="I46" s="15"/>
    </row>
    <row r="47" spans="1:9">
      <c r="A47" s="5"/>
      <c r="B47" s="5"/>
      <c r="C47" s="5"/>
      <c r="D47" s="13"/>
      <c r="E47" s="14"/>
      <c r="F47" s="13"/>
      <c r="G47" s="15"/>
      <c r="H47" s="15"/>
      <c r="I47" s="15"/>
    </row>
    <row r="48" spans="1:9">
      <c r="A48" s="5"/>
      <c r="B48" s="5"/>
      <c r="C48" s="5"/>
      <c r="D48" s="13"/>
      <c r="E48" s="14"/>
      <c r="F48" s="13"/>
      <c r="G48" s="15"/>
      <c r="H48" s="15"/>
      <c r="I48" s="15"/>
    </row>
    <row r="49" spans="1:9">
      <c r="A49" s="5"/>
      <c r="B49" s="5"/>
      <c r="C49" s="5"/>
      <c r="D49" s="13"/>
      <c r="E49" s="14"/>
      <c r="F49" s="13"/>
      <c r="G49" s="15"/>
      <c r="H49" s="15"/>
      <c r="I49" s="15"/>
    </row>
    <row r="50" spans="1:9">
      <c r="A50" s="5"/>
      <c r="B50" s="5"/>
      <c r="C50" s="5"/>
      <c r="D50" s="13"/>
      <c r="E50" s="14"/>
      <c r="F50" s="13"/>
      <c r="G50" s="15"/>
      <c r="H50" s="15"/>
      <c r="I50" s="15"/>
    </row>
    <row r="51" spans="1:9">
      <c r="A51" s="5"/>
      <c r="B51" s="5"/>
      <c r="C51" s="5"/>
      <c r="D51" s="13"/>
      <c r="E51" s="14"/>
      <c r="F51" s="13"/>
      <c r="G51" s="15"/>
      <c r="H51" s="15"/>
      <c r="I51" s="15"/>
    </row>
    <row r="52" spans="1:9">
      <c r="A52" s="5"/>
      <c r="B52" s="5"/>
      <c r="C52" s="5"/>
      <c r="D52" s="13"/>
      <c r="E52" s="14"/>
      <c r="F52" s="13"/>
      <c r="G52" s="15"/>
      <c r="H52" s="15"/>
      <c r="I52" s="15"/>
    </row>
    <row r="53" spans="1:9">
      <c r="A53" s="5"/>
      <c r="B53" s="5"/>
      <c r="C53" s="5"/>
      <c r="D53" s="13"/>
      <c r="E53" s="14"/>
      <c r="F53" s="13"/>
      <c r="G53" s="15"/>
      <c r="H53" s="15"/>
      <c r="I53" s="15"/>
    </row>
    <row r="54" spans="1:9">
      <c r="A54" s="5"/>
      <c r="B54" s="5"/>
      <c r="C54" s="5"/>
      <c r="D54" s="13"/>
      <c r="E54" s="14"/>
      <c r="F54" s="13"/>
      <c r="G54" s="15"/>
      <c r="H54" s="15"/>
      <c r="I54" s="15"/>
    </row>
    <row r="55" spans="1:9">
      <c r="A55" s="5"/>
      <c r="B55" s="5"/>
      <c r="C55" s="5"/>
      <c r="D55" s="13"/>
      <c r="E55" s="14"/>
      <c r="F55" s="13"/>
      <c r="G55" s="15"/>
      <c r="H55" s="15"/>
      <c r="I55" s="15"/>
    </row>
    <row r="56" spans="1:9">
      <c r="A56" s="5"/>
      <c r="B56" s="5"/>
      <c r="C56" s="5"/>
      <c r="D56" s="13"/>
      <c r="E56" s="14"/>
      <c r="F56" s="13"/>
      <c r="G56" s="15"/>
      <c r="H56" s="15"/>
      <c r="I56" s="15"/>
    </row>
    <row r="57" spans="1:9">
      <c r="A57" s="5"/>
      <c r="B57" s="5"/>
      <c r="C57" s="5"/>
      <c r="D57" s="13"/>
      <c r="E57" s="14"/>
      <c r="F57" s="13"/>
      <c r="G57" s="15"/>
      <c r="H57" s="15"/>
      <c r="I57" s="15"/>
    </row>
    <row r="58" spans="1:9">
      <c r="A58" s="5"/>
      <c r="B58" s="5"/>
      <c r="C58" s="5"/>
      <c r="D58" s="13"/>
      <c r="E58" s="14"/>
      <c r="F58" s="13"/>
      <c r="G58" s="15"/>
      <c r="H58" s="15"/>
      <c r="I58" s="15"/>
    </row>
    <row r="59" spans="1:9">
      <c r="A59" s="5"/>
      <c r="B59" s="5"/>
      <c r="C59" s="5"/>
      <c r="D59" s="13"/>
      <c r="E59" s="14"/>
      <c r="F59" s="13"/>
      <c r="G59" s="15"/>
      <c r="H59" s="15"/>
      <c r="I59" s="15"/>
    </row>
    <row r="60" spans="1:9">
      <c r="A60" s="5"/>
      <c r="B60" s="5"/>
      <c r="C60" s="5"/>
      <c r="D60" s="13"/>
      <c r="E60" s="14"/>
      <c r="F60" s="13"/>
      <c r="G60" s="15"/>
      <c r="H60" s="15"/>
      <c r="I60" s="15"/>
    </row>
    <row r="61" spans="1:9">
      <c r="A61" s="5"/>
      <c r="B61" s="5"/>
      <c r="C61" s="5"/>
      <c r="D61" s="13"/>
      <c r="E61" s="14"/>
      <c r="F61" s="13"/>
      <c r="G61" s="15"/>
      <c r="H61" s="15"/>
      <c r="I61" s="15"/>
    </row>
    <row r="62" spans="1:9">
      <c r="A62" s="5"/>
      <c r="B62" s="5"/>
      <c r="C62" s="5"/>
      <c r="D62" s="13"/>
      <c r="E62" s="14"/>
      <c r="F62" s="13"/>
      <c r="G62" s="15"/>
      <c r="H62" s="15"/>
      <c r="I62" s="15"/>
    </row>
    <row r="63" spans="1:9">
      <c r="A63" s="5"/>
      <c r="B63" s="5"/>
      <c r="C63" s="5"/>
      <c r="D63" s="13"/>
      <c r="E63" s="14"/>
      <c r="F63" s="13"/>
      <c r="G63" s="15"/>
      <c r="H63" s="15"/>
      <c r="I63" s="15"/>
    </row>
    <row r="64" spans="1:9">
      <c r="A64" s="5"/>
      <c r="B64" s="5"/>
      <c r="C64" s="5"/>
      <c r="D64" s="13"/>
      <c r="E64" s="14"/>
      <c r="F64" s="13"/>
      <c r="G64" s="15"/>
      <c r="H64" s="15"/>
      <c r="I64" s="15"/>
    </row>
    <row r="65" spans="1:9">
      <c r="A65" s="5"/>
      <c r="B65" s="5"/>
      <c r="C65" s="5"/>
      <c r="D65" s="13"/>
      <c r="E65" s="14"/>
      <c r="F65" s="13"/>
      <c r="G65" s="15"/>
      <c r="H65" s="15"/>
      <c r="I65" s="15"/>
    </row>
    <row r="66" spans="1:9">
      <c r="A66" s="5"/>
      <c r="B66" s="5"/>
      <c r="C66" s="5"/>
      <c r="D66" s="13"/>
      <c r="E66" s="14"/>
      <c r="F66" s="13"/>
      <c r="G66" s="15"/>
      <c r="H66" s="15"/>
      <c r="I66" s="15"/>
    </row>
    <row r="67" spans="1:9">
      <c r="A67" s="5"/>
      <c r="B67" s="5"/>
      <c r="C67" s="5"/>
      <c r="D67" s="13"/>
      <c r="E67" s="14"/>
      <c r="F67" s="13"/>
      <c r="G67" s="15"/>
      <c r="H67" s="15"/>
      <c r="I67" s="15"/>
    </row>
    <row r="68" spans="1:9">
      <c r="A68" s="5"/>
      <c r="B68" s="5"/>
      <c r="C68" s="5"/>
      <c r="D68" s="13"/>
      <c r="E68" s="14"/>
      <c r="F68" s="13"/>
      <c r="G68" s="15"/>
      <c r="H68" s="15"/>
      <c r="I68" s="15"/>
    </row>
    <row r="69" spans="1:9">
      <c r="A69" s="5"/>
      <c r="B69" s="5"/>
      <c r="C69" s="5"/>
      <c r="D69" s="13"/>
      <c r="E69" s="14"/>
      <c r="F69" s="13"/>
      <c r="G69" s="15"/>
      <c r="H69" s="15"/>
      <c r="I69" s="15"/>
    </row>
    <row r="70" spans="1:9">
      <c r="A70" s="5"/>
      <c r="B70" s="5"/>
      <c r="C70" s="5"/>
      <c r="D70" s="13"/>
      <c r="E70" s="14"/>
      <c r="F70" s="13"/>
      <c r="G70" s="15"/>
      <c r="H70" s="15"/>
      <c r="I70" s="15"/>
    </row>
    <row r="71" spans="1:9">
      <c r="A71" s="5"/>
      <c r="B71" s="5"/>
      <c r="C71" s="5"/>
      <c r="D71" s="13"/>
      <c r="E71" s="14"/>
      <c r="F71" s="13"/>
      <c r="G71" s="15"/>
      <c r="H71" s="15"/>
      <c r="I71" s="15"/>
    </row>
    <row r="72" spans="1:9">
      <c r="A72" s="5"/>
      <c r="B72" s="5"/>
      <c r="C72" s="5"/>
      <c r="D72" s="13"/>
      <c r="E72" s="14"/>
      <c r="F72" s="13"/>
      <c r="G72" s="15"/>
      <c r="H72" s="15"/>
      <c r="I72" s="15"/>
    </row>
    <row r="73" spans="1:9">
      <c r="A73" s="5"/>
      <c r="B73" s="5"/>
      <c r="C73" s="5"/>
      <c r="D73" s="13"/>
      <c r="E73" s="14"/>
      <c r="F73" s="13"/>
      <c r="G73" s="15"/>
      <c r="H73" s="15"/>
      <c r="I73" s="15"/>
    </row>
    <row r="74" spans="1:9">
      <c r="A74" s="5"/>
      <c r="B74" s="5"/>
      <c r="C74" s="5"/>
      <c r="D74" s="13"/>
      <c r="E74" s="14"/>
      <c r="F74" s="13"/>
      <c r="G74" s="15"/>
      <c r="H74" s="15"/>
      <c r="I74" s="15"/>
    </row>
    <row r="75" spans="1:9">
      <c r="A75" s="5"/>
      <c r="B75" s="5"/>
      <c r="C75" s="5"/>
      <c r="D75" s="13"/>
      <c r="E75" s="14"/>
      <c r="F75" s="13"/>
      <c r="G75" s="15"/>
      <c r="H75" s="15"/>
      <c r="I75" s="15"/>
    </row>
    <row r="76" spans="1:9">
      <c r="A76" s="5"/>
      <c r="B76" s="5"/>
      <c r="C76" s="5"/>
      <c r="D76" s="13"/>
      <c r="E76" s="14"/>
      <c r="F76" s="13"/>
      <c r="G76" s="15"/>
      <c r="H76" s="15"/>
      <c r="I76" s="15"/>
    </row>
    <row r="77" spans="1:9">
      <c r="A77" s="5"/>
      <c r="B77" s="5"/>
      <c r="C77" s="5"/>
      <c r="D77" s="13"/>
      <c r="E77" s="14"/>
      <c r="F77" s="13"/>
      <c r="G77" s="15"/>
      <c r="H77" s="15"/>
      <c r="I77" s="15"/>
    </row>
    <row r="78" spans="1:9">
      <c r="A78" s="5"/>
      <c r="B78" s="5"/>
      <c r="C78" s="5"/>
      <c r="D78" s="13"/>
      <c r="E78" s="14"/>
      <c r="F78" s="13"/>
      <c r="G78" s="15"/>
      <c r="H78" s="15"/>
      <c r="I78" s="15"/>
    </row>
    <row r="79" spans="1:9">
      <c r="A79" s="5"/>
      <c r="B79" s="5"/>
      <c r="C79" s="5"/>
      <c r="D79" s="13"/>
      <c r="E79" s="14"/>
      <c r="F79" s="13"/>
      <c r="G79" s="15"/>
      <c r="H79" s="15"/>
      <c r="I79" s="15"/>
    </row>
    <row r="80" spans="1:9">
      <c r="A80" s="5"/>
      <c r="B80" s="5"/>
      <c r="C80" s="5"/>
      <c r="D80" s="13"/>
      <c r="E80" s="14"/>
      <c r="F80" s="13"/>
      <c r="G80" s="15"/>
      <c r="H80" s="15"/>
      <c r="I80" s="15"/>
    </row>
    <row r="81" spans="1:9">
      <c r="A81" s="5"/>
      <c r="B81" s="5"/>
      <c r="C81" s="5"/>
      <c r="D81" s="13"/>
      <c r="E81" s="14"/>
      <c r="F81" s="13"/>
      <c r="G81" s="15"/>
      <c r="H81" s="15"/>
      <c r="I81" s="15"/>
    </row>
    <row r="82" spans="1:9">
      <c r="A82" s="5"/>
      <c r="B82" s="5"/>
      <c r="C82" s="5"/>
      <c r="D82" s="13"/>
      <c r="E82" s="14"/>
      <c r="F82" s="13"/>
      <c r="G82" s="15"/>
      <c r="H82" s="15"/>
      <c r="I82" s="15"/>
    </row>
    <row r="83" spans="1:9">
      <c r="A83" s="5"/>
      <c r="B83" s="5"/>
      <c r="C83" s="5"/>
      <c r="D83" s="13"/>
      <c r="E83" s="14"/>
      <c r="F83" s="13"/>
      <c r="G83" s="15"/>
      <c r="H83" s="15"/>
      <c r="I83" s="15"/>
    </row>
    <row r="84" spans="1:9">
      <c r="A84" s="5"/>
      <c r="B84" s="5"/>
      <c r="C84" s="5"/>
      <c r="D84" s="13"/>
      <c r="E84" s="14"/>
      <c r="F84" s="13"/>
      <c r="G84" s="15"/>
      <c r="H84" s="15"/>
      <c r="I84" s="15"/>
    </row>
    <row r="85" spans="1:9">
      <c r="A85" s="5"/>
      <c r="B85" s="5"/>
      <c r="C85" s="5"/>
      <c r="D85" s="13"/>
      <c r="E85" s="14"/>
      <c r="F85" s="13"/>
      <c r="G85" s="15"/>
      <c r="H85" s="15"/>
      <c r="I85" s="15"/>
    </row>
    <row r="86" spans="1:9">
      <c r="A86" s="5"/>
      <c r="B86" s="5"/>
      <c r="C86" s="5"/>
      <c r="D86" s="13"/>
      <c r="E86" s="14"/>
      <c r="F86" s="13"/>
      <c r="G86" s="15"/>
      <c r="H86" s="15"/>
      <c r="I86" s="15"/>
    </row>
    <row r="87" spans="1:9">
      <c r="A87" s="5"/>
      <c r="B87" s="5"/>
      <c r="C87" s="5"/>
      <c r="D87" s="13"/>
      <c r="E87" s="14"/>
      <c r="F87" s="13"/>
      <c r="G87" s="15"/>
      <c r="H87" s="15"/>
      <c r="I87" s="15"/>
    </row>
    <row r="88" spans="1:9">
      <c r="A88" s="5"/>
      <c r="B88" s="5"/>
      <c r="C88" s="5"/>
      <c r="D88" s="13"/>
      <c r="E88" s="14"/>
      <c r="F88" s="13"/>
      <c r="G88" s="15"/>
      <c r="H88" s="15"/>
      <c r="I88" s="15"/>
    </row>
    <row r="89" spans="1:9">
      <c r="A89" s="5"/>
      <c r="B89" s="5"/>
      <c r="C89" s="5"/>
      <c r="D89" s="13"/>
      <c r="E89" s="14"/>
      <c r="F89" s="13"/>
      <c r="G89" s="15"/>
      <c r="H89" s="15"/>
      <c r="I89" s="15"/>
    </row>
    <row r="90" spans="1:9">
      <c r="A90" s="5"/>
      <c r="B90" s="5"/>
      <c r="C90" s="5"/>
      <c r="D90" s="13"/>
      <c r="E90" s="14"/>
      <c r="F90" s="13"/>
      <c r="G90" s="15"/>
      <c r="H90" s="15"/>
      <c r="I90" s="15"/>
    </row>
    <row r="91" spans="1:9">
      <c r="A91" s="5"/>
      <c r="B91" s="5"/>
      <c r="C91" s="5"/>
      <c r="D91" s="13"/>
      <c r="E91" s="14"/>
      <c r="F91" s="13"/>
      <c r="G91" s="15"/>
      <c r="H91" s="15"/>
      <c r="I91" s="15"/>
    </row>
    <row r="92" spans="1:9">
      <c r="A92" s="5"/>
      <c r="B92" s="5"/>
      <c r="C92" s="5"/>
      <c r="D92" s="13"/>
      <c r="E92" s="14"/>
      <c r="F92" s="13"/>
      <c r="G92" s="15"/>
      <c r="H92" s="15"/>
      <c r="I92" s="15"/>
    </row>
    <row r="93" spans="1:9">
      <c r="A93" s="5"/>
      <c r="B93" s="5"/>
      <c r="C93" s="5"/>
      <c r="D93" s="13"/>
      <c r="E93" s="14"/>
      <c r="F93" s="13"/>
      <c r="G93" s="15"/>
      <c r="H93" s="15"/>
      <c r="I93" s="15"/>
    </row>
    <row r="94" spans="1:9">
      <c r="A94" s="5"/>
      <c r="B94" s="5"/>
      <c r="C94" s="5"/>
      <c r="D94" s="13"/>
      <c r="E94" s="14"/>
      <c r="F94" s="13"/>
      <c r="G94" s="15"/>
      <c r="H94" s="15"/>
      <c r="I94" s="15"/>
    </row>
    <row r="95" spans="1:9">
      <c r="A95" s="5"/>
      <c r="B95" s="5"/>
      <c r="C95" s="5"/>
      <c r="D95" s="13"/>
      <c r="E95" s="14"/>
      <c r="F95" s="13"/>
      <c r="G95" s="15"/>
      <c r="H95" s="15"/>
      <c r="I95" s="15"/>
    </row>
    <row r="96" spans="1:9">
      <c r="A96" s="5"/>
      <c r="B96" s="5"/>
      <c r="C96" s="5"/>
      <c r="D96" s="13"/>
      <c r="E96" s="14"/>
      <c r="F96" s="13"/>
      <c r="G96" s="15"/>
      <c r="H96" s="15"/>
      <c r="I96" s="15"/>
    </row>
    <row r="97" spans="1:9">
      <c r="A97" s="5"/>
      <c r="B97" s="5"/>
      <c r="C97" s="5"/>
      <c r="D97" s="13"/>
      <c r="E97" s="14"/>
      <c r="F97" s="13"/>
      <c r="G97" s="15"/>
      <c r="H97" s="15"/>
      <c r="I97" s="15"/>
    </row>
    <row r="98" spans="1:9">
      <c r="A98" s="5"/>
      <c r="B98" s="5"/>
      <c r="C98" s="5"/>
      <c r="D98" s="13"/>
      <c r="E98" s="14"/>
      <c r="F98" s="13"/>
      <c r="G98" s="15"/>
      <c r="H98" s="15"/>
      <c r="I98" s="15"/>
    </row>
    <row r="99" spans="1:9">
      <c r="A99" s="5"/>
      <c r="B99" s="5"/>
      <c r="C99" s="5"/>
      <c r="D99" s="13"/>
      <c r="E99" s="14"/>
      <c r="F99" s="13"/>
      <c r="G99" s="15"/>
      <c r="H99" s="15"/>
      <c r="I99" s="15"/>
    </row>
    <row r="100" spans="1:9">
      <c r="A100" s="5"/>
      <c r="B100" s="5"/>
      <c r="C100" s="5"/>
      <c r="D100" s="13"/>
      <c r="E100" s="14"/>
      <c r="F100" s="13"/>
      <c r="G100" s="15"/>
      <c r="H100" s="15"/>
      <c r="I100" s="15"/>
    </row>
    <row r="101" spans="1:9">
      <c r="A101" s="5"/>
      <c r="B101" s="5"/>
      <c r="C101" s="5"/>
      <c r="D101" s="13"/>
      <c r="E101" s="14"/>
      <c r="F101" s="13"/>
      <c r="G101" s="15"/>
      <c r="H101" s="15"/>
      <c r="I101" s="15"/>
    </row>
    <row r="102" spans="1:9">
      <c r="A102" s="5"/>
      <c r="B102" s="5"/>
      <c r="C102" s="5"/>
      <c r="D102" s="13"/>
      <c r="E102" s="14"/>
      <c r="F102" s="13"/>
      <c r="G102" s="15"/>
      <c r="H102" s="15"/>
      <c r="I102" s="15"/>
    </row>
    <row r="103" spans="1:9">
      <c r="A103" s="5"/>
      <c r="B103" s="5"/>
      <c r="C103" s="5"/>
      <c r="D103" s="13"/>
      <c r="E103" s="14"/>
      <c r="F103" s="13"/>
      <c r="G103" s="15"/>
      <c r="H103" s="15"/>
      <c r="I103" s="15"/>
    </row>
    <row r="104" spans="1:9">
      <c r="A104" s="5"/>
      <c r="B104" s="5"/>
      <c r="C104" s="5"/>
      <c r="D104" s="13"/>
      <c r="E104" s="14"/>
      <c r="F104" s="13"/>
      <c r="G104" s="15"/>
      <c r="H104" s="15"/>
      <c r="I104" s="15"/>
    </row>
    <row r="105" spans="1:9">
      <c r="A105" s="5"/>
      <c r="B105" s="5"/>
      <c r="C105" s="5"/>
      <c r="D105" s="13"/>
      <c r="E105" s="14"/>
      <c r="F105" s="13"/>
      <c r="G105" s="15"/>
      <c r="H105" s="15"/>
      <c r="I105" s="15"/>
    </row>
    <row r="106" spans="1:9">
      <c r="A106" s="5"/>
      <c r="B106" s="5"/>
      <c r="C106" s="5"/>
      <c r="D106" s="13"/>
      <c r="E106" s="14"/>
      <c r="F106" s="13"/>
      <c r="G106" s="15"/>
      <c r="H106" s="15"/>
      <c r="I106" s="15"/>
    </row>
    <row r="107" spans="1:9">
      <c r="A107" s="5"/>
      <c r="B107" s="5"/>
      <c r="C107" s="5"/>
      <c r="D107" s="13"/>
      <c r="E107" s="14"/>
      <c r="F107" s="13"/>
      <c r="G107" s="15"/>
      <c r="H107" s="15"/>
      <c r="I107" s="15"/>
    </row>
    <row r="108" spans="1:9">
      <c r="A108" s="5"/>
      <c r="B108" s="5"/>
      <c r="C108" s="5"/>
      <c r="D108" s="13"/>
      <c r="E108" s="14"/>
      <c r="F108" s="13"/>
      <c r="G108" s="15"/>
      <c r="H108" s="15"/>
      <c r="I108" s="15"/>
    </row>
    <row r="109" spans="1:9">
      <c r="A109" s="5"/>
      <c r="B109" s="5"/>
      <c r="C109" s="5"/>
      <c r="D109" s="13"/>
      <c r="E109" s="14"/>
      <c r="F109" s="13"/>
      <c r="G109" s="15"/>
      <c r="H109" s="15"/>
      <c r="I109" s="15"/>
    </row>
    <row r="110" spans="1:9">
      <c r="A110" s="5"/>
      <c r="B110" s="5"/>
      <c r="C110" s="5"/>
      <c r="D110" s="13"/>
      <c r="E110" s="14"/>
      <c r="F110" s="13"/>
      <c r="G110" s="15"/>
      <c r="H110" s="15"/>
      <c r="I110" s="15"/>
    </row>
    <row r="111" spans="1:9">
      <c r="A111" s="5"/>
      <c r="B111" s="5"/>
      <c r="C111" s="5"/>
      <c r="D111" s="13"/>
      <c r="E111" s="14"/>
      <c r="F111" s="13"/>
      <c r="G111" s="15"/>
      <c r="H111" s="15"/>
      <c r="I111" s="15"/>
    </row>
    <row r="112" spans="1:9">
      <c r="A112" s="5"/>
      <c r="B112" s="5"/>
      <c r="C112" s="5"/>
      <c r="D112" s="13"/>
      <c r="E112" s="14"/>
      <c r="F112" s="13"/>
      <c r="G112" s="15"/>
      <c r="H112" s="15"/>
      <c r="I112" s="15"/>
    </row>
    <row r="113" spans="1:9">
      <c r="A113" s="5"/>
      <c r="B113" s="5"/>
      <c r="C113" s="5"/>
      <c r="D113" s="13"/>
      <c r="E113" s="14"/>
      <c r="F113" s="13"/>
      <c r="G113" s="15"/>
      <c r="H113" s="15"/>
      <c r="I113" s="15"/>
    </row>
    <row r="114" spans="1:9">
      <c r="A114" s="5"/>
      <c r="B114" s="5"/>
      <c r="C114" s="5"/>
      <c r="D114" s="13"/>
      <c r="E114" s="14"/>
      <c r="F114" s="13"/>
      <c r="G114" s="15"/>
      <c r="H114" s="15"/>
      <c r="I114" s="15"/>
    </row>
    <row r="115" spans="1:9">
      <c r="A115" s="5"/>
      <c r="B115" s="5"/>
      <c r="C115" s="5"/>
      <c r="D115" s="13"/>
      <c r="E115" s="14"/>
      <c r="F115" s="13"/>
      <c r="G115" s="15"/>
      <c r="H115" s="15"/>
      <c r="I115" s="15"/>
    </row>
    <row r="116" spans="1:9">
      <c r="A116" s="5"/>
      <c r="B116" s="5"/>
      <c r="C116" s="5"/>
      <c r="D116" s="13"/>
      <c r="E116" s="14"/>
      <c r="F116" s="13"/>
      <c r="G116" s="15"/>
      <c r="H116" s="15"/>
      <c r="I116" s="15"/>
    </row>
    <row r="117" spans="1:9">
      <c r="A117" s="5"/>
      <c r="B117" s="5"/>
      <c r="C117" s="5"/>
      <c r="D117" s="13"/>
      <c r="E117" s="14"/>
      <c r="F117" s="13"/>
      <c r="G117" s="15"/>
      <c r="H117" s="15"/>
      <c r="I117" s="15"/>
    </row>
    <row r="118" spans="1:9">
      <c r="A118" s="5"/>
      <c r="B118" s="5"/>
      <c r="C118" s="5"/>
      <c r="D118" s="13"/>
      <c r="E118" s="14"/>
      <c r="F118" s="13"/>
      <c r="G118" s="15"/>
      <c r="H118" s="15"/>
      <c r="I118" s="15"/>
    </row>
    <row r="119" spans="1:9">
      <c r="A119" s="5"/>
      <c r="B119" s="5"/>
      <c r="C119" s="5"/>
      <c r="D119" s="13"/>
      <c r="E119" s="14"/>
      <c r="F119" s="13"/>
      <c r="G119" s="15"/>
      <c r="H119" s="15"/>
      <c r="I119" s="15"/>
    </row>
    <row r="120" spans="1:9">
      <c r="A120" s="5"/>
      <c r="B120" s="5"/>
      <c r="C120" s="5"/>
      <c r="D120" s="13"/>
      <c r="E120" s="14"/>
      <c r="F120" s="13"/>
      <c r="G120" s="15"/>
      <c r="H120" s="15"/>
      <c r="I120" s="15"/>
    </row>
    <row r="121" spans="1:9">
      <c r="A121" s="5"/>
      <c r="B121" s="5"/>
      <c r="C121" s="5"/>
      <c r="D121" s="13"/>
      <c r="E121" s="14"/>
      <c r="F121" s="13"/>
      <c r="G121" s="15"/>
      <c r="H121" s="15"/>
      <c r="I121" s="15"/>
    </row>
    <row r="122" spans="1:9">
      <c r="A122" s="5"/>
      <c r="B122" s="5"/>
      <c r="C122" s="5"/>
      <c r="D122" s="13"/>
      <c r="E122" s="14"/>
      <c r="F122" s="13"/>
      <c r="G122" s="15"/>
      <c r="H122" s="15"/>
      <c r="I122" s="15"/>
    </row>
    <row r="123" spans="1:9">
      <c r="A123" s="5"/>
      <c r="B123" s="5"/>
      <c r="C123" s="5"/>
      <c r="D123" s="13"/>
      <c r="E123" s="14"/>
      <c r="F123" s="13"/>
      <c r="G123" s="15"/>
      <c r="H123" s="15"/>
      <c r="I123" s="15"/>
    </row>
    <row r="124" spans="1:9">
      <c r="A124" s="5"/>
      <c r="B124" s="5"/>
      <c r="C124" s="5"/>
      <c r="D124" s="13"/>
      <c r="E124" s="14"/>
      <c r="F124" s="13"/>
      <c r="G124" s="15"/>
      <c r="H124" s="15"/>
      <c r="I124" s="15"/>
    </row>
    <row r="125" spans="1:9">
      <c r="A125" s="5"/>
      <c r="B125" s="5"/>
      <c r="C125" s="5"/>
      <c r="D125" s="13"/>
      <c r="E125" s="14"/>
      <c r="F125" s="13"/>
      <c r="G125" s="15"/>
      <c r="H125" s="15"/>
      <c r="I125" s="15"/>
    </row>
    <row r="126" spans="1:9">
      <c r="A126" s="5"/>
      <c r="B126" s="5"/>
      <c r="C126" s="5"/>
      <c r="D126" s="13"/>
      <c r="E126" s="14"/>
      <c r="F126" s="13"/>
      <c r="G126" s="15"/>
      <c r="H126" s="15"/>
      <c r="I126" s="15"/>
    </row>
    <row r="127" spans="1:9">
      <c r="A127" s="5"/>
      <c r="B127" s="5"/>
      <c r="C127" s="5"/>
      <c r="D127" s="13"/>
      <c r="E127" s="14"/>
      <c r="F127" s="13"/>
      <c r="G127" s="15"/>
      <c r="H127" s="15"/>
      <c r="I127" s="15"/>
    </row>
    <row r="128" spans="1:9">
      <c r="A128" s="5"/>
      <c r="B128" s="5"/>
      <c r="C128" s="5"/>
      <c r="D128" s="13"/>
      <c r="E128" s="14"/>
      <c r="F128" s="13"/>
      <c r="G128" s="15"/>
      <c r="H128" s="15"/>
      <c r="I128" s="15"/>
    </row>
    <row r="129" spans="1:9">
      <c r="A129" s="5"/>
      <c r="B129" s="5"/>
      <c r="C129" s="5"/>
      <c r="D129" s="13"/>
      <c r="E129" s="14"/>
      <c r="F129" s="13"/>
      <c r="G129" s="15"/>
      <c r="H129" s="15"/>
      <c r="I129" s="15"/>
    </row>
    <row r="130" spans="1:9">
      <c r="A130" s="5"/>
      <c r="B130" s="5"/>
      <c r="C130" s="5"/>
      <c r="D130" s="13"/>
      <c r="E130" s="14"/>
      <c r="F130" s="13"/>
      <c r="G130" s="15"/>
      <c r="H130" s="15"/>
      <c r="I130" s="15"/>
    </row>
    <row r="131" spans="1:9">
      <c r="A131" s="5"/>
      <c r="B131" s="5"/>
      <c r="C131" s="5"/>
      <c r="D131" s="13"/>
      <c r="E131" s="14"/>
      <c r="F131" s="13"/>
      <c r="G131" s="15"/>
      <c r="H131" s="15"/>
      <c r="I131" s="15"/>
    </row>
    <row r="132" spans="1:9">
      <c r="A132" s="5"/>
      <c r="B132" s="5"/>
      <c r="C132" s="5"/>
      <c r="D132" s="13"/>
      <c r="E132" s="14"/>
      <c r="F132" s="13"/>
      <c r="G132" s="15"/>
      <c r="H132" s="15"/>
      <c r="I132" s="15"/>
    </row>
    <row r="133" spans="1:9">
      <c r="A133" s="5"/>
      <c r="B133" s="5"/>
      <c r="C133" s="5"/>
      <c r="D133" s="13"/>
      <c r="E133" s="14"/>
      <c r="F133" s="13"/>
      <c r="G133" s="15"/>
      <c r="H133" s="15"/>
      <c r="I133" s="15"/>
    </row>
    <row r="134" spans="1:9">
      <c r="A134" s="5"/>
      <c r="B134" s="5"/>
      <c r="C134" s="5"/>
      <c r="D134" s="13"/>
      <c r="E134" s="14"/>
      <c r="F134" s="13"/>
      <c r="G134" s="15"/>
      <c r="H134" s="15"/>
      <c r="I134" s="15"/>
    </row>
    <row r="135" spans="1:9">
      <c r="A135" s="5"/>
      <c r="B135" s="5"/>
      <c r="C135" s="5"/>
      <c r="D135" s="13"/>
      <c r="E135" s="14"/>
      <c r="F135" s="13"/>
      <c r="G135" s="15"/>
      <c r="H135" s="15"/>
      <c r="I135" s="15"/>
    </row>
    <row r="136" spans="1:9">
      <c r="A136" s="5"/>
      <c r="B136" s="5"/>
      <c r="C136" s="5"/>
      <c r="D136" s="13"/>
      <c r="E136" s="14"/>
      <c r="F136" s="13"/>
      <c r="G136" s="15"/>
      <c r="H136" s="15"/>
      <c r="I136" s="15"/>
    </row>
    <row r="137" spans="1:9">
      <c r="A137" s="5"/>
      <c r="B137" s="5"/>
      <c r="C137" s="5"/>
      <c r="D137" s="13"/>
      <c r="E137" s="14"/>
      <c r="F137" s="13"/>
      <c r="G137" s="15"/>
      <c r="H137" s="15"/>
      <c r="I137" s="15"/>
    </row>
    <row r="138" spans="1:9">
      <c r="A138" s="5"/>
      <c r="B138" s="5"/>
      <c r="C138" s="5"/>
      <c r="D138" s="13"/>
      <c r="E138" s="14"/>
      <c r="F138" s="13"/>
      <c r="G138" s="15"/>
      <c r="H138" s="15"/>
      <c r="I138" s="15"/>
    </row>
    <row r="139" spans="1:9">
      <c r="A139" s="5"/>
      <c r="B139" s="5"/>
      <c r="C139" s="5"/>
      <c r="D139" s="13"/>
      <c r="E139" s="14"/>
      <c r="F139" s="13"/>
      <c r="G139" s="15"/>
      <c r="H139" s="15"/>
      <c r="I139" s="15"/>
    </row>
    <row r="140" spans="1:9">
      <c r="A140" s="5"/>
      <c r="B140" s="5"/>
      <c r="C140" s="5"/>
      <c r="D140" s="13"/>
      <c r="E140" s="14"/>
      <c r="F140" s="13"/>
      <c r="G140" s="15"/>
      <c r="H140" s="15"/>
      <c r="I140" s="15"/>
    </row>
    <row r="141" spans="1:9">
      <c r="A141" s="5"/>
      <c r="B141" s="5"/>
      <c r="C141" s="5"/>
      <c r="D141" s="13"/>
      <c r="E141" s="14"/>
      <c r="F141" s="13"/>
      <c r="G141" s="15"/>
      <c r="H141" s="15"/>
      <c r="I141" s="15"/>
    </row>
    <row r="142" spans="1:9">
      <c r="A142" s="5"/>
      <c r="B142" s="5"/>
      <c r="C142" s="5"/>
      <c r="D142" s="13"/>
      <c r="E142" s="14"/>
      <c r="F142" s="13"/>
      <c r="G142" s="15"/>
      <c r="H142" s="15"/>
      <c r="I142" s="15"/>
    </row>
    <row r="143" spans="1:9">
      <c r="A143" s="5"/>
      <c r="B143" s="5"/>
      <c r="C143" s="5"/>
      <c r="D143" s="13"/>
      <c r="E143" s="14"/>
      <c r="F143" s="13"/>
      <c r="G143" s="15"/>
      <c r="H143" s="15"/>
      <c r="I143" s="15"/>
    </row>
    <row r="144" spans="1:9">
      <c r="A144" s="5"/>
      <c r="B144" s="5"/>
      <c r="C144" s="5"/>
      <c r="D144" s="13"/>
      <c r="E144" s="14"/>
      <c r="F144" s="13"/>
      <c r="G144" s="15"/>
      <c r="H144" s="15"/>
      <c r="I144" s="15"/>
    </row>
    <row r="145" spans="1:9">
      <c r="A145" s="5"/>
      <c r="B145" s="5"/>
      <c r="C145" s="5"/>
      <c r="D145" s="13"/>
      <c r="E145" s="14"/>
      <c r="F145" s="13"/>
      <c r="G145" s="15"/>
      <c r="H145" s="15"/>
      <c r="I145" s="15"/>
    </row>
    <row r="146" spans="1:9">
      <c r="A146" s="5"/>
      <c r="B146" s="5"/>
      <c r="C146" s="5"/>
      <c r="D146" s="13"/>
      <c r="E146" s="14"/>
      <c r="F146" s="13"/>
      <c r="G146" s="15"/>
      <c r="H146" s="15"/>
      <c r="I146" s="15"/>
    </row>
    <row r="147" spans="1:9">
      <c r="A147" s="5"/>
      <c r="B147" s="5"/>
      <c r="C147" s="5"/>
      <c r="D147" s="13"/>
      <c r="E147" s="14"/>
      <c r="F147" s="13"/>
      <c r="G147" s="15"/>
      <c r="H147" s="15"/>
      <c r="I147" s="15"/>
    </row>
    <row r="148" spans="1:9">
      <c r="A148" s="5"/>
      <c r="B148" s="5"/>
      <c r="C148" s="5"/>
      <c r="D148" s="13"/>
      <c r="E148" s="14"/>
      <c r="F148" s="13"/>
      <c r="G148" s="15"/>
      <c r="H148" s="15"/>
      <c r="I148" s="15"/>
    </row>
    <row r="149" spans="1:9">
      <c r="A149" s="5"/>
      <c r="B149" s="5"/>
      <c r="C149" s="5"/>
      <c r="D149" s="13"/>
      <c r="E149" s="14"/>
      <c r="F149" s="13"/>
      <c r="G149" s="15"/>
      <c r="H149" s="15"/>
      <c r="I149" s="15"/>
    </row>
    <row r="150" spans="1:9">
      <c r="A150" s="5"/>
      <c r="B150" s="5"/>
      <c r="C150" s="5"/>
      <c r="D150" s="13"/>
      <c r="E150" s="14"/>
      <c r="F150" s="13"/>
      <c r="G150" s="15"/>
      <c r="H150" s="15"/>
      <c r="I150" s="15"/>
    </row>
    <row r="151" spans="1:9">
      <c r="A151" s="5"/>
      <c r="B151" s="5"/>
      <c r="C151" s="5"/>
      <c r="D151" s="13"/>
      <c r="E151" s="14"/>
      <c r="F151" s="13"/>
      <c r="G151" s="15"/>
      <c r="H151" s="15"/>
      <c r="I151" s="15"/>
    </row>
    <row r="152" spans="1:9">
      <c r="A152" s="5"/>
      <c r="B152" s="5"/>
      <c r="C152" s="5"/>
      <c r="D152" s="13"/>
      <c r="E152" s="14"/>
      <c r="F152" s="13"/>
      <c r="G152" s="15"/>
      <c r="H152" s="15"/>
      <c r="I152" s="15"/>
    </row>
    <row r="153" spans="1:9">
      <c r="A153" s="5"/>
      <c r="B153" s="5"/>
      <c r="C153" s="5"/>
      <c r="D153" s="13"/>
      <c r="E153" s="14"/>
      <c r="F153" s="13"/>
      <c r="G153" s="15"/>
      <c r="H153" s="15"/>
      <c r="I153" s="15"/>
    </row>
    <row r="154" spans="1:9">
      <c r="A154" s="5"/>
      <c r="B154" s="5"/>
      <c r="C154" s="5"/>
      <c r="D154" s="13"/>
      <c r="E154" s="14"/>
      <c r="F154" s="13"/>
      <c r="G154" s="15"/>
      <c r="H154" s="15"/>
      <c r="I154" s="15"/>
    </row>
    <row r="155" spans="1:9">
      <c r="A155" s="5"/>
      <c r="B155" s="5"/>
      <c r="C155" s="5"/>
      <c r="D155" s="13"/>
      <c r="E155" s="14"/>
      <c r="F155" s="13"/>
      <c r="G155" s="15"/>
      <c r="H155" s="15"/>
      <c r="I155" s="15"/>
    </row>
    <row r="156" spans="1:9">
      <c r="A156" s="5"/>
      <c r="B156" s="5"/>
      <c r="C156" s="5"/>
      <c r="D156" s="13"/>
      <c r="E156" s="14"/>
      <c r="F156" s="13"/>
      <c r="G156" s="15"/>
      <c r="H156" s="15"/>
      <c r="I156" s="15"/>
    </row>
    <row r="157" spans="1:9">
      <c r="A157" s="5"/>
      <c r="B157" s="5"/>
      <c r="C157" s="5"/>
      <c r="D157" s="13"/>
      <c r="E157" s="14"/>
      <c r="F157" s="13"/>
      <c r="G157" s="15"/>
      <c r="H157" s="15"/>
      <c r="I157" s="15"/>
    </row>
    <row r="158" spans="1:9">
      <c r="A158" s="5"/>
      <c r="B158" s="5"/>
      <c r="C158" s="5"/>
      <c r="D158" s="13"/>
      <c r="E158" s="14"/>
      <c r="F158" s="13"/>
      <c r="G158" s="15"/>
      <c r="H158" s="15"/>
      <c r="I158" s="15"/>
    </row>
    <row r="159" spans="1:9">
      <c r="A159" s="5"/>
      <c r="B159" s="5"/>
      <c r="C159" s="5"/>
      <c r="D159" s="13"/>
      <c r="E159" s="14"/>
      <c r="F159" s="13"/>
      <c r="G159" s="15"/>
      <c r="H159" s="15"/>
      <c r="I159" s="15"/>
    </row>
    <row r="160" spans="1:9">
      <c r="A160" s="5"/>
      <c r="B160" s="5"/>
      <c r="C160" s="5"/>
      <c r="D160" s="13"/>
      <c r="E160" s="14"/>
      <c r="F160" s="13"/>
      <c r="G160" s="15"/>
      <c r="H160" s="15"/>
      <c r="I160" s="15"/>
    </row>
    <row r="161" spans="1:9">
      <c r="A161" s="5"/>
      <c r="B161" s="5"/>
      <c r="C161" s="5"/>
      <c r="D161" s="13"/>
      <c r="E161" s="14"/>
      <c r="F161" s="13"/>
      <c r="G161" s="15"/>
      <c r="H161" s="15"/>
      <c r="I161" s="15"/>
    </row>
    <row r="162" spans="1:9">
      <c r="A162" s="5"/>
      <c r="B162" s="5"/>
      <c r="C162" s="5"/>
      <c r="D162" s="13"/>
      <c r="E162" s="14"/>
      <c r="F162" s="13"/>
      <c r="G162" s="15"/>
      <c r="H162" s="15"/>
      <c r="I162" s="15"/>
    </row>
    <row r="163" spans="1:9">
      <c r="A163" s="5"/>
      <c r="B163" s="5"/>
      <c r="C163" s="5"/>
      <c r="D163" s="13"/>
      <c r="E163" s="14"/>
      <c r="F163" s="13"/>
      <c r="G163" s="15"/>
      <c r="H163" s="15"/>
      <c r="I163" s="15"/>
    </row>
    <row r="164" spans="1:9">
      <c r="A164" s="5"/>
      <c r="B164" s="5"/>
      <c r="C164" s="5"/>
      <c r="D164" s="13"/>
      <c r="E164" s="14"/>
      <c r="F164" s="13"/>
      <c r="G164" s="15"/>
      <c r="H164" s="15"/>
      <c r="I164" s="15"/>
    </row>
    <row r="165" spans="1:9">
      <c r="A165" s="5"/>
      <c r="B165" s="5"/>
      <c r="C165" s="5"/>
      <c r="D165" s="13"/>
      <c r="E165" s="14"/>
      <c r="F165" s="13"/>
      <c r="G165" s="15"/>
      <c r="H165" s="15"/>
      <c r="I165" s="15"/>
    </row>
    <row r="166" spans="1:9">
      <c r="A166" s="5"/>
      <c r="B166" s="5"/>
      <c r="C166" s="5"/>
      <c r="D166" s="13"/>
      <c r="E166" s="14"/>
      <c r="F166" s="13"/>
      <c r="G166" s="15"/>
      <c r="H166" s="15"/>
      <c r="I166" s="15"/>
    </row>
    <row r="167" spans="1:9">
      <c r="A167" s="5"/>
      <c r="B167" s="5"/>
      <c r="C167" s="5"/>
      <c r="D167" s="13"/>
      <c r="E167" s="14"/>
      <c r="F167" s="13"/>
      <c r="G167" s="15"/>
      <c r="H167" s="15"/>
      <c r="I167" s="15"/>
    </row>
    <row r="168" spans="1:9">
      <c r="A168" s="5"/>
      <c r="B168" s="5"/>
      <c r="C168" s="5"/>
      <c r="D168" s="13"/>
      <c r="E168" s="14"/>
      <c r="F168" s="13"/>
      <c r="G168" s="15"/>
      <c r="H168" s="15"/>
      <c r="I168" s="15"/>
    </row>
    <row r="169" spans="1:9">
      <c r="A169" s="5"/>
      <c r="B169" s="5"/>
      <c r="C169" s="5"/>
      <c r="D169" s="13"/>
      <c r="E169" s="14"/>
      <c r="F169" s="13"/>
      <c r="G169" s="15"/>
      <c r="H169" s="15"/>
      <c r="I169" s="15"/>
    </row>
    <row r="170" spans="1:9">
      <c r="A170" s="5"/>
      <c r="B170" s="5"/>
      <c r="C170" s="5"/>
      <c r="D170" s="13"/>
      <c r="E170" s="14"/>
      <c r="F170" s="13"/>
      <c r="G170" s="15"/>
      <c r="H170" s="15"/>
      <c r="I170" s="15"/>
    </row>
    <row r="171" spans="1:9">
      <c r="A171" s="5"/>
      <c r="B171" s="5"/>
      <c r="C171" s="5"/>
      <c r="D171" s="13"/>
      <c r="E171" s="14"/>
      <c r="F171" s="13"/>
      <c r="G171" s="15"/>
      <c r="H171" s="15"/>
      <c r="I171" s="15"/>
    </row>
    <row r="172" spans="1:9">
      <c r="A172" s="5"/>
      <c r="B172" s="5"/>
      <c r="C172" s="5"/>
      <c r="D172" s="13"/>
      <c r="E172" s="14"/>
      <c r="F172" s="13"/>
      <c r="G172" s="15"/>
      <c r="H172" s="15"/>
      <c r="I172" s="15"/>
    </row>
    <row r="173" spans="1:9">
      <c r="A173" s="5"/>
      <c r="B173" s="5"/>
      <c r="C173" s="5"/>
      <c r="D173" s="13"/>
      <c r="E173" s="14"/>
      <c r="F173" s="13"/>
      <c r="G173" s="15"/>
      <c r="H173" s="15"/>
      <c r="I173" s="15"/>
    </row>
    <row r="174" spans="1:9">
      <c r="A174" s="5"/>
      <c r="B174" s="5"/>
      <c r="C174" s="5"/>
      <c r="D174" s="13"/>
      <c r="E174" s="14"/>
      <c r="F174" s="13"/>
      <c r="G174" s="15"/>
      <c r="H174" s="15"/>
      <c r="I174" s="15"/>
    </row>
    <row r="175" spans="1:9">
      <c r="A175" s="5"/>
      <c r="B175" s="5"/>
      <c r="C175" s="5"/>
      <c r="D175" s="13"/>
      <c r="E175" s="14"/>
      <c r="F175" s="13"/>
      <c r="G175" s="15"/>
      <c r="H175" s="15"/>
      <c r="I175" s="15"/>
    </row>
    <row r="176" spans="1:9">
      <c r="A176" s="5"/>
      <c r="B176" s="5"/>
      <c r="C176" s="5"/>
      <c r="D176" s="13"/>
      <c r="E176" s="14"/>
      <c r="F176" s="13"/>
      <c r="G176" s="15"/>
      <c r="H176" s="15"/>
      <c r="I176" s="15"/>
    </row>
    <row r="177" spans="1:9">
      <c r="A177" s="5"/>
      <c r="B177" s="5"/>
      <c r="C177" s="5"/>
      <c r="D177" s="13"/>
      <c r="E177" s="14"/>
      <c r="F177" s="13"/>
      <c r="G177" s="15"/>
      <c r="H177" s="15"/>
      <c r="I177" s="15"/>
    </row>
    <row r="178" spans="1:9">
      <c r="A178" s="5"/>
      <c r="B178" s="5"/>
      <c r="C178" s="5"/>
      <c r="D178" s="13"/>
      <c r="E178" s="14"/>
      <c r="F178" s="13"/>
      <c r="G178" s="15"/>
      <c r="H178" s="15"/>
      <c r="I178" s="15"/>
    </row>
    <row r="179" spans="1:9">
      <c r="A179" s="5"/>
      <c r="B179" s="5"/>
      <c r="C179" s="5"/>
      <c r="D179" s="13"/>
      <c r="E179" s="14"/>
      <c r="F179" s="13"/>
      <c r="G179" s="15"/>
      <c r="H179" s="15"/>
      <c r="I179" s="15"/>
    </row>
    <row r="180" spans="1:9">
      <c r="A180" s="5"/>
      <c r="B180" s="5"/>
      <c r="C180" s="5"/>
      <c r="D180" s="13"/>
      <c r="E180" s="14"/>
      <c r="F180" s="13"/>
      <c r="G180" s="15"/>
      <c r="H180" s="15"/>
      <c r="I180" s="15"/>
    </row>
    <row r="181" spans="1:9">
      <c r="A181" s="5"/>
      <c r="B181" s="5"/>
      <c r="C181" s="5"/>
      <c r="D181" s="13"/>
      <c r="E181" s="14"/>
      <c r="F181" s="13"/>
      <c r="G181" s="15"/>
      <c r="H181" s="15"/>
      <c r="I181" s="15"/>
    </row>
    <row r="182" spans="1:9">
      <c r="A182" s="5"/>
      <c r="B182" s="5"/>
      <c r="C182" s="5"/>
      <c r="D182" s="13"/>
      <c r="E182" s="14"/>
      <c r="F182" s="13"/>
      <c r="G182" s="15"/>
      <c r="H182" s="15"/>
      <c r="I182" s="15"/>
    </row>
    <row r="183" spans="1:9">
      <c r="A183" s="5"/>
      <c r="B183" s="5"/>
      <c r="C183" s="5"/>
      <c r="D183" s="13"/>
      <c r="E183" s="14"/>
      <c r="F183" s="13"/>
      <c r="G183" s="15"/>
      <c r="H183" s="15"/>
      <c r="I183" s="15"/>
    </row>
    <row r="184" spans="1:9">
      <c r="A184" s="5"/>
      <c r="B184" s="5"/>
      <c r="C184" s="5"/>
      <c r="D184" s="13"/>
      <c r="E184" s="14"/>
      <c r="F184" s="13"/>
      <c r="G184" s="15"/>
      <c r="H184" s="15"/>
      <c r="I184" s="15"/>
    </row>
    <row r="185" spans="1:9">
      <c r="A185" s="5"/>
      <c r="B185" s="5"/>
      <c r="C185" s="5"/>
      <c r="D185" s="13"/>
      <c r="E185" s="14"/>
      <c r="F185" s="13"/>
      <c r="G185" s="15"/>
      <c r="H185" s="15"/>
      <c r="I185" s="15"/>
    </row>
    <row r="186" spans="1:9">
      <c r="A186" s="5"/>
      <c r="B186" s="5"/>
      <c r="C186" s="5"/>
      <c r="D186" s="13"/>
      <c r="E186" s="14"/>
      <c r="F186" s="13"/>
      <c r="G186" s="15"/>
      <c r="H186" s="15"/>
      <c r="I186" s="15"/>
    </row>
    <row r="187" spans="1:9">
      <c r="A187" s="5"/>
      <c r="B187" s="5"/>
      <c r="C187" s="5"/>
      <c r="D187" s="13"/>
      <c r="E187" s="14"/>
      <c r="F187" s="13"/>
      <c r="G187" s="15"/>
      <c r="H187" s="15"/>
      <c r="I187" s="15"/>
    </row>
    <row r="188" spans="1:9">
      <c r="A188" s="5"/>
      <c r="B188" s="5"/>
      <c r="C188" s="5"/>
      <c r="D188" s="13"/>
      <c r="E188" s="14"/>
      <c r="F188" s="13"/>
      <c r="G188" s="15"/>
      <c r="H188" s="15"/>
      <c r="I188" s="15"/>
    </row>
    <row r="189" spans="1:9">
      <c r="A189" s="5"/>
      <c r="B189" s="5"/>
      <c r="C189" s="5"/>
      <c r="D189" s="13"/>
      <c r="E189" s="14"/>
      <c r="F189" s="13"/>
      <c r="G189" s="15"/>
      <c r="H189" s="15"/>
      <c r="I189" s="15"/>
    </row>
    <row r="190" spans="1:9">
      <c r="A190" s="5"/>
      <c r="B190" s="5"/>
      <c r="C190" s="5"/>
      <c r="D190" s="13"/>
      <c r="E190" s="14"/>
      <c r="F190" s="13"/>
      <c r="G190" s="15"/>
      <c r="H190" s="15"/>
      <c r="I190" s="15"/>
    </row>
    <row r="191" spans="1:9">
      <c r="A191" s="5"/>
      <c r="B191" s="5"/>
      <c r="C191" s="5"/>
      <c r="D191" s="13"/>
      <c r="E191" s="14"/>
      <c r="F191" s="13"/>
      <c r="G191" s="15"/>
      <c r="H191" s="15"/>
      <c r="I191" s="15"/>
    </row>
    <row r="192" spans="1:9">
      <c r="A192" s="5"/>
      <c r="B192" s="5"/>
      <c r="C192" s="5"/>
      <c r="D192" s="13"/>
      <c r="E192" s="14"/>
      <c r="F192" s="13"/>
      <c r="G192" s="15"/>
      <c r="H192" s="15"/>
      <c r="I192" s="15"/>
    </row>
    <row r="193" spans="1:9">
      <c r="A193" s="5"/>
      <c r="B193" s="5"/>
      <c r="C193" s="5"/>
      <c r="D193" s="13"/>
      <c r="E193" s="14"/>
      <c r="F193" s="13"/>
      <c r="G193" s="15"/>
      <c r="H193" s="15"/>
      <c r="I193" s="15"/>
    </row>
    <row r="194" spans="1:9">
      <c r="A194" s="5"/>
      <c r="B194" s="5"/>
      <c r="C194" s="5"/>
      <c r="D194" s="13"/>
      <c r="E194" s="14"/>
      <c r="F194" s="13"/>
      <c r="G194" s="15"/>
      <c r="H194" s="15"/>
      <c r="I194" s="15"/>
    </row>
    <row r="195" spans="1:9">
      <c r="A195" s="5"/>
      <c r="B195" s="5"/>
      <c r="C195" s="5"/>
      <c r="D195" s="13"/>
      <c r="E195" s="14"/>
      <c r="F195" s="13"/>
      <c r="G195" s="15"/>
      <c r="H195" s="15"/>
      <c r="I195" s="15"/>
    </row>
    <row r="196" spans="1:9">
      <c r="A196" s="5"/>
      <c r="B196" s="5"/>
      <c r="C196" s="5"/>
      <c r="D196" s="13"/>
      <c r="E196" s="14"/>
      <c r="F196" s="13"/>
      <c r="G196" s="15"/>
      <c r="H196" s="15"/>
      <c r="I196" s="15"/>
    </row>
    <row r="197" spans="1:9">
      <c r="A197" s="5"/>
      <c r="B197" s="5"/>
      <c r="C197" s="5"/>
      <c r="D197" s="13"/>
      <c r="E197" s="14"/>
      <c r="F197" s="13"/>
      <c r="G197" s="15"/>
      <c r="H197" s="15"/>
      <c r="I197" s="15"/>
    </row>
    <row r="198" spans="1:9">
      <c r="A198" s="5"/>
      <c r="B198" s="5"/>
      <c r="C198" s="5"/>
      <c r="D198" s="13"/>
      <c r="E198" s="14"/>
      <c r="F198" s="13"/>
      <c r="G198" s="15"/>
      <c r="H198" s="15"/>
      <c r="I198" s="15"/>
    </row>
    <row r="199" spans="1:9">
      <c r="A199" s="5"/>
      <c r="B199" s="5"/>
      <c r="C199" s="5"/>
      <c r="D199" s="13"/>
      <c r="E199" s="14"/>
      <c r="F199" s="13"/>
      <c r="G199" s="15"/>
      <c r="H199" s="15"/>
      <c r="I199" s="15"/>
    </row>
    <row r="200" spans="1:9">
      <c r="A200" s="5"/>
      <c r="B200" s="5"/>
      <c r="C200" s="5"/>
      <c r="D200" s="13"/>
      <c r="E200" s="14"/>
      <c r="F200" s="13"/>
      <c r="G200" s="15"/>
      <c r="H200" s="15"/>
      <c r="I200" s="15"/>
    </row>
    <row r="201" spans="1:9">
      <c r="A201" s="5"/>
      <c r="B201" s="5"/>
      <c r="C201" s="5"/>
      <c r="D201" s="13"/>
      <c r="E201" s="14"/>
      <c r="F201" s="13"/>
      <c r="G201" s="15"/>
      <c r="H201" s="15"/>
      <c r="I201" s="15"/>
    </row>
    <row r="202" spans="1:9">
      <c r="A202" s="5"/>
      <c r="B202" s="5"/>
      <c r="C202" s="5"/>
      <c r="D202" s="13"/>
      <c r="E202" s="14"/>
      <c r="F202" s="13"/>
      <c r="G202" s="15"/>
      <c r="H202" s="15"/>
      <c r="I202" s="15"/>
    </row>
    <row r="203" spans="1:9">
      <c r="A203" s="5"/>
      <c r="B203" s="5"/>
      <c r="C203" s="5"/>
      <c r="D203" s="13"/>
      <c r="E203" s="14"/>
      <c r="F203" s="13"/>
      <c r="G203" s="15"/>
      <c r="H203" s="15"/>
      <c r="I203" s="15"/>
    </row>
    <row r="204" spans="1:9">
      <c r="A204" s="5"/>
      <c r="B204" s="5"/>
      <c r="C204" s="5"/>
      <c r="D204" s="13"/>
      <c r="E204" s="14"/>
      <c r="F204" s="13"/>
      <c r="G204" s="15"/>
      <c r="H204" s="15"/>
      <c r="I204" s="15"/>
    </row>
    <row r="205" spans="1:9">
      <c r="A205" s="5"/>
      <c r="B205" s="5"/>
      <c r="C205" s="5"/>
      <c r="D205" s="13"/>
      <c r="E205" s="14"/>
      <c r="F205" s="13"/>
      <c r="G205" s="15"/>
      <c r="H205" s="15"/>
      <c r="I205" s="15"/>
    </row>
    <row r="206" spans="1:9">
      <c r="A206" s="5"/>
      <c r="B206" s="5"/>
      <c r="C206" s="5"/>
      <c r="D206" s="13"/>
      <c r="E206" s="14"/>
      <c r="F206" s="13"/>
      <c r="G206" s="15"/>
      <c r="H206" s="15"/>
      <c r="I206" s="15"/>
    </row>
    <row r="207" spans="1:9">
      <c r="A207" s="5"/>
      <c r="B207" s="5"/>
      <c r="C207" s="5"/>
      <c r="D207" s="13"/>
      <c r="E207" s="14"/>
      <c r="F207" s="13"/>
      <c r="G207" s="15"/>
      <c r="H207" s="15"/>
      <c r="I207" s="15"/>
    </row>
    <row r="208" spans="1:9">
      <c r="A208" s="5"/>
      <c r="B208" s="5"/>
      <c r="C208" s="5"/>
      <c r="D208" s="13"/>
      <c r="E208" s="14"/>
      <c r="F208" s="13"/>
      <c r="G208" s="15"/>
      <c r="H208" s="15"/>
      <c r="I208" s="15"/>
    </row>
    <row r="209" spans="1:9">
      <c r="A209" s="5"/>
      <c r="B209" s="5"/>
      <c r="C209" s="5"/>
      <c r="D209" s="13"/>
      <c r="E209" s="14"/>
      <c r="F209" s="13"/>
      <c r="G209" s="15"/>
      <c r="H209" s="15"/>
      <c r="I209" s="15"/>
    </row>
    <row r="210" spans="1:9">
      <c r="A210" s="5"/>
      <c r="B210" s="5"/>
      <c r="C210" s="5"/>
      <c r="D210" s="13"/>
      <c r="E210" s="14"/>
      <c r="F210" s="13"/>
      <c r="G210" s="15"/>
      <c r="H210" s="15"/>
      <c r="I210" s="15"/>
    </row>
    <row r="211" spans="1:9">
      <c r="A211" s="5"/>
      <c r="B211" s="5"/>
      <c r="C211" s="5"/>
      <c r="D211" s="13"/>
      <c r="E211" s="14"/>
      <c r="F211" s="13"/>
      <c r="G211" s="15"/>
      <c r="H211" s="15"/>
      <c r="I211" s="15"/>
    </row>
    <row r="212" spans="1:9">
      <c r="A212" s="5"/>
      <c r="B212" s="5"/>
      <c r="C212" s="5"/>
      <c r="D212" s="13"/>
      <c r="E212" s="14"/>
      <c r="F212" s="13"/>
      <c r="G212" s="15"/>
      <c r="H212" s="15"/>
      <c r="I212" s="15"/>
    </row>
    <row r="213" spans="1:9">
      <c r="A213" s="5"/>
      <c r="B213" s="5"/>
      <c r="C213" s="5"/>
      <c r="D213" s="13"/>
      <c r="E213" s="14"/>
      <c r="F213" s="13"/>
      <c r="G213" s="15"/>
      <c r="H213" s="15"/>
      <c r="I213" s="15"/>
    </row>
    <row r="214" spans="1:9">
      <c r="A214" s="5"/>
      <c r="B214" s="5"/>
      <c r="C214" s="5"/>
      <c r="D214" s="13"/>
      <c r="E214" s="14"/>
      <c r="F214" s="13"/>
      <c r="G214" s="15"/>
      <c r="H214" s="15"/>
      <c r="I214" s="15"/>
    </row>
    <row r="215" spans="1:9">
      <c r="A215" s="5"/>
      <c r="B215" s="5"/>
      <c r="C215" s="5"/>
      <c r="D215" s="13"/>
      <c r="E215" s="14"/>
      <c r="F215" s="13"/>
      <c r="G215" s="15"/>
      <c r="H215" s="15"/>
      <c r="I215" s="15"/>
    </row>
    <row r="216" spans="1:9">
      <c r="A216" s="5"/>
      <c r="B216" s="5"/>
      <c r="C216" s="5"/>
      <c r="D216" s="13"/>
      <c r="E216" s="14"/>
      <c r="F216" s="13"/>
      <c r="G216" s="15"/>
      <c r="H216" s="15"/>
      <c r="I216" s="15"/>
    </row>
    <row r="217" spans="1:9">
      <c r="A217" s="5"/>
      <c r="B217" s="5"/>
      <c r="C217" s="5"/>
      <c r="D217" s="13"/>
      <c r="E217" s="14"/>
      <c r="F217" s="13"/>
      <c r="G217" s="15"/>
      <c r="H217" s="15"/>
      <c r="I217" s="15"/>
    </row>
    <row r="218" spans="1:9">
      <c r="A218" s="5"/>
      <c r="B218" s="5"/>
      <c r="C218" s="5"/>
      <c r="D218" s="13"/>
      <c r="E218" s="14"/>
      <c r="F218" s="13"/>
      <c r="G218" s="15"/>
      <c r="H218" s="15"/>
      <c r="I218" s="15"/>
    </row>
    <row r="219" spans="1:9">
      <c r="A219" s="5"/>
      <c r="B219" s="5"/>
      <c r="C219" s="5"/>
      <c r="D219" s="13"/>
      <c r="E219" s="14"/>
      <c r="F219" s="13"/>
      <c r="G219" s="15"/>
      <c r="H219" s="15"/>
      <c r="I219" s="15"/>
    </row>
    <row r="220" spans="1:9">
      <c r="A220" s="5"/>
      <c r="B220" s="5"/>
      <c r="C220" s="5"/>
      <c r="D220" s="13"/>
      <c r="E220" s="14"/>
      <c r="F220" s="13"/>
      <c r="G220" s="15"/>
      <c r="H220" s="15"/>
      <c r="I220" s="15"/>
    </row>
    <row r="221" spans="1:9">
      <c r="A221" s="5"/>
      <c r="B221" s="5"/>
      <c r="C221" s="5"/>
      <c r="D221" s="13"/>
      <c r="E221" s="14"/>
      <c r="F221" s="13"/>
      <c r="G221" s="15"/>
      <c r="H221" s="15"/>
      <c r="I221" s="15"/>
    </row>
    <row r="222" spans="1:9">
      <c r="A222" s="5"/>
      <c r="B222" s="5"/>
      <c r="C222" s="5"/>
      <c r="D222" s="13"/>
      <c r="E222" s="14"/>
      <c r="F222" s="13"/>
      <c r="G222" s="15"/>
      <c r="H222" s="15"/>
      <c r="I222" s="15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66A2-E867-4EDD-BBEF-34A3019B1809}">
  <dimension ref="A1:O24"/>
  <sheetViews>
    <sheetView workbookViewId="0">
      <selection activeCell="D14" sqref="D14"/>
    </sheetView>
  </sheetViews>
  <sheetFormatPr defaultRowHeight="15"/>
  <cols>
    <col min="1" max="1" width="62.140625" bestFit="1" customWidth="1"/>
    <col min="2" max="2" width="19" customWidth="1"/>
    <col min="3" max="3" width="22.5703125" customWidth="1"/>
    <col min="4" max="4" width="20.7109375" customWidth="1"/>
    <col min="5" max="5" width="14" customWidth="1"/>
    <col min="6" max="6" width="20" customWidth="1"/>
    <col min="7" max="7" width="24.5703125" customWidth="1"/>
    <col min="8" max="8" width="16" customWidth="1"/>
    <col min="9" max="9" width="16.42578125" customWidth="1"/>
    <col min="10" max="11" width="10" customWidth="1"/>
    <col min="12" max="12" width="18" customWidth="1"/>
    <col min="13" max="14" width="12" customWidth="1"/>
    <col min="15" max="15" width="10.140625" bestFit="1" customWidth="1"/>
  </cols>
  <sheetData>
    <row r="1" spans="1:15" ht="18.75">
      <c r="A1" s="17" t="s">
        <v>87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3" spans="1:15">
      <c r="A3" s="28" t="s">
        <v>88</v>
      </c>
    </row>
    <row r="4" spans="1:15">
      <c r="A4" s="29" t="s">
        <v>89</v>
      </c>
      <c r="B4" s="29" t="s">
        <v>2</v>
      </c>
    </row>
    <row r="5" spans="1:15">
      <c r="A5" s="30" t="s">
        <v>91</v>
      </c>
      <c r="B5" s="30">
        <v>5000</v>
      </c>
    </row>
    <row r="6" spans="1:15">
      <c r="A6" s="30" t="s">
        <v>92</v>
      </c>
      <c r="B6" s="30">
        <v>-5</v>
      </c>
    </row>
    <row r="7" spans="1:15">
      <c r="A7" s="30" t="s">
        <v>93</v>
      </c>
      <c r="B7" s="30">
        <v>1000</v>
      </c>
    </row>
    <row r="8" spans="1:15">
      <c r="A8" s="30" t="s">
        <v>94</v>
      </c>
      <c r="B8" s="34">
        <v>1.1E-4</v>
      </c>
    </row>
    <row r="9" spans="1:15">
      <c r="A9" s="30" t="s">
        <v>95</v>
      </c>
      <c r="B9" s="30">
        <v>1</v>
      </c>
    </row>
    <row r="10" spans="1:15">
      <c r="A10" s="30" t="s">
        <v>96</v>
      </c>
      <c r="B10" s="30">
        <v>1</v>
      </c>
    </row>
    <row r="11" spans="1:15">
      <c r="A11" s="30" t="s">
        <v>107</v>
      </c>
      <c r="B11" s="30">
        <v>-50</v>
      </c>
    </row>
    <row r="12" spans="1:15">
      <c r="A12" s="3" t="s">
        <v>67</v>
      </c>
      <c r="B12" s="22">
        <v>0.16</v>
      </c>
    </row>
    <row r="14" spans="1:15" ht="75">
      <c r="A14" s="31" t="s">
        <v>90</v>
      </c>
      <c r="B14" s="31" t="s">
        <v>230</v>
      </c>
      <c r="C14" s="31" t="s">
        <v>231</v>
      </c>
      <c r="D14" s="31" t="s">
        <v>112</v>
      </c>
      <c r="E14" s="38" t="s">
        <v>114</v>
      </c>
      <c r="F14" s="38" t="s">
        <v>113</v>
      </c>
      <c r="G14" s="38" t="s">
        <v>115</v>
      </c>
      <c r="H14" s="38" t="s">
        <v>116</v>
      </c>
      <c r="I14" s="31" t="s">
        <v>117</v>
      </c>
      <c r="J14" s="31" t="s">
        <v>111</v>
      </c>
      <c r="K14" s="31" t="s">
        <v>110</v>
      </c>
      <c r="L14" s="31" t="s">
        <v>109</v>
      </c>
      <c r="M14" s="31" t="s">
        <v>108</v>
      </c>
      <c r="N14" s="38" t="s">
        <v>232</v>
      </c>
      <c r="O14" s="31" t="s">
        <v>69</v>
      </c>
    </row>
    <row r="15" spans="1:15">
      <c r="A15" s="36" t="s">
        <v>97</v>
      </c>
      <c r="B15" s="35">
        <f>'上海金vsComex Future'!D102</f>
        <v>989.68</v>
      </c>
      <c r="C15" s="35">
        <f>'上海金vsComex Future'!E102</f>
        <v>990.83</v>
      </c>
      <c r="D15" s="32">
        <f>B15-C15</f>
        <v>-1.1500000000000909</v>
      </c>
      <c r="E15" s="33"/>
      <c r="F15" s="33"/>
      <c r="G15" s="33"/>
      <c r="H15" s="33"/>
      <c r="I15" s="37">
        <f t="shared" ref="I15:I24" si="0">$B$8</f>
        <v>1.1E-4</v>
      </c>
      <c r="J15" s="33">
        <f t="shared" ref="J15:J24" si="1">$B$9</f>
        <v>1</v>
      </c>
      <c r="K15" s="33">
        <f t="shared" ref="K15:K24" si="2">$B$10</f>
        <v>1</v>
      </c>
      <c r="L15" s="23">
        <f>-SIGN($B$6)*J15*ABS($B$6)*$B$7*C15*I15*K15</f>
        <v>544.95650000000001</v>
      </c>
      <c r="M15" s="23">
        <f>$B$11</f>
        <v>-50</v>
      </c>
      <c r="N15" s="23">
        <f>G15+L15+M15</f>
        <v>494.95650000000001</v>
      </c>
      <c r="O15" s="23">
        <f>$B$5*B15*$B$12</f>
        <v>791744</v>
      </c>
    </row>
    <row r="16" spans="1:15">
      <c r="A16" s="36" t="s">
        <v>98</v>
      </c>
      <c r="B16" s="35">
        <f>'上海金vsComex Future'!D103</f>
        <v>1000.04</v>
      </c>
      <c r="C16" s="35">
        <f>'上海金vsComex Future'!E103</f>
        <v>1001.92</v>
      </c>
      <c r="D16" s="32">
        <f>B16-C16</f>
        <v>-1.8799999999999955</v>
      </c>
      <c r="E16" s="23">
        <f>$B$6*$B$7*(B16-B15)</f>
        <v>-51800.000000000065</v>
      </c>
      <c r="F16" s="23">
        <f>$B$5*(C16-C15)</f>
        <v>55449.999999999593</v>
      </c>
      <c r="G16" s="23">
        <f>E16+F16</f>
        <v>3649.9999999995271</v>
      </c>
      <c r="H16" s="23">
        <f>$B$6*$B$7*(D16-D15)</f>
        <v>3649.9999999995225</v>
      </c>
      <c r="I16" s="37">
        <f t="shared" si="0"/>
        <v>1.1E-4</v>
      </c>
      <c r="J16" s="33">
        <f>$B$9*-1</f>
        <v>-1</v>
      </c>
      <c r="K16" s="33">
        <f t="shared" si="2"/>
        <v>1</v>
      </c>
      <c r="L16" s="23">
        <f>-SIGN($B$6)*J16*ABS($B$6)*$B$7*C16*I16*K16</f>
        <v>-551.05600000000004</v>
      </c>
      <c r="M16" s="23">
        <f>$B$11</f>
        <v>-50</v>
      </c>
      <c r="N16" s="23">
        <f>G16+L16+M16</f>
        <v>3048.943999999527</v>
      </c>
      <c r="O16" s="23">
        <f t="shared" ref="O16:O24" si="3">$B$5*B16*$B$12</f>
        <v>800032</v>
      </c>
    </row>
    <row r="17" spans="1:15">
      <c r="A17" s="36" t="s">
        <v>99</v>
      </c>
      <c r="B17" s="35">
        <f>'上海金vsComex Future'!D104</f>
        <v>1001.05</v>
      </c>
      <c r="C17" s="35">
        <f>'上海金vsComex Future'!E104</f>
        <v>1002.02</v>
      </c>
      <c r="D17" s="32">
        <f t="shared" ref="D17:D24" si="4">B17-C17</f>
        <v>-0.97000000000002728</v>
      </c>
      <c r="E17" s="23">
        <f t="shared" ref="E17:E24" si="5">$B$6*$B$7*(B17-B16)</f>
        <v>-5049.9999999999545</v>
      </c>
      <c r="F17" s="23">
        <f t="shared" ref="F17:F24" si="6">$B$5*(C17-C16)</f>
        <v>500.00000000011369</v>
      </c>
      <c r="G17" s="23">
        <f>E17+F17</f>
        <v>-4549.9999999998408</v>
      </c>
      <c r="H17" s="23">
        <f t="shared" ref="H17:H24" si="7">$B$6*$B$7*(D17-D16)</f>
        <v>-4549.9999999998408</v>
      </c>
      <c r="I17" s="37">
        <f t="shared" si="0"/>
        <v>1.1E-4</v>
      </c>
      <c r="J17" s="33">
        <f t="shared" si="1"/>
        <v>1</v>
      </c>
      <c r="K17" s="33">
        <f t="shared" si="2"/>
        <v>1</v>
      </c>
      <c r="L17" s="23">
        <f>-SIGN($B$6)*J17*ABS($B$6)*$B$7*C17*I17*K17</f>
        <v>551.11099999999999</v>
      </c>
      <c r="M17" s="23">
        <f t="shared" ref="M17:M24" si="8">$B$11</f>
        <v>-50</v>
      </c>
      <c r="N17" s="23">
        <f>G17+L17+M17</f>
        <v>-4048.888999999841</v>
      </c>
      <c r="O17" s="23">
        <f t="shared" si="3"/>
        <v>800840</v>
      </c>
    </row>
    <row r="18" spans="1:15">
      <c r="A18" s="36" t="s">
        <v>100</v>
      </c>
      <c r="B18" s="35">
        <f>'上海金vsComex Future'!D105</f>
        <v>996.19</v>
      </c>
      <c r="C18" s="35">
        <f>'上海金vsComex Future'!E105</f>
        <v>996.57</v>
      </c>
      <c r="D18" s="32">
        <f t="shared" si="4"/>
        <v>-0.37999999999999545</v>
      </c>
      <c r="E18" s="23">
        <f t="shared" si="5"/>
        <v>24299.999999999498</v>
      </c>
      <c r="F18" s="23">
        <f t="shared" si="6"/>
        <v>-27249.999999999658</v>
      </c>
      <c r="G18" s="23">
        <f t="shared" ref="G18:G23" si="9">E18+F18</f>
        <v>-2950.0000000001601</v>
      </c>
      <c r="H18" s="23">
        <f t="shared" si="7"/>
        <v>-2950.0000000001592</v>
      </c>
      <c r="I18" s="37">
        <f t="shared" si="0"/>
        <v>1.1E-4</v>
      </c>
      <c r="J18" s="33">
        <f t="shared" si="1"/>
        <v>1</v>
      </c>
      <c r="K18" s="33">
        <f t="shared" si="2"/>
        <v>1</v>
      </c>
      <c r="L18" s="23">
        <f>-SIGN($B$6)*J18*ABS($B$6)*$B$7*C18*I18*K18</f>
        <v>548.11350000000004</v>
      </c>
      <c r="M18" s="23">
        <f t="shared" si="8"/>
        <v>-50</v>
      </c>
      <c r="N18" s="23">
        <f>G18+L18+M18</f>
        <v>-2451.8865000001601</v>
      </c>
      <c r="O18" s="23">
        <f t="shared" si="3"/>
        <v>796952</v>
      </c>
    </row>
    <row r="19" spans="1:15">
      <c r="A19" s="36" t="s">
        <v>101</v>
      </c>
      <c r="B19" s="35">
        <f>'上海金vsComex Future'!D106</f>
        <v>1000</v>
      </c>
      <c r="C19" s="35">
        <f>'上海金vsComex Future'!E106</f>
        <v>1002.51</v>
      </c>
      <c r="D19" s="32">
        <f t="shared" si="4"/>
        <v>-2.5099999999999909</v>
      </c>
      <c r="E19" s="23">
        <f t="shared" si="5"/>
        <v>-19049.999999999727</v>
      </c>
      <c r="F19" s="23">
        <f t="shared" si="6"/>
        <v>29699.999999999705</v>
      </c>
      <c r="G19" s="23">
        <f t="shared" si="9"/>
        <v>10649.999999999978</v>
      </c>
      <c r="H19" s="23">
        <f t="shared" si="7"/>
        <v>10649.999999999978</v>
      </c>
      <c r="I19" s="37">
        <f t="shared" si="0"/>
        <v>1.1E-4</v>
      </c>
      <c r="J19" s="33">
        <f t="shared" si="1"/>
        <v>1</v>
      </c>
      <c r="K19" s="33">
        <f t="shared" si="2"/>
        <v>1</v>
      </c>
      <c r="L19" s="23">
        <f>-SIGN($B$6)*J19*ABS($B$6)*$B$7*C19*I19*K19</f>
        <v>551.38049999999998</v>
      </c>
      <c r="M19" s="23">
        <f t="shared" si="8"/>
        <v>-50</v>
      </c>
      <c r="N19" s="23">
        <f>G19+L19+M19</f>
        <v>11151.380499999977</v>
      </c>
      <c r="O19" s="23">
        <f t="shared" si="3"/>
        <v>800000</v>
      </c>
    </row>
    <row r="20" spans="1:15">
      <c r="A20" s="36" t="s">
        <v>102</v>
      </c>
      <c r="B20" s="35">
        <f>'上海金vsComex Future'!D107</f>
        <v>1019</v>
      </c>
      <c r="C20" s="35">
        <f>'上海金vsComex Future'!E107</f>
        <v>1022.57</v>
      </c>
      <c r="D20" s="32">
        <f t="shared" si="4"/>
        <v>-3.57000000000005</v>
      </c>
      <c r="E20" s="23">
        <f t="shared" si="5"/>
        <v>-95000</v>
      </c>
      <c r="F20" s="23">
        <f t="shared" si="6"/>
        <v>100300.00000000029</v>
      </c>
      <c r="G20" s="23">
        <f t="shared" si="9"/>
        <v>5300.000000000291</v>
      </c>
      <c r="H20" s="23">
        <f t="shared" si="7"/>
        <v>5300.0000000002956</v>
      </c>
      <c r="I20" s="37">
        <f t="shared" si="0"/>
        <v>1.1E-4</v>
      </c>
      <c r="J20" s="33">
        <f>$B$9*-1</f>
        <v>-1</v>
      </c>
      <c r="K20" s="33">
        <v>3</v>
      </c>
      <c r="L20" s="23">
        <f>-SIGN($B$6)*J20*ABS($B$6)*$B$7*C20*I20*K20</f>
        <v>-1687.2404999999999</v>
      </c>
      <c r="M20" s="23">
        <f t="shared" si="8"/>
        <v>-50</v>
      </c>
      <c r="N20" s="23">
        <f>G20+L20+M20</f>
        <v>3562.7595000002912</v>
      </c>
      <c r="O20" s="23">
        <f t="shared" si="3"/>
        <v>815200</v>
      </c>
    </row>
    <row r="21" spans="1:15">
      <c r="A21" s="36" t="s">
        <v>103</v>
      </c>
      <c r="B21" s="35">
        <f>'上海金vsComex Future'!D108</f>
        <v>1025.8399999999999</v>
      </c>
      <c r="C21" s="35">
        <f>'上海金vsComex Future'!E108</f>
        <v>1025.8399999999999</v>
      </c>
      <c r="D21" s="32">
        <f t="shared" si="4"/>
        <v>0</v>
      </c>
      <c r="E21" s="23">
        <f t="shared" si="5"/>
        <v>-34199.999999999593</v>
      </c>
      <c r="F21" s="23">
        <f t="shared" si="6"/>
        <v>16349.999999999342</v>
      </c>
      <c r="G21" s="23">
        <f t="shared" si="9"/>
        <v>-17850.000000000251</v>
      </c>
      <c r="H21" s="23">
        <f t="shared" si="7"/>
        <v>-17850.000000000251</v>
      </c>
      <c r="I21" s="37">
        <f t="shared" si="0"/>
        <v>1.1E-4</v>
      </c>
      <c r="J21" s="33">
        <f>$B$9*-1</f>
        <v>-1</v>
      </c>
      <c r="K21" s="33">
        <f t="shared" si="2"/>
        <v>1</v>
      </c>
      <c r="L21" s="23">
        <f>-SIGN($B$6)*J21*ABS($B$6)*$B$7*C21*I21*K21</f>
        <v>-564.21199999999999</v>
      </c>
      <c r="M21" s="23">
        <f t="shared" si="8"/>
        <v>-50</v>
      </c>
      <c r="N21" s="23">
        <f>G21+L21+M21</f>
        <v>-18464.212000000251</v>
      </c>
      <c r="O21" s="23">
        <f t="shared" si="3"/>
        <v>820672</v>
      </c>
    </row>
    <row r="22" spans="1:15">
      <c r="A22" s="36" t="s">
        <v>104</v>
      </c>
      <c r="B22" s="35">
        <f>'上海金vsComex Future'!D109</f>
        <v>1033.49</v>
      </c>
      <c r="C22" s="35">
        <f>'上海金vsComex Future'!E109</f>
        <v>1035.3900000000001</v>
      </c>
      <c r="D22" s="32">
        <f t="shared" si="4"/>
        <v>-1.9000000000000909</v>
      </c>
      <c r="E22" s="23">
        <f t="shared" si="5"/>
        <v>-38250.000000000451</v>
      </c>
      <c r="F22" s="23">
        <f t="shared" si="6"/>
        <v>47750.000000000909</v>
      </c>
      <c r="G22" s="23">
        <f t="shared" si="9"/>
        <v>9500.0000000004584</v>
      </c>
      <c r="H22" s="23">
        <f t="shared" si="7"/>
        <v>9500.0000000004547</v>
      </c>
      <c r="I22" s="37">
        <f t="shared" si="0"/>
        <v>1.1E-4</v>
      </c>
      <c r="J22" s="33">
        <f t="shared" si="1"/>
        <v>1</v>
      </c>
      <c r="K22" s="33">
        <f t="shared" si="2"/>
        <v>1</v>
      </c>
      <c r="L22" s="23">
        <f>-SIGN($B$6)*J22*ABS($B$6)*$B$7*C22*I22*K22</f>
        <v>569.46450000000016</v>
      </c>
      <c r="M22" s="23">
        <f t="shared" si="8"/>
        <v>-50</v>
      </c>
      <c r="N22" s="23">
        <f>G22+L22+M22</f>
        <v>10019.464500000458</v>
      </c>
      <c r="O22" s="23">
        <f t="shared" si="3"/>
        <v>826792</v>
      </c>
    </row>
    <row r="23" spans="1:15">
      <c r="A23" s="36" t="s">
        <v>105</v>
      </c>
      <c r="B23" s="35">
        <f>'上海金vsComex Future'!D110</f>
        <v>1030.92</v>
      </c>
      <c r="C23" s="35">
        <f>'上海金vsComex Future'!E110</f>
        <v>1031.07</v>
      </c>
      <c r="D23" s="32">
        <f t="shared" si="4"/>
        <v>-0.14999999999986358</v>
      </c>
      <c r="E23" s="23">
        <f t="shared" si="5"/>
        <v>12849.999999999682</v>
      </c>
      <c r="F23" s="23">
        <f t="shared" si="6"/>
        <v>-21600.000000000819</v>
      </c>
      <c r="G23" s="23">
        <f t="shared" si="9"/>
        <v>-8750.0000000011369</v>
      </c>
      <c r="H23" s="23">
        <f t="shared" si="7"/>
        <v>-8750.0000000011369</v>
      </c>
      <c r="I23" s="37">
        <f t="shared" si="0"/>
        <v>1.1E-4</v>
      </c>
      <c r="J23" s="33">
        <f>$B$9*-1</f>
        <v>-1</v>
      </c>
      <c r="K23" s="33">
        <f t="shared" si="2"/>
        <v>1</v>
      </c>
      <c r="L23" s="23">
        <f>-SIGN($B$6)*J23*ABS($B$6)*$B$7*C23*I23*K23</f>
        <v>-567.08850000000007</v>
      </c>
      <c r="M23" s="23">
        <f t="shared" si="8"/>
        <v>-50</v>
      </c>
      <c r="N23" s="23">
        <f>G23+L23+M23</f>
        <v>-9367.0885000011367</v>
      </c>
      <c r="O23" s="23">
        <f t="shared" si="3"/>
        <v>824736</v>
      </c>
    </row>
    <row r="24" spans="1:15">
      <c r="A24" s="36" t="s">
        <v>106</v>
      </c>
      <c r="B24" s="35">
        <f>'上海金vsComex Future'!D111</f>
        <v>1030.6600000000001</v>
      </c>
      <c r="C24" s="35">
        <f>'上海金vsComex Future'!E111</f>
        <v>1030.9100000000001</v>
      </c>
      <c r="D24" s="32">
        <f t="shared" si="4"/>
        <v>-0.25</v>
      </c>
      <c r="E24" s="23">
        <f t="shared" si="5"/>
        <v>1299.9999999999545</v>
      </c>
      <c r="F24" s="23">
        <f t="shared" si="6"/>
        <v>-799.9999999992724</v>
      </c>
      <c r="G24" s="23">
        <f>E24+F24</f>
        <v>500.00000000068212</v>
      </c>
      <c r="H24" s="23">
        <f t="shared" si="7"/>
        <v>500.00000000068212</v>
      </c>
      <c r="I24" s="37">
        <f t="shared" si="0"/>
        <v>1.1E-4</v>
      </c>
      <c r="J24" s="33">
        <f t="shared" si="1"/>
        <v>1</v>
      </c>
      <c r="K24" s="33">
        <f t="shared" si="2"/>
        <v>1</v>
      </c>
      <c r="L24" s="23">
        <f>-SIGN($B$6)*J24*ABS($B$6)*$B$7*C24*I24*K24</f>
        <v>567.00049999999999</v>
      </c>
      <c r="M24" s="23">
        <f t="shared" si="8"/>
        <v>-50</v>
      </c>
      <c r="N24" s="23">
        <f>G24+L24+M24</f>
        <v>1017.0005000006822</v>
      </c>
      <c r="O24" s="23">
        <f t="shared" si="3"/>
        <v>824528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AD2A-9C19-4019-9DA8-C2A1960680E6}">
  <dimension ref="A1:Z111"/>
  <sheetViews>
    <sheetView tabSelected="1" topLeftCell="D1" zoomScale="85" zoomScaleNormal="85" workbookViewId="0">
      <selection activeCell="O111" sqref="O111"/>
    </sheetView>
  </sheetViews>
  <sheetFormatPr defaultRowHeight="15"/>
  <cols>
    <col min="1" max="1" width="78.7109375" bestFit="1" customWidth="1"/>
    <col min="2" max="2" width="15" customWidth="1"/>
    <col min="3" max="3" width="10" customWidth="1"/>
    <col min="4" max="4" width="18" customWidth="1"/>
    <col min="5" max="5" width="20" customWidth="1"/>
    <col min="6" max="6" width="20" hidden="1" customWidth="1"/>
    <col min="7" max="7" width="30.140625" customWidth="1"/>
    <col min="8" max="8" width="22.7109375" bestFit="1" customWidth="1"/>
    <col min="9" max="9" width="25.85546875" hidden="1" customWidth="1"/>
    <col min="10" max="10" width="23.5703125" hidden="1" customWidth="1"/>
    <col min="11" max="11" width="30.5703125" customWidth="1"/>
    <col min="12" max="12" width="40.85546875" customWidth="1"/>
    <col min="13" max="13" width="35" bestFit="1" customWidth="1"/>
    <col min="14" max="15" width="35" customWidth="1"/>
    <col min="16" max="16" width="21.42578125" customWidth="1"/>
    <col min="17" max="17" width="19.28515625" customWidth="1"/>
    <col min="18" max="18" width="19.140625" customWidth="1"/>
    <col min="19" max="19" width="20" hidden="1" customWidth="1"/>
    <col min="20" max="21" width="12" hidden="1" customWidth="1"/>
    <col min="22" max="22" width="10" hidden="1" customWidth="1"/>
    <col min="23" max="23" width="12" hidden="1" customWidth="1"/>
    <col min="24" max="24" width="17.7109375" hidden="1" customWidth="1"/>
    <col min="25" max="25" width="14" hidden="1" customWidth="1"/>
    <col min="26" max="26" width="19.85546875" hidden="1" customWidth="1"/>
  </cols>
  <sheetData>
    <row r="1" spans="1:3" ht="18.75">
      <c r="A1" s="1" t="s">
        <v>236</v>
      </c>
    </row>
    <row r="2" spans="1:3">
      <c r="A2" s="28" t="s">
        <v>118</v>
      </c>
    </row>
    <row r="3" spans="1:3">
      <c r="A3" s="29" t="s">
        <v>89</v>
      </c>
      <c r="B3" s="29" t="s">
        <v>2</v>
      </c>
      <c r="C3" s="29" t="s">
        <v>3</v>
      </c>
    </row>
    <row r="4" spans="1:3">
      <c r="A4" s="30" t="s">
        <v>119</v>
      </c>
      <c r="B4" s="39">
        <v>60</v>
      </c>
      <c r="C4" s="40"/>
    </row>
    <row r="5" spans="1:3" hidden="1">
      <c r="A5" s="30" t="s">
        <v>120</v>
      </c>
      <c r="B5" s="41">
        <v>0.3</v>
      </c>
      <c r="C5" s="40"/>
    </row>
    <row r="6" spans="1:3" ht="60.75" hidden="1" customHeight="1">
      <c r="A6" s="30" t="s">
        <v>121</v>
      </c>
      <c r="B6" s="41">
        <v>2</v>
      </c>
      <c r="C6" s="40"/>
    </row>
    <row r="7" spans="1:3" ht="60.75" hidden="1" customHeight="1">
      <c r="A7" s="30" t="s">
        <v>122</v>
      </c>
      <c r="B7" s="41">
        <v>0.5</v>
      </c>
      <c r="C7" s="40"/>
    </row>
    <row r="8" spans="1:3" ht="60.75" hidden="1" customHeight="1">
      <c r="A8" s="30" t="s">
        <v>123</v>
      </c>
      <c r="B8" s="41">
        <v>3.5</v>
      </c>
      <c r="C8" s="40"/>
    </row>
    <row r="9" spans="1:3" hidden="1">
      <c r="A9" s="30" t="s">
        <v>124</v>
      </c>
      <c r="B9" s="41">
        <v>5</v>
      </c>
      <c r="C9" s="40"/>
    </row>
    <row r="10" spans="1:3" hidden="1">
      <c r="A10" s="30" t="s">
        <v>125</v>
      </c>
      <c r="B10" s="39">
        <v>10</v>
      </c>
      <c r="C10" s="40"/>
    </row>
    <row r="11" spans="1:3" hidden="1">
      <c r="A11" s="30" t="s">
        <v>126</v>
      </c>
      <c r="B11" s="42">
        <v>5</v>
      </c>
      <c r="C11" s="40"/>
    </row>
    <row r="12" spans="1:3" hidden="1">
      <c r="A12" s="30" t="s">
        <v>127</v>
      </c>
      <c r="B12" s="42">
        <v>2</v>
      </c>
      <c r="C12" s="40"/>
    </row>
    <row r="13" spans="1:3" hidden="1">
      <c r="A13" s="30" t="s">
        <v>128</v>
      </c>
      <c r="B13" s="39">
        <v>1</v>
      </c>
      <c r="C13" s="40"/>
    </row>
    <row r="14" spans="1:3">
      <c r="A14" s="30" t="s">
        <v>129</v>
      </c>
      <c r="B14" s="43">
        <v>31.1035</v>
      </c>
      <c r="C14" s="40"/>
    </row>
    <row r="15" spans="1:3" hidden="1">
      <c r="A15" s="30" t="s">
        <v>130</v>
      </c>
      <c r="B15" s="39">
        <v>100</v>
      </c>
      <c r="C15" s="40"/>
    </row>
    <row r="16" spans="1:3" hidden="1">
      <c r="A16" s="30" t="s">
        <v>131</v>
      </c>
      <c r="B16" s="39">
        <v>1000</v>
      </c>
      <c r="C16" s="40"/>
    </row>
    <row r="17" spans="1:26" hidden="1">
      <c r="A17" s="30" t="s">
        <v>132</v>
      </c>
      <c r="B17" s="41">
        <v>0.1</v>
      </c>
      <c r="C17" s="40"/>
    </row>
    <row r="19" spans="1:26" ht="30" customHeight="1">
      <c r="A19" s="28" t="s">
        <v>133</v>
      </c>
      <c r="B19" s="44" t="s">
        <v>134</v>
      </c>
      <c r="C19" s="18"/>
      <c r="D19" s="18"/>
      <c r="E19" s="18"/>
      <c r="F19" s="18"/>
    </row>
    <row r="20" spans="1:26" ht="42" customHeight="1">
      <c r="A20" s="31" t="s">
        <v>90</v>
      </c>
      <c r="B20" s="31" t="s">
        <v>135</v>
      </c>
      <c r="C20" s="31" t="s">
        <v>136</v>
      </c>
      <c r="D20" s="31" t="s">
        <v>137</v>
      </c>
      <c r="E20" s="31" t="s">
        <v>138</v>
      </c>
      <c r="F20" s="31" t="s">
        <v>139</v>
      </c>
      <c r="G20" s="31" t="s">
        <v>237</v>
      </c>
      <c r="H20" s="31" t="s">
        <v>238</v>
      </c>
      <c r="I20" s="31" t="s">
        <v>239</v>
      </c>
      <c r="J20" s="31" t="s">
        <v>140</v>
      </c>
      <c r="K20" s="31" t="s">
        <v>240</v>
      </c>
      <c r="L20" s="31" t="s">
        <v>241</v>
      </c>
      <c r="M20" s="31" t="s">
        <v>242</v>
      </c>
      <c r="N20" s="31" t="s">
        <v>243</v>
      </c>
      <c r="O20" s="31" t="s">
        <v>112</v>
      </c>
      <c r="P20" s="31" t="s">
        <v>233</v>
      </c>
      <c r="Q20" s="31" t="s">
        <v>234</v>
      </c>
      <c r="R20" s="31" t="s">
        <v>235</v>
      </c>
      <c r="S20" s="31" t="s">
        <v>141</v>
      </c>
      <c r="T20" s="31" t="s">
        <v>142</v>
      </c>
      <c r="U20" s="31" t="s">
        <v>143</v>
      </c>
      <c r="V20" s="31" t="s">
        <v>144</v>
      </c>
      <c r="W20" s="31" t="s">
        <v>145</v>
      </c>
      <c r="X20" s="31" t="s">
        <v>146</v>
      </c>
      <c r="Y20" s="31" t="s">
        <v>147</v>
      </c>
      <c r="Z20" s="31" t="s">
        <v>148</v>
      </c>
    </row>
    <row r="21" spans="1:26">
      <c r="A21" s="36" t="s">
        <v>149</v>
      </c>
      <c r="B21" s="50">
        <v>3592.2</v>
      </c>
      <c r="C21" s="49">
        <v>7.1378000000000004</v>
      </c>
      <c r="D21" s="35">
        <v>792.77</v>
      </c>
      <c r="E21" s="35">
        <v>795.03</v>
      </c>
      <c r="F21" s="46">
        <v>557.827</v>
      </c>
      <c r="G21" s="46">
        <f>(B21*C21)/$B$14</f>
        <v>824.357553330011</v>
      </c>
      <c r="H21" s="46">
        <f>D21-G21</f>
        <v>-31.587553330011019</v>
      </c>
      <c r="I21" s="46">
        <f>E21-G21</f>
        <v>-29.327553330011028</v>
      </c>
      <c r="J21" s="46">
        <f>F21-G21</f>
        <v>-266.530553330011</v>
      </c>
      <c r="K21" s="46"/>
      <c r="L21" s="46"/>
      <c r="M21" s="46"/>
      <c r="N21" s="46"/>
      <c r="O21" s="46"/>
      <c r="P21" s="46" t="str">
        <f>IF(COUNT($H$21:H21)&lt;$B$4,"",AVERAGE(INDEX($H$21:H21,COUNT($H$21:H21)-$B$4+1):H21))</f>
        <v/>
      </c>
      <c r="Q21" s="46" t="str">
        <f>IF(COUNT($H$21:H21)&lt;$B$4,"",_xludf.STDEV.S(INDEX($H$21:H21,COUNT($H$21:H21)-$B$4+1):H21))</f>
        <v/>
      </c>
      <c r="R21" s="45" t="str">
        <f t="shared" ref="R21:R84" si="0">IF(OR(P21="",Q21=""),"",(H21-P21)/Q21)</f>
        <v/>
      </c>
      <c r="T21" s="45" t="str">
        <f t="shared" ref="T21:T84" si="1">IF(R21="","",MIN($B$12,ABS(R21)/$B$6))</f>
        <v/>
      </c>
      <c r="U21" s="47" t="str">
        <f t="shared" ref="U21:U84" si="2">IF(R21="","",$B$11*1000*T21)</f>
        <v/>
      </c>
      <c r="V21" s="46"/>
      <c r="W21" s="46"/>
      <c r="X21" s="45">
        <f t="shared" ref="X21:X84" si="3">IF(OR(R21="",$B$13=0),0,-W21*$B$15*B21)</f>
        <v>0</v>
      </c>
      <c r="Y21" s="47"/>
      <c r="Z21" t="str">
        <f>IF(R21="","",IF(AND(ABS(R21)&gt;=$B$6,ABS(H21)&gt;=$B$5,ABS(H21)&lt;=$B$9,ABS(Y21)&gt;=U21*($B$5+$B$17)),"GO",IF(ABS(R21)&gt;=$B$6,"NO_GO","")))</f>
        <v/>
      </c>
    </row>
    <row r="22" spans="1:26">
      <c r="A22" s="36" t="s">
        <v>150</v>
      </c>
      <c r="B22" s="50">
        <v>3592.2</v>
      </c>
      <c r="C22" s="49">
        <v>7.1395</v>
      </c>
      <c r="D22" s="35">
        <v>800.94</v>
      </c>
      <c r="E22" s="35">
        <v>801.72</v>
      </c>
      <c r="F22" s="46">
        <v>557.65200000000004</v>
      </c>
      <c r="G22" s="46">
        <f t="shared" ref="G22:G85" si="4">(B22*C22)/$B$14</f>
        <v>824.55388943366495</v>
      </c>
      <c r="H22" s="46">
        <f>D22-G22</f>
        <v>-23.613889433664895</v>
      </c>
      <c r="I22" s="46">
        <f t="shared" ref="I21:I84" si="5">E22-G22</f>
        <v>-22.833889433664922</v>
      </c>
      <c r="J22" s="46">
        <f t="shared" ref="J21:J84" si="6">F22-G22</f>
        <v>-266.90188943366491</v>
      </c>
      <c r="K22" s="46">
        <f>-(C21/$B$14)*(B22-B21)</f>
        <v>0</v>
      </c>
      <c r="L22" s="46">
        <f>(B22/$B$14)*(C22-C21)</f>
        <v>0.19633610365388235</v>
      </c>
      <c r="M22" s="46">
        <f>D22-D21</f>
        <v>8.1700000000000728</v>
      </c>
      <c r="N22" s="46">
        <f>E22-E21</f>
        <v>6.6900000000000546</v>
      </c>
      <c r="O22" s="46">
        <f>N22-M22</f>
        <v>-1.4800000000000182</v>
      </c>
      <c r="P22" s="46" t="str">
        <f>IF(COUNT($H$21:H22)&lt;$B$4,"",AVERAGE(INDEX($H$21:H22,COUNT($H$21:H22)-$B$4+1):H22))</f>
        <v/>
      </c>
      <c r="Q22" s="46" t="str">
        <f>IF(COUNT($H$21:H22)&lt;$B$4,"",_xludf.STDEV.S(INDEX($H$21:H22,COUNT($H$21:H22)-$B$4+1):H22))</f>
        <v/>
      </c>
      <c r="R22" s="45" t="str">
        <f t="shared" si="0"/>
        <v/>
      </c>
      <c r="T22" s="45" t="str">
        <f t="shared" si="1"/>
        <v/>
      </c>
      <c r="U22" s="47" t="str">
        <f t="shared" si="2"/>
        <v/>
      </c>
      <c r="V22" s="46"/>
      <c r="W22" s="46"/>
      <c r="X22" s="45">
        <f t="shared" si="3"/>
        <v>0</v>
      </c>
      <c r="Y22" s="47"/>
      <c r="Z22" t="str">
        <f t="shared" ref="Z21:Z84" si="7">IF(R22="","",IF(AND(ABS(R22)&gt;=$B$6,ABS(H22)&gt;=$B$5,ABS(H22)&lt;=$B$9,ABS(Y22)&gt;=U22*($B$5+$B$17)),"GO",IF(ABS(R22)&gt;=$B$6,"NO_GO","")))</f>
        <v/>
      </c>
    </row>
    <row r="23" spans="1:26">
      <c r="A23" s="36" t="s">
        <v>151</v>
      </c>
      <c r="B23" s="50">
        <v>3635.5</v>
      </c>
      <c r="C23" s="49">
        <v>7.1421999999999999</v>
      </c>
      <c r="D23" s="35">
        <v>808.12</v>
      </c>
      <c r="E23" s="35">
        <v>810.44</v>
      </c>
      <c r="F23" s="46">
        <v>557.47699999999998</v>
      </c>
      <c r="G23" s="46">
        <f t="shared" si="4"/>
        <v>834.80856173742495</v>
      </c>
      <c r="H23" s="46">
        <f t="shared" ref="H23:H85" si="8">D23-G23</f>
        <v>-26.688561737424948</v>
      </c>
      <c r="I23" s="46">
        <f t="shared" si="5"/>
        <v>-24.368561737424898</v>
      </c>
      <c r="J23" s="46">
        <f t="shared" si="6"/>
        <v>-277.33156173742498</v>
      </c>
      <c r="K23" s="46">
        <f>-(C22/$B$14)*(B23-B22)</f>
        <v>-9.939085633449654</v>
      </c>
      <c r="L23" s="46">
        <f t="shared" ref="L23:L86" si="9">(B23/$B$14)*(C23-C22)</f>
        <v>0.31558667031040638</v>
      </c>
      <c r="M23" s="46">
        <f t="shared" ref="M23:M86" si="10">D23-D22</f>
        <v>7.17999999999995</v>
      </c>
      <c r="N23" s="46">
        <f t="shared" ref="N23:N86" si="11">E23-E22</f>
        <v>8.7200000000000273</v>
      </c>
      <c r="O23" s="46">
        <f t="shared" ref="O23:O86" si="12">N23-M23</f>
        <v>1.5400000000000773</v>
      </c>
      <c r="P23" s="46" t="str">
        <f>IF(COUNT($H$21:H23)&lt;$B$4,"",AVERAGE(INDEX($H$21:H23,COUNT($H$21:H23)-$B$4+1):H23))</f>
        <v/>
      </c>
      <c r="Q23" s="46" t="str">
        <f>IF(COUNT($H$21:H23)&lt;$B$4,"",_xludf.STDEV.S(INDEX($H$21:H23,COUNT($H$21:H23)-$B$4+1):H23))</f>
        <v/>
      </c>
      <c r="R23" s="45" t="str">
        <f t="shared" si="0"/>
        <v/>
      </c>
      <c r="T23" s="45" t="str">
        <f t="shared" si="1"/>
        <v/>
      </c>
      <c r="U23" s="47" t="str">
        <f t="shared" si="2"/>
        <v/>
      </c>
      <c r="V23" s="46"/>
      <c r="W23" s="46"/>
      <c r="X23" s="45">
        <f t="shared" si="3"/>
        <v>0</v>
      </c>
      <c r="Y23" s="47"/>
      <c r="Z23" t="str">
        <f t="shared" si="7"/>
        <v/>
      </c>
    </row>
    <row r="24" spans="1:26">
      <c r="A24" s="36" t="s">
        <v>152</v>
      </c>
      <c r="B24" s="50">
        <v>3606.7</v>
      </c>
      <c r="C24" s="49">
        <v>7.1417000000000002</v>
      </c>
      <c r="D24" s="35">
        <v>810.63</v>
      </c>
      <c r="E24" s="35">
        <v>809.52</v>
      </c>
      <c r="F24" s="46">
        <v>557.58000000000004</v>
      </c>
      <c r="G24" s="46">
        <f t="shared" si="4"/>
        <v>828.13732827495289</v>
      </c>
      <c r="H24" s="46">
        <f>D24-G24</f>
        <v>-17.507328274952897</v>
      </c>
      <c r="I24" s="46">
        <f t="shared" si="5"/>
        <v>-18.617328274952911</v>
      </c>
      <c r="J24" s="46">
        <f t="shared" si="6"/>
        <v>-270.55732827495285</v>
      </c>
      <c r="K24" s="46">
        <f t="shared" ref="K24:K86" si="13">-(C23/$B$14)*(B24-B23)</f>
        <v>6.6132544568939595</v>
      </c>
      <c r="L24" s="46">
        <f t="shared" si="9"/>
        <v>-5.7979005578118234E-2</v>
      </c>
      <c r="M24" s="46">
        <f t="shared" si="10"/>
        <v>2.5099999999999909</v>
      </c>
      <c r="N24" s="46">
        <f t="shared" si="11"/>
        <v>-0.92000000000007276</v>
      </c>
      <c r="O24" s="46">
        <f t="shared" si="12"/>
        <v>-3.4300000000000637</v>
      </c>
      <c r="P24" s="46" t="str">
        <f>IF(COUNT($H$21:H24)&lt;$B$4,"",AVERAGE(INDEX($H$21:H24,COUNT($H$21:H24)-$B$4+1):H24))</f>
        <v/>
      </c>
      <c r="Q24" s="46" t="str">
        <f>IF(COUNT($H$21:H24)&lt;$B$4,"",_xludf.STDEV.S(INDEX($H$21:H24,COUNT($H$21:H24)-$B$4+1):H24))</f>
        <v/>
      </c>
      <c r="R24" s="45" t="str">
        <f t="shared" si="0"/>
        <v/>
      </c>
      <c r="T24" s="45" t="str">
        <f t="shared" si="1"/>
        <v/>
      </c>
      <c r="U24" s="47" t="str">
        <f t="shared" si="2"/>
        <v/>
      </c>
      <c r="V24" s="46"/>
      <c r="W24" s="46"/>
      <c r="X24" s="45">
        <f t="shared" si="3"/>
        <v>0</v>
      </c>
      <c r="Y24" s="47"/>
      <c r="Z24" t="str">
        <f t="shared" si="7"/>
        <v/>
      </c>
    </row>
    <row r="25" spans="1:26">
      <c r="A25" s="36" t="s">
        <v>153</v>
      </c>
      <c r="B25" s="50">
        <v>3606.7</v>
      </c>
      <c r="C25" s="49">
        <v>7.1329000000000002</v>
      </c>
      <c r="D25" s="35">
        <v>811.18</v>
      </c>
      <c r="E25" s="35">
        <v>811.74</v>
      </c>
      <c r="F25" s="46">
        <v>557.42100000000005</v>
      </c>
      <c r="G25" s="46">
        <f t="shared" si="4"/>
        <v>827.11689777677748</v>
      </c>
      <c r="H25" s="46">
        <f t="shared" si="8"/>
        <v>-15.936897776777528</v>
      </c>
      <c r="I25" s="46">
        <f t="shared" si="5"/>
        <v>-15.376897776777469</v>
      </c>
      <c r="J25" s="46">
        <f t="shared" si="6"/>
        <v>-269.69589777677743</v>
      </c>
      <c r="K25" s="46">
        <f>-(C24/$B$14)*(B25-B24)</f>
        <v>0</v>
      </c>
      <c r="L25" s="46">
        <f t="shared" si="9"/>
        <v>-1.0204304981754371</v>
      </c>
      <c r="M25" s="46">
        <f t="shared" si="10"/>
        <v>0.54999999999995453</v>
      </c>
      <c r="N25" s="46">
        <f t="shared" si="11"/>
        <v>2.2200000000000273</v>
      </c>
      <c r="O25" s="46">
        <f t="shared" si="12"/>
        <v>1.6700000000000728</v>
      </c>
      <c r="P25" s="46" t="str">
        <f>IF(COUNT($H$21:H25)&lt;$B$4,"",AVERAGE(INDEX($H$21:H25,COUNT($H$21:H25)-$B$4+1):H25))</f>
        <v/>
      </c>
      <c r="Q25" s="46" t="str">
        <f>IF(COUNT($H$21:H25)&lt;$B$4,"",_xludf.STDEV.S(INDEX($H$21:H25,COUNT($H$21:H25)-$B$4+1):H25))</f>
        <v/>
      </c>
      <c r="R25" s="45" t="str">
        <f t="shared" si="0"/>
        <v/>
      </c>
      <c r="T25" s="45" t="str">
        <f t="shared" si="1"/>
        <v/>
      </c>
      <c r="U25" s="47" t="str">
        <f t="shared" si="2"/>
        <v/>
      </c>
      <c r="V25" s="46"/>
      <c r="W25" s="46"/>
      <c r="X25" s="45">
        <f t="shared" si="3"/>
        <v>0</v>
      </c>
      <c r="Y25" s="47"/>
      <c r="Z25" t="str">
        <f t="shared" si="7"/>
        <v/>
      </c>
    </row>
    <row r="26" spans="1:26">
      <c r="A26" s="36" t="s">
        <v>154</v>
      </c>
      <c r="B26" s="50">
        <v>3677.4</v>
      </c>
      <c r="C26" s="49">
        <v>7.1299000000000001</v>
      </c>
      <c r="D26" s="35">
        <v>817.55</v>
      </c>
      <c r="E26" s="35">
        <v>817.98</v>
      </c>
      <c r="F26" s="46">
        <v>557.47699999999998</v>
      </c>
      <c r="G26" s="46">
        <f t="shared" si="4"/>
        <v>842.97568633755043</v>
      </c>
      <c r="H26" s="46">
        <f t="shared" si="8"/>
        <v>-25.425686337550474</v>
      </c>
      <c r="I26" s="46">
        <f t="shared" si="5"/>
        <v>-24.99568633755041</v>
      </c>
      <c r="J26" s="46">
        <f t="shared" si="6"/>
        <v>-285.49868633755045</v>
      </c>
      <c r="K26" s="46">
        <f t="shared" si="13"/>
        <v>-16.213481762502674</v>
      </c>
      <c r="L26" s="46">
        <f t="shared" si="9"/>
        <v>-0.35469320172972235</v>
      </c>
      <c r="M26" s="46">
        <f t="shared" si="10"/>
        <v>6.3700000000000045</v>
      </c>
      <c r="N26" s="46">
        <f t="shared" si="11"/>
        <v>6.2400000000000091</v>
      </c>
      <c r="O26" s="46">
        <f t="shared" si="12"/>
        <v>-0.12999999999999545</v>
      </c>
      <c r="P26" s="46" t="str">
        <f>IF(COUNT($H$21:H26)&lt;$B$4,"",AVERAGE(INDEX($H$21:H26,COUNT($H$21:H26)-$B$4+1):H26))</f>
        <v/>
      </c>
      <c r="Q26" s="46" t="str">
        <f>IF(COUNT($H$21:H26)&lt;$B$4,"",_xludf.STDEV.S(INDEX($H$21:H26,COUNT($H$21:H26)-$B$4+1):H26))</f>
        <v/>
      </c>
      <c r="R26" s="45" t="str">
        <f t="shared" si="0"/>
        <v/>
      </c>
      <c r="T26" s="45" t="str">
        <f t="shared" si="1"/>
        <v/>
      </c>
      <c r="U26" s="47" t="str">
        <f t="shared" si="2"/>
        <v/>
      </c>
      <c r="V26" s="46"/>
      <c r="W26" s="46"/>
      <c r="X26" s="45">
        <f t="shared" si="3"/>
        <v>0</v>
      </c>
      <c r="Y26" s="47"/>
      <c r="Z26" t="str">
        <f t="shared" si="7"/>
        <v/>
      </c>
    </row>
    <row r="27" spans="1:26">
      <c r="A27" s="36" t="s">
        <v>155</v>
      </c>
      <c r="B27" s="50">
        <v>3682.2</v>
      </c>
      <c r="C27" s="49">
        <v>7.1215000000000002</v>
      </c>
      <c r="D27" s="35">
        <v>829.2</v>
      </c>
      <c r="E27" s="35">
        <v>831.02</v>
      </c>
      <c r="F27" s="46">
        <v>557.58000000000004</v>
      </c>
      <c r="G27" s="46">
        <f t="shared" si="4"/>
        <v>843.08155995305992</v>
      </c>
      <c r="H27" s="46">
        <f>D27-G27</f>
        <v>-13.881559953059877</v>
      </c>
      <c r="I27" s="46">
        <f t="shared" si="5"/>
        <v>-12.061559953059941</v>
      </c>
      <c r="J27" s="46">
        <f t="shared" si="6"/>
        <v>-285.50155995305988</v>
      </c>
      <c r="K27" s="46">
        <f t="shared" si="13"/>
        <v>-1.1003108974873586</v>
      </c>
      <c r="L27" s="46">
        <f t="shared" si="9"/>
        <v>-0.99443728197790804</v>
      </c>
      <c r="M27" s="46">
        <f t="shared" si="10"/>
        <v>11.650000000000091</v>
      </c>
      <c r="N27" s="46">
        <f t="shared" si="11"/>
        <v>13.039999999999964</v>
      </c>
      <c r="O27" s="46">
        <f t="shared" si="12"/>
        <v>1.3899999999998727</v>
      </c>
      <c r="P27" s="46" t="str">
        <f>IF(COUNT($H$21:H27)&lt;$B$4,"",AVERAGE(INDEX($H$21:H27,COUNT($H$21:H27)-$B$4+1):H27))</f>
        <v/>
      </c>
      <c r="Q27" s="46" t="str">
        <f>IF(COUNT($H$21:H27)&lt;$B$4,"",_xludf.STDEV.S(INDEX($H$21:H27,COUNT($H$21:H27)-$B$4+1):H27))</f>
        <v/>
      </c>
      <c r="R27" s="45" t="str">
        <f t="shared" si="0"/>
        <v/>
      </c>
      <c r="T27" s="45" t="str">
        <f t="shared" si="1"/>
        <v/>
      </c>
      <c r="U27" s="47" t="str">
        <f t="shared" si="2"/>
        <v/>
      </c>
      <c r="V27" s="46"/>
      <c r="W27" s="46"/>
      <c r="X27" s="45">
        <f t="shared" si="3"/>
        <v>0</v>
      </c>
      <c r="Y27" s="47"/>
      <c r="Z27" t="str">
        <f t="shared" si="7"/>
        <v/>
      </c>
    </row>
    <row r="28" spans="1:26">
      <c r="A28" s="36" t="s">
        <v>156</v>
      </c>
      <c r="B28" s="50">
        <v>3682</v>
      </c>
      <c r="C28" s="49">
        <v>7.1212</v>
      </c>
      <c r="D28" s="35">
        <v>828.95</v>
      </c>
      <c r="E28" s="35">
        <v>828.78</v>
      </c>
      <c r="F28" s="46">
        <v>557.40599999999995</v>
      </c>
      <c r="G28" s="46">
        <f t="shared" si="4"/>
        <v>843.00025399070842</v>
      </c>
      <c r="H28" s="46">
        <f t="shared" si="8"/>
        <v>-14.05025399070837</v>
      </c>
      <c r="I28" s="46">
        <f t="shared" si="5"/>
        <v>-14.220253990708443</v>
      </c>
      <c r="J28" s="46">
        <f t="shared" si="6"/>
        <v>-285.59425399070847</v>
      </c>
      <c r="K28" s="46">
        <f t="shared" si="13"/>
        <v>4.5792274181320577E-2</v>
      </c>
      <c r="L28" s="46">
        <f t="shared" si="9"/>
        <v>-3.5513688170163996E-2</v>
      </c>
      <c r="M28" s="46">
        <f t="shared" si="10"/>
        <v>-0.25</v>
      </c>
      <c r="N28" s="46">
        <f t="shared" si="11"/>
        <v>-2.2400000000000091</v>
      </c>
      <c r="O28" s="46">
        <f t="shared" si="12"/>
        <v>-1.9900000000000091</v>
      </c>
      <c r="P28" s="46" t="str">
        <f>IF(COUNT($H$21:H28)&lt;$B$4,"",AVERAGE(INDEX($H$21:H28,COUNT($H$21:H28)-$B$4+1):H28))</f>
        <v/>
      </c>
      <c r="Q28" s="46" t="str">
        <f>IF(COUNT($H$21:H28)&lt;$B$4,"",_xludf.STDEV.S(INDEX($H$21:H28,COUNT($H$21:H28)-$B$4+1):H28))</f>
        <v/>
      </c>
      <c r="R28" s="45" t="str">
        <f t="shared" si="0"/>
        <v/>
      </c>
      <c r="T28" s="45" t="str">
        <f t="shared" si="1"/>
        <v/>
      </c>
      <c r="U28" s="47" t="str">
        <f t="shared" si="2"/>
        <v/>
      </c>
      <c r="V28" s="46"/>
      <c r="W28" s="46"/>
      <c r="X28" s="45">
        <f t="shared" si="3"/>
        <v>0</v>
      </c>
      <c r="Y28" s="47"/>
      <c r="Z28" t="str">
        <f t="shared" si="7"/>
        <v/>
      </c>
    </row>
    <row r="29" spans="1:26">
      <c r="A29" s="36" t="s">
        <v>157</v>
      </c>
      <c r="B29" s="50">
        <v>3673.6</v>
      </c>
      <c r="C29" s="49">
        <v>7.1186999999999996</v>
      </c>
      <c r="D29" s="35">
        <v>828.73</v>
      </c>
      <c r="E29" s="35">
        <v>828.75</v>
      </c>
      <c r="F29" s="46">
        <v>557.24599999999998</v>
      </c>
      <c r="G29" s="46">
        <f t="shared" si="4"/>
        <v>840.78178725866849</v>
      </c>
      <c r="H29" s="46">
        <f t="shared" si="8"/>
        <v>-12.051787258668469</v>
      </c>
      <c r="I29" s="46">
        <f t="shared" si="5"/>
        <v>-12.031787258668487</v>
      </c>
      <c r="J29" s="46">
        <f t="shared" si="6"/>
        <v>-283.53578725866851</v>
      </c>
      <c r="K29" s="46">
        <f t="shared" si="13"/>
        <v>1.9231944957963139</v>
      </c>
      <c r="L29" s="46">
        <f t="shared" si="9"/>
        <v>-0.2952722362435557</v>
      </c>
      <c r="M29" s="46">
        <f t="shared" si="10"/>
        <v>-0.22000000000002728</v>
      </c>
      <c r="N29" s="46">
        <f t="shared" si="11"/>
        <v>-2.9999999999972715E-2</v>
      </c>
      <c r="O29" s="46">
        <f t="shared" si="12"/>
        <v>0.19000000000005457</v>
      </c>
      <c r="P29" s="46" t="str">
        <f>IF(COUNT($H$21:H29)&lt;$B$4,"",AVERAGE(INDEX($H$21:H29,COUNT($H$21:H29)-$B$4+1):H29))</f>
        <v/>
      </c>
      <c r="Q29" s="46" t="str">
        <f>IF(COUNT($H$21:H29)&lt;$B$4,"",_xludf.STDEV.S(INDEX($H$21:H29,COUNT($H$21:H29)-$B$4+1):H29))</f>
        <v/>
      </c>
      <c r="R29" s="45" t="str">
        <f t="shared" si="0"/>
        <v/>
      </c>
      <c r="T29" s="45" t="str">
        <f t="shared" si="1"/>
        <v/>
      </c>
      <c r="U29" s="47" t="str">
        <f t="shared" si="2"/>
        <v/>
      </c>
      <c r="V29" s="46"/>
      <c r="W29" s="46"/>
      <c r="X29" s="45">
        <f t="shared" si="3"/>
        <v>0</v>
      </c>
      <c r="Y29" s="47"/>
      <c r="Z29" t="str">
        <f t="shared" si="7"/>
        <v/>
      </c>
    </row>
    <row r="30" spans="1:26">
      <c r="A30" s="36" t="s">
        <v>158</v>
      </c>
      <c r="B30" s="50">
        <v>3673.6</v>
      </c>
      <c r="C30" s="49">
        <v>7.1247999999999996</v>
      </c>
      <c r="D30" s="35">
        <v>829.54</v>
      </c>
      <c r="E30" s="35">
        <v>830.1</v>
      </c>
      <c r="F30" s="46">
        <v>557.34900000000005</v>
      </c>
      <c r="G30" s="46">
        <f t="shared" si="4"/>
        <v>841.50225151510267</v>
      </c>
      <c r="H30" s="46">
        <f t="shared" si="8"/>
        <v>-11.962251515102707</v>
      </c>
      <c r="I30" s="46">
        <f t="shared" si="5"/>
        <v>-11.402251515102648</v>
      </c>
      <c r="J30" s="46">
        <f t="shared" si="6"/>
        <v>-284.15325151510262</v>
      </c>
      <c r="K30" s="46">
        <f t="shared" si="13"/>
        <v>0</v>
      </c>
      <c r="L30" s="46">
        <f t="shared" si="9"/>
        <v>0.72046425643416268</v>
      </c>
      <c r="M30" s="46">
        <f t="shared" si="10"/>
        <v>0.80999999999994543</v>
      </c>
      <c r="N30" s="46">
        <f t="shared" si="11"/>
        <v>1.3500000000000227</v>
      </c>
      <c r="O30" s="46">
        <f t="shared" si="12"/>
        <v>0.54000000000007731</v>
      </c>
      <c r="P30" s="46" t="str">
        <f>IF(COUNT($H$21:H30)&lt;$B$4,"",AVERAGE(INDEX($H$21:H30,COUNT($H$21:H30)-$B$4+1):H30))</f>
        <v/>
      </c>
      <c r="Q30" s="46" t="str">
        <f>IF(COUNT($H$21:H30)&lt;$B$4,"",_xludf.STDEV.S(INDEX($H$21:H30,COUNT($H$21:H30)-$B$4+1):H30))</f>
        <v/>
      </c>
      <c r="R30" s="45" t="str">
        <f t="shared" si="0"/>
        <v/>
      </c>
      <c r="T30" s="45" t="str">
        <f t="shared" si="1"/>
        <v/>
      </c>
      <c r="U30" s="47" t="str">
        <f t="shared" si="2"/>
        <v/>
      </c>
      <c r="V30" s="46"/>
      <c r="W30" s="46"/>
      <c r="X30" s="45">
        <f t="shared" si="3"/>
        <v>0</v>
      </c>
      <c r="Y30" s="47"/>
      <c r="Z30" t="str">
        <f t="shared" si="7"/>
        <v/>
      </c>
    </row>
    <row r="31" spans="1:26">
      <c r="A31" s="36" t="s">
        <v>159</v>
      </c>
      <c r="B31" s="50">
        <v>3719</v>
      </c>
      <c r="C31" s="49">
        <v>7.1191000000000004</v>
      </c>
      <c r="D31" s="35">
        <v>828.63</v>
      </c>
      <c r="E31" s="35">
        <v>828.61</v>
      </c>
      <c r="F31" s="46">
        <v>557.40599999999995</v>
      </c>
      <c r="G31" s="46">
        <f t="shared" si="4"/>
        <v>851.22037391290371</v>
      </c>
      <c r="H31" s="46">
        <f t="shared" si="8"/>
        <v>-22.590373912903715</v>
      </c>
      <c r="I31" s="46">
        <f t="shared" si="5"/>
        <v>-22.610373912903697</v>
      </c>
      <c r="J31" s="46">
        <f t="shared" si="6"/>
        <v>-293.81437391290376</v>
      </c>
      <c r="K31" s="46">
        <f t="shared" si="13"/>
        <v>-10.399663060427303</v>
      </c>
      <c r="L31" s="46">
        <f t="shared" si="9"/>
        <v>-0.68154066262629087</v>
      </c>
      <c r="M31" s="46">
        <f t="shared" si="10"/>
        <v>-0.90999999999996817</v>
      </c>
      <c r="N31" s="46">
        <f t="shared" si="11"/>
        <v>-1.4900000000000091</v>
      </c>
      <c r="O31" s="46">
        <f t="shared" si="12"/>
        <v>-0.58000000000004093</v>
      </c>
      <c r="P31" s="46" t="str">
        <f>IF(COUNT($H$21:H31)&lt;$B$4,"",AVERAGE(INDEX($H$21:H31,COUNT($H$21:H31)-$B$4+1):H31))</f>
        <v/>
      </c>
      <c r="Q31" s="46" t="str">
        <f>IF(COUNT($H$21:H31)&lt;$B$4,"",_xludf.STDEV.S(INDEX($H$21:H31,COUNT($H$21:H31)-$B$4+1):H31))</f>
        <v/>
      </c>
      <c r="R31" s="45" t="str">
        <f t="shared" si="0"/>
        <v/>
      </c>
      <c r="T31" s="45" t="str">
        <f t="shared" si="1"/>
        <v/>
      </c>
      <c r="U31" s="47" t="str">
        <f t="shared" si="2"/>
        <v/>
      </c>
      <c r="V31" s="46"/>
      <c r="W31" s="46"/>
      <c r="X31" s="45">
        <f t="shared" si="3"/>
        <v>0</v>
      </c>
      <c r="Y31" s="47"/>
      <c r="Z31" t="str">
        <f t="shared" si="7"/>
        <v/>
      </c>
    </row>
    <row r="32" spans="1:26">
      <c r="A32" s="36" t="s">
        <v>160</v>
      </c>
      <c r="B32" s="50">
        <v>3725.1</v>
      </c>
      <c r="C32" s="49">
        <v>7.1143999999999998</v>
      </c>
      <c r="D32" s="35">
        <v>834.94</v>
      </c>
      <c r="E32" s="35">
        <v>836.71</v>
      </c>
      <c r="F32" s="46">
        <v>557.23099999999999</v>
      </c>
      <c r="G32" s="46">
        <f t="shared" si="4"/>
        <v>852.05367370231636</v>
      </c>
      <c r="H32" s="46">
        <f t="shared" si="8"/>
        <v>-17.113673702316305</v>
      </c>
      <c r="I32" s="46">
        <f t="shared" si="5"/>
        <v>-15.343673702316323</v>
      </c>
      <c r="J32" s="46">
        <f t="shared" si="6"/>
        <v>-294.82267370231637</v>
      </c>
      <c r="K32" s="46">
        <f t="shared" si="13"/>
        <v>-1.3961936759528462</v>
      </c>
      <c r="L32" s="46">
        <f t="shared" si="9"/>
        <v>-0.56289388654017092</v>
      </c>
      <c r="M32" s="46">
        <f t="shared" si="10"/>
        <v>6.3100000000000591</v>
      </c>
      <c r="N32" s="46">
        <f t="shared" si="11"/>
        <v>8.1000000000000227</v>
      </c>
      <c r="O32" s="46">
        <f t="shared" si="12"/>
        <v>1.7899999999999636</v>
      </c>
      <c r="P32" s="46" t="str">
        <f>IF(COUNT($H$21:H32)&lt;$B$4,"",AVERAGE(INDEX($H$21:H32,COUNT($H$21:H32)-$B$4+1):H32))</f>
        <v/>
      </c>
      <c r="Q32" s="46" t="str">
        <f>IF(COUNT($H$21:H32)&lt;$B$4,"",_xludf.STDEV.S(INDEX($H$21:H32,COUNT($H$21:H32)-$B$4+1):H32))</f>
        <v/>
      </c>
      <c r="R32" s="45" t="str">
        <f t="shared" si="0"/>
        <v/>
      </c>
      <c r="T32" s="45" t="str">
        <f t="shared" si="1"/>
        <v/>
      </c>
      <c r="U32" s="47" t="str">
        <f t="shared" si="2"/>
        <v/>
      </c>
      <c r="V32" s="46"/>
      <c r="W32" s="46"/>
      <c r="X32" s="45">
        <f t="shared" si="3"/>
        <v>0</v>
      </c>
      <c r="Y32" s="47"/>
      <c r="Z32" t="str">
        <f t="shared" si="7"/>
        <v/>
      </c>
    </row>
    <row r="33" spans="1:26">
      <c r="A33" s="36" t="s">
        <v>161</v>
      </c>
      <c r="B33" s="50">
        <v>3717.8</v>
      </c>
      <c r="C33" s="49">
        <v>7.1036000000000001</v>
      </c>
      <c r="D33" s="35">
        <v>834.73</v>
      </c>
      <c r="E33" s="35">
        <v>833.74</v>
      </c>
      <c r="F33" s="46">
        <v>557.34900000000005</v>
      </c>
      <c r="G33" s="46">
        <f t="shared" si="4"/>
        <v>849.09299853714219</v>
      </c>
      <c r="H33" s="46">
        <f t="shared" si="8"/>
        <v>-14.362998537142175</v>
      </c>
      <c r="I33" s="46">
        <f t="shared" si="5"/>
        <v>-15.352998537142184</v>
      </c>
      <c r="J33" s="46">
        <f t="shared" si="6"/>
        <v>-291.74399853714215</v>
      </c>
      <c r="K33" s="46">
        <f t="shared" si="13"/>
        <v>1.6697516356679492</v>
      </c>
      <c r="L33" s="46">
        <f t="shared" si="9"/>
        <v>-1.2909235295062897</v>
      </c>
      <c r="M33" s="46">
        <f t="shared" si="10"/>
        <v>-0.21000000000003638</v>
      </c>
      <c r="N33" s="46">
        <f t="shared" si="11"/>
        <v>-2.9700000000000273</v>
      </c>
      <c r="O33" s="46">
        <f t="shared" si="12"/>
        <v>-2.7599999999999909</v>
      </c>
      <c r="P33" s="46" t="str">
        <f>IF(COUNT($H$21:H33)&lt;$B$4,"",AVERAGE(INDEX($H$21:H33,COUNT($H$21:H33)-$B$4+1):H33))</f>
        <v/>
      </c>
      <c r="Q33" s="46" t="str">
        <f>IF(COUNT($H$21:H33)&lt;$B$4,"",_xludf.STDEV.S(INDEX($H$21:H33,COUNT($H$21:H33)-$B$4+1):H33))</f>
        <v/>
      </c>
      <c r="R33" s="45" t="str">
        <f t="shared" si="0"/>
        <v/>
      </c>
      <c r="T33" s="45" t="str">
        <f t="shared" si="1"/>
        <v/>
      </c>
      <c r="U33" s="47" t="str">
        <f t="shared" si="2"/>
        <v/>
      </c>
      <c r="V33" s="46"/>
      <c r="W33" s="46"/>
      <c r="X33" s="45">
        <f t="shared" si="3"/>
        <v>0</v>
      </c>
      <c r="Y33" s="47"/>
      <c r="Z33" t="str">
        <f t="shared" si="7"/>
        <v/>
      </c>
    </row>
    <row r="34" spans="1:26">
      <c r="A34" s="36" t="s">
        <v>162</v>
      </c>
      <c r="B34" s="50">
        <v>3678.3</v>
      </c>
      <c r="C34" s="49">
        <v>7.1124999999999998</v>
      </c>
      <c r="D34" s="35">
        <v>827.07</v>
      </c>
      <c r="E34" s="35">
        <v>827.3</v>
      </c>
      <c r="F34" s="46">
        <v>557.17399999999998</v>
      </c>
      <c r="G34" s="46">
        <f t="shared" si="4"/>
        <v>841.12427058048138</v>
      </c>
      <c r="H34" s="46">
        <f t="shared" si="8"/>
        <v>-14.054270580481329</v>
      </c>
      <c r="I34" s="46">
        <f t="shared" si="5"/>
        <v>-13.824270580481425</v>
      </c>
      <c r="J34" s="46">
        <f t="shared" si="6"/>
        <v>-283.9502705804814</v>
      </c>
      <c r="K34" s="46">
        <f t="shared" si="13"/>
        <v>9.0212419824135548</v>
      </c>
      <c r="L34" s="46">
        <f t="shared" si="9"/>
        <v>1.0525140257526917</v>
      </c>
      <c r="M34" s="46">
        <f t="shared" si="10"/>
        <v>-7.6599999999999682</v>
      </c>
      <c r="N34" s="46">
        <f t="shared" si="11"/>
        <v>-6.4400000000000546</v>
      </c>
      <c r="O34" s="46">
        <f t="shared" si="12"/>
        <v>1.2199999999999136</v>
      </c>
      <c r="P34" s="46" t="str">
        <f>IF(COUNT($H$21:H34)&lt;$B$4,"",AVERAGE(INDEX($H$21:H34,COUNT($H$21:H34)-$B$4+1):H34))</f>
        <v/>
      </c>
      <c r="Q34" s="46" t="str">
        <f>IF(COUNT($H$21:H34)&lt;$B$4,"",_xludf.STDEV.S(INDEX($H$21:H34,COUNT($H$21:H34)-$B$4+1):H34))</f>
        <v/>
      </c>
      <c r="R34" s="45" t="str">
        <f t="shared" si="0"/>
        <v/>
      </c>
      <c r="T34" s="45" t="str">
        <f t="shared" si="1"/>
        <v/>
      </c>
      <c r="U34" s="47" t="str">
        <f t="shared" si="2"/>
        <v/>
      </c>
      <c r="V34" s="46"/>
      <c r="W34" s="46"/>
      <c r="X34" s="45">
        <f t="shared" si="3"/>
        <v>0</v>
      </c>
      <c r="Y34" s="47"/>
      <c r="Z34" t="str">
        <f t="shared" si="7"/>
        <v/>
      </c>
    </row>
    <row r="35" spans="1:26">
      <c r="A35" s="36" t="s">
        <v>163</v>
      </c>
      <c r="B35" s="50">
        <v>3678.3</v>
      </c>
      <c r="C35" s="49">
        <v>7.1155999999999997</v>
      </c>
      <c r="D35" s="35">
        <v>825.2</v>
      </c>
      <c r="E35" s="35">
        <v>825.59</v>
      </c>
      <c r="F35" s="46">
        <v>556.99900000000002</v>
      </c>
      <c r="G35" s="46">
        <f t="shared" si="4"/>
        <v>841.49087658945132</v>
      </c>
      <c r="H35" s="46">
        <f t="shared" si="8"/>
        <v>-16.290876589451273</v>
      </c>
      <c r="I35" s="46">
        <f t="shared" si="5"/>
        <v>-15.900876589451286</v>
      </c>
      <c r="J35" s="46">
        <f t="shared" si="6"/>
        <v>-284.49187658945129</v>
      </c>
      <c r="K35" s="46">
        <f t="shared" si="13"/>
        <v>0</v>
      </c>
      <c r="L35" s="46">
        <f t="shared" si="9"/>
        <v>0.36660600897003753</v>
      </c>
      <c r="M35" s="46">
        <f t="shared" si="10"/>
        <v>-1.8700000000000045</v>
      </c>
      <c r="N35" s="46">
        <f t="shared" si="11"/>
        <v>-1.7099999999999227</v>
      </c>
      <c r="O35" s="46">
        <f t="shared" si="12"/>
        <v>0.16000000000008185</v>
      </c>
      <c r="P35" s="46" t="str">
        <f>IF(COUNT($H$21:H35)&lt;$B$4,"",AVERAGE(INDEX($H$21:H35,COUNT($H$21:H35)-$B$4+1):H35))</f>
        <v/>
      </c>
      <c r="Q35" s="46" t="str">
        <f>IF(COUNT($H$21:H35)&lt;$B$4,"",_xludf.STDEV.S(INDEX($H$21:H35,COUNT($H$21:H35)-$B$4+1):H35))</f>
        <v/>
      </c>
      <c r="R35" s="45" t="str">
        <f t="shared" si="0"/>
        <v/>
      </c>
      <c r="T35" s="45" t="str">
        <f t="shared" si="1"/>
        <v/>
      </c>
      <c r="U35" s="47" t="str">
        <f t="shared" si="2"/>
        <v/>
      </c>
      <c r="V35" s="46"/>
      <c r="W35" s="46"/>
      <c r="X35" s="45">
        <f t="shared" si="3"/>
        <v>0</v>
      </c>
      <c r="Y35" s="47"/>
      <c r="Z35" t="str">
        <f t="shared" si="7"/>
        <v/>
      </c>
    </row>
    <row r="36" spans="1:26">
      <c r="A36" s="36" t="s">
        <v>164</v>
      </c>
      <c r="B36" s="50">
        <v>3761.6</v>
      </c>
      <c r="C36" s="49">
        <v>7.1147</v>
      </c>
      <c r="D36" s="35">
        <v>835.14</v>
      </c>
      <c r="E36" s="35">
        <v>837.35</v>
      </c>
      <c r="F36" s="46">
        <v>557.33399999999995</v>
      </c>
      <c r="G36" s="46">
        <f t="shared" si="4"/>
        <v>860.43871332808203</v>
      </c>
      <c r="H36" s="46">
        <f t="shared" si="8"/>
        <v>-25.298713328082044</v>
      </c>
      <c r="I36" s="46">
        <f t="shared" si="5"/>
        <v>-23.088713328082008</v>
      </c>
      <c r="J36" s="46">
        <f t="shared" si="6"/>
        <v>-303.10471332808208</v>
      </c>
      <c r="K36" s="46">
        <f t="shared" si="13"/>
        <v>-19.056681080907229</v>
      </c>
      <c r="L36" s="46">
        <f t="shared" si="9"/>
        <v>-0.10884434227655382</v>
      </c>
      <c r="M36" s="46">
        <f t="shared" si="10"/>
        <v>9.9399999999999409</v>
      </c>
      <c r="N36" s="46">
        <f t="shared" si="11"/>
        <v>11.759999999999991</v>
      </c>
      <c r="O36" s="46">
        <f t="shared" si="12"/>
        <v>1.82000000000005</v>
      </c>
      <c r="P36" s="46" t="str">
        <f>IF(COUNT($H$21:H36)&lt;$B$4,"",AVERAGE(INDEX($H$21:H36,COUNT($H$21:H36)-$B$4+1):H36))</f>
        <v/>
      </c>
      <c r="Q36" s="46" t="str">
        <f>IF(COUNT($H$21:H36)&lt;$B$4,"",_xludf.STDEV.S(INDEX($H$21:H36,COUNT($H$21:H36)-$B$4+1):H36))</f>
        <v/>
      </c>
      <c r="R36" s="45" t="str">
        <f t="shared" si="0"/>
        <v/>
      </c>
      <c r="T36" s="45" t="str">
        <f t="shared" si="1"/>
        <v/>
      </c>
      <c r="U36" s="47" t="str">
        <f t="shared" si="2"/>
        <v/>
      </c>
      <c r="V36" s="46"/>
      <c r="W36" s="46"/>
      <c r="X36" s="45">
        <f t="shared" si="3"/>
        <v>0</v>
      </c>
      <c r="Y36" s="47"/>
      <c r="Z36" t="str">
        <f t="shared" si="7"/>
        <v/>
      </c>
    </row>
    <row r="37" spans="1:26">
      <c r="A37" s="36" t="s">
        <v>165</v>
      </c>
      <c r="B37" s="50">
        <v>3801.8</v>
      </c>
      <c r="C37" s="49">
        <v>7.1121999999999996</v>
      </c>
      <c r="D37" s="35">
        <v>847.36</v>
      </c>
      <c r="E37" s="35">
        <v>848.85</v>
      </c>
      <c r="F37" s="46">
        <v>557.17399999999998</v>
      </c>
      <c r="G37" s="46">
        <f t="shared" si="4"/>
        <v>869.3285951741766</v>
      </c>
      <c r="H37" s="46">
        <f t="shared" si="8"/>
        <v>-21.968595174176585</v>
      </c>
      <c r="I37" s="46">
        <f t="shared" si="5"/>
        <v>-20.478595174176576</v>
      </c>
      <c r="J37" s="46">
        <f t="shared" si="6"/>
        <v>-312.15459517417662</v>
      </c>
      <c r="K37" s="46">
        <f t="shared" si="13"/>
        <v>-9.1954583889273529</v>
      </c>
      <c r="L37" s="46">
        <f t="shared" si="9"/>
        <v>-0.30557654283284796</v>
      </c>
      <c r="M37" s="46">
        <f t="shared" si="10"/>
        <v>12.220000000000027</v>
      </c>
      <c r="N37" s="46">
        <f t="shared" si="11"/>
        <v>11.5</v>
      </c>
      <c r="O37" s="46">
        <f t="shared" si="12"/>
        <v>-0.72000000000002728</v>
      </c>
      <c r="P37" s="46" t="str">
        <f>IF(COUNT($H$21:H37)&lt;$B$4,"",AVERAGE(INDEX($H$21:H37,COUNT($H$21:H37)-$B$4+1):H37))</f>
        <v/>
      </c>
      <c r="Q37" s="46" t="str">
        <f>IF(COUNT($H$21:H37)&lt;$B$4,"",_xludf.STDEV.S(INDEX($H$21:H37,COUNT($H$21:H37)-$B$4+1):H37))</f>
        <v/>
      </c>
      <c r="R37" s="45" t="str">
        <f t="shared" si="0"/>
        <v/>
      </c>
      <c r="T37" s="45" t="str">
        <f t="shared" si="1"/>
        <v/>
      </c>
      <c r="U37" s="47" t="str">
        <f t="shared" si="2"/>
        <v/>
      </c>
      <c r="V37" s="46"/>
      <c r="W37" s="46"/>
      <c r="X37" s="45">
        <f t="shared" si="3"/>
        <v>0</v>
      </c>
      <c r="Y37" s="47"/>
      <c r="Z37" t="str">
        <f t="shared" si="7"/>
        <v/>
      </c>
    </row>
    <row r="38" spans="1:26">
      <c r="A38" s="36" t="s">
        <v>166</v>
      </c>
      <c r="B38" s="50">
        <v>3753.4</v>
      </c>
      <c r="C38" s="49">
        <v>7.1322000000000001</v>
      </c>
      <c r="D38" s="35">
        <v>853.2</v>
      </c>
      <c r="E38" s="35">
        <v>854.33</v>
      </c>
      <c r="F38" s="46">
        <v>557.46199999999999</v>
      </c>
      <c r="G38" s="46">
        <f t="shared" si="4"/>
        <v>860.6748269487357</v>
      </c>
      <c r="H38" s="46">
        <f t="shared" si="8"/>
        <v>-7.4748269487356538</v>
      </c>
      <c r="I38" s="46">
        <f t="shared" si="5"/>
        <v>-6.3448269487356583</v>
      </c>
      <c r="J38" s="46">
        <f t="shared" si="6"/>
        <v>-303.21282694873571</v>
      </c>
      <c r="K38" s="46">
        <f t="shared" si="13"/>
        <v>11.067258668638598</v>
      </c>
      <c r="L38" s="46">
        <f t="shared" si="9"/>
        <v>2.4134904431977664</v>
      </c>
      <c r="M38" s="46">
        <f t="shared" si="10"/>
        <v>5.8400000000000318</v>
      </c>
      <c r="N38" s="46">
        <f t="shared" si="11"/>
        <v>5.4800000000000182</v>
      </c>
      <c r="O38" s="46">
        <f t="shared" si="12"/>
        <v>-0.36000000000001364</v>
      </c>
      <c r="P38" s="46" t="str">
        <f>IF(COUNT($H$21:H38)&lt;$B$4,"",AVERAGE(INDEX($H$21:H38,COUNT($H$21:H38)-$B$4+1):H38))</f>
        <v/>
      </c>
      <c r="Q38" s="46" t="str">
        <f>IF(COUNT($H$21:H38)&lt;$B$4,"",_xludf.STDEV.S(INDEX($H$21:H38,COUNT($H$21:H38)-$B$4+1):H38))</f>
        <v/>
      </c>
      <c r="R38" s="45" t="str">
        <f t="shared" si="0"/>
        <v/>
      </c>
      <c r="T38" s="45" t="str">
        <f t="shared" si="1"/>
        <v/>
      </c>
      <c r="U38" s="47" t="str">
        <f t="shared" si="2"/>
        <v/>
      </c>
      <c r="V38" s="46"/>
      <c r="W38" s="46"/>
      <c r="X38" s="45">
        <f t="shared" si="3"/>
        <v>0</v>
      </c>
      <c r="Y38" s="47"/>
      <c r="Z38" t="str">
        <f t="shared" si="7"/>
        <v/>
      </c>
    </row>
    <row r="39" spans="1:26">
      <c r="A39" s="36" t="s">
        <v>167</v>
      </c>
      <c r="B39" s="50">
        <v>3756.5</v>
      </c>
      <c r="C39" s="49">
        <v>7.1349</v>
      </c>
      <c r="D39" s="35">
        <v>850.45</v>
      </c>
      <c r="E39" s="35">
        <v>850.1</v>
      </c>
      <c r="F39" s="46">
        <v>557.56399999999996</v>
      </c>
      <c r="G39" s="46">
        <f t="shared" si="4"/>
        <v>861.71176394939482</v>
      </c>
      <c r="H39" s="46">
        <f t="shared" si="8"/>
        <v>-11.261763949394776</v>
      </c>
      <c r="I39" s="46">
        <f t="shared" si="5"/>
        <v>-11.611763949394799</v>
      </c>
      <c r="J39" s="46">
        <f t="shared" si="6"/>
        <v>-304.14776394939486</v>
      </c>
      <c r="K39" s="46">
        <f t="shared" si="13"/>
        <v>-0.71084668927932071</v>
      </c>
      <c r="L39" s="46">
        <f t="shared" si="9"/>
        <v>0.32609031137973915</v>
      </c>
      <c r="M39" s="46">
        <f t="shared" si="10"/>
        <v>-2.75</v>
      </c>
      <c r="N39" s="46">
        <f t="shared" si="11"/>
        <v>-4.2300000000000182</v>
      </c>
      <c r="O39" s="46">
        <f t="shared" si="12"/>
        <v>-1.4800000000000182</v>
      </c>
      <c r="P39" s="46" t="str">
        <f>IF(COUNT($H$21:H39)&lt;$B$4,"",AVERAGE(INDEX($H$21:H39,COUNT($H$21:H39)-$B$4+1):H39))</f>
        <v/>
      </c>
      <c r="Q39" s="46" t="str">
        <f>IF(COUNT($H$21:H39)&lt;$B$4,"",_xludf.STDEV.S(INDEX($H$21:H39,COUNT($H$21:H39)-$B$4+1):H39))</f>
        <v/>
      </c>
      <c r="R39" s="45" t="str">
        <f t="shared" si="0"/>
        <v/>
      </c>
      <c r="T39" s="45" t="str">
        <f t="shared" si="1"/>
        <v/>
      </c>
      <c r="U39" s="47" t="str">
        <f t="shared" si="2"/>
        <v/>
      </c>
      <c r="V39" s="46"/>
      <c r="W39" s="46"/>
      <c r="X39" s="45">
        <f t="shared" si="3"/>
        <v>0</v>
      </c>
      <c r="Y39" s="47"/>
      <c r="Z39" t="str">
        <f t="shared" si="7"/>
        <v/>
      </c>
    </row>
    <row r="40" spans="1:26">
      <c r="A40" s="36" t="s">
        <v>168</v>
      </c>
      <c r="B40" s="50">
        <v>3756.5</v>
      </c>
      <c r="C40" s="49">
        <v>7.1337000000000002</v>
      </c>
      <c r="D40" s="35">
        <v>851.66</v>
      </c>
      <c r="E40" s="35">
        <v>852.32</v>
      </c>
      <c r="F40" s="46">
        <v>557.39</v>
      </c>
      <c r="G40" s="46">
        <f t="shared" si="4"/>
        <v>861.56683492211494</v>
      </c>
      <c r="H40" s="46">
        <f t="shared" si="8"/>
        <v>-9.9068349221149674</v>
      </c>
      <c r="I40" s="46">
        <f t="shared" si="5"/>
        <v>-9.2468349221148856</v>
      </c>
      <c r="J40" s="46">
        <f t="shared" si="6"/>
        <v>-304.17683492211495</v>
      </c>
      <c r="K40" s="46">
        <f t="shared" si="13"/>
        <v>0</v>
      </c>
      <c r="L40" s="46">
        <f t="shared" si="9"/>
        <v>-0.14492902727987214</v>
      </c>
      <c r="M40" s="46">
        <f t="shared" si="10"/>
        <v>1.2099999999999227</v>
      </c>
      <c r="N40" s="46">
        <f t="shared" si="11"/>
        <v>2.2200000000000273</v>
      </c>
      <c r="O40" s="46">
        <f t="shared" si="12"/>
        <v>1.0100000000001046</v>
      </c>
      <c r="P40" s="46" t="str">
        <f>IF(COUNT($H$21:H40)&lt;$B$4,"",AVERAGE(INDEX($H$21:H40,COUNT($H$21:H40)-$B$4+1):H40))</f>
        <v/>
      </c>
      <c r="Q40" s="46" t="str">
        <f>IF(COUNT($H$21:H40)&lt;$B$4,"",_xludf.STDEV.S(INDEX($H$21:H40,COUNT($H$21:H40)-$B$4+1):H40))</f>
        <v/>
      </c>
      <c r="R40" s="45" t="str">
        <f t="shared" si="0"/>
        <v/>
      </c>
      <c r="T40" s="45" t="str">
        <f t="shared" si="1"/>
        <v/>
      </c>
      <c r="U40" s="47" t="str">
        <f t="shared" si="2"/>
        <v/>
      </c>
      <c r="V40" s="46"/>
      <c r="W40" s="46"/>
      <c r="X40" s="45">
        <f t="shared" si="3"/>
        <v>0</v>
      </c>
      <c r="Y40" s="47"/>
      <c r="Z40" t="str">
        <f t="shared" si="7"/>
        <v/>
      </c>
    </row>
    <row r="41" spans="1:26">
      <c r="A41" s="36" t="s">
        <v>169</v>
      </c>
      <c r="B41" s="50">
        <v>3855.2</v>
      </c>
      <c r="C41" s="49">
        <v>7.1195000000000004</v>
      </c>
      <c r="D41" s="35">
        <v>857.09</v>
      </c>
      <c r="E41" s="35">
        <v>859.03</v>
      </c>
      <c r="F41" s="46">
        <v>557.46199999999999</v>
      </c>
      <c r="G41" s="46">
        <f t="shared" si="4"/>
        <v>882.4439821884996</v>
      </c>
      <c r="H41" s="46">
        <f t="shared" si="8"/>
        <v>-25.353982188499572</v>
      </c>
      <c r="I41" s="46">
        <f t="shared" si="5"/>
        <v>-23.413982188499631</v>
      </c>
      <c r="J41" s="46">
        <f t="shared" si="6"/>
        <v>-324.98198218849961</v>
      </c>
      <c r="K41" s="46">
        <f t="shared" si="13"/>
        <v>-22.637201279598717</v>
      </c>
      <c r="L41" s="46">
        <f t="shared" si="9"/>
        <v>-1.7600540132139182</v>
      </c>
      <c r="M41" s="46">
        <f t="shared" si="10"/>
        <v>5.4300000000000637</v>
      </c>
      <c r="N41" s="46">
        <f t="shared" si="11"/>
        <v>6.7099999999999227</v>
      </c>
      <c r="O41" s="46">
        <f t="shared" si="12"/>
        <v>1.279999999999859</v>
      </c>
      <c r="P41" s="46" t="str">
        <f>IF(COUNT($H$21:H41)&lt;$B$4,"",AVERAGE(INDEX($H$21:H41,COUNT($H$21:H41)-$B$4+1):H41))</f>
        <v/>
      </c>
      <c r="Q41" s="46" t="str">
        <f>IF(COUNT($H$21:H41)&lt;$B$4,"",_xludf.STDEV.S(INDEX($H$21:H41,COUNT($H$21:H41)-$B$4+1):H41))</f>
        <v/>
      </c>
      <c r="R41" s="45" t="str">
        <f t="shared" si="0"/>
        <v/>
      </c>
      <c r="T41" s="45" t="str">
        <f t="shared" si="1"/>
        <v/>
      </c>
      <c r="U41" s="47" t="str">
        <f t="shared" si="2"/>
        <v/>
      </c>
      <c r="V41" s="46"/>
      <c r="W41" s="46"/>
      <c r="X41" s="45">
        <f t="shared" si="3"/>
        <v>0</v>
      </c>
      <c r="Y41" s="47"/>
      <c r="Z41" t="str">
        <f t="shared" si="7"/>
        <v/>
      </c>
    </row>
    <row r="42" spans="1:26">
      <c r="A42" s="36" t="s">
        <v>170</v>
      </c>
      <c r="B42" s="50">
        <v>3873.2</v>
      </c>
      <c r="C42" s="49">
        <v>7.1196000000000002</v>
      </c>
      <c r="D42" s="35">
        <v>869.8</v>
      </c>
      <c r="E42" s="35">
        <v>872.9</v>
      </c>
      <c r="F42" s="46">
        <v>557.56399999999996</v>
      </c>
      <c r="G42" s="46">
        <f t="shared" si="4"/>
        <v>886.57658205668167</v>
      </c>
      <c r="H42" s="46">
        <f t="shared" si="8"/>
        <v>-16.776582056681718</v>
      </c>
      <c r="I42" s="46">
        <f t="shared" si="5"/>
        <v>-13.676582056681696</v>
      </c>
      <c r="J42" s="46">
        <f t="shared" si="6"/>
        <v>-329.01258205668171</v>
      </c>
      <c r="K42" s="46">
        <f t="shared" si="13"/>
        <v>-4.1201472503094507</v>
      </c>
      <c r="L42" s="46">
        <f t="shared" si="9"/>
        <v>1.2452617872557664E-2</v>
      </c>
      <c r="M42" s="46">
        <f t="shared" si="10"/>
        <v>12.709999999999923</v>
      </c>
      <c r="N42" s="46">
        <f t="shared" si="11"/>
        <v>13.870000000000005</v>
      </c>
      <c r="O42" s="46">
        <f t="shared" si="12"/>
        <v>1.1600000000000819</v>
      </c>
      <c r="P42" s="46" t="str">
        <f>IF(COUNT($H$21:H42)&lt;$B$4,"",AVERAGE(INDEX($H$21:H42,COUNT($H$21:H42)-$B$4+1):H42))</f>
        <v/>
      </c>
      <c r="Q42" s="46" t="str">
        <f>IF(COUNT($H$21:H42)&lt;$B$4,"",_xludf.STDEV.S(INDEX($H$21:H42,COUNT($H$21:H42)-$B$4+1):H42))</f>
        <v/>
      </c>
      <c r="R42" s="45" t="str">
        <f t="shared" si="0"/>
        <v/>
      </c>
      <c r="T42" s="45" t="str">
        <f t="shared" si="1"/>
        <v/>
      </c>
      <c r="U42" s="47" t="str">
        <f t="shared" si="2"/>
        <v/>
      </c>
      <c r="V42" s="46"/>
      <c r="W42" s="46"/>
      <c r="X42" s="45">
        <f t="shared" si="3"/>
        <v>0</v>
      </c>
      <c r="Y42" s="47"/>
      <c r="Z42" t="str">
        <f t="shared" si="7"/>
        <v/>
      </c>
    </row>
    <row r="43" spans="1:26">
      <c r="A43" s="36" t="s">
        <v>171</v>
      </c>
      <c r="B43" s="50">
        <v>3972.6</v>
      </c>
      <c r="C43" s="49">
        <v>7.1284999999999998</v>
      </c>
      <c r="D43" s="35">
        <v>910.48</v>
      </c>
      <c r="E43" s="35">
        <v>911.81</v>
      </c>
      <c r="F43" s="46">
        <v>557.39</v>
      </c>
      <c r="G43" s="46">
        <f t="shared" si="4"/>
        <v>910.46599578825521</v>
      </c>
      <c r="H43" s="46">
        <f t="shared" si="8"/>
        <v>1.4004211744804707E-2</v>
      </c>
      <c r="I43" s="46">
        <f t="shared" si="5"/>
        <v>1.3440042117447319</v>
      </c>
      <c r="J43" s="46">
        <f t="shared" si="6"/>
        <v>-353.07599578825523</v>
      </c>
      <c r="K43" s="46">
        <f t="shared" si="13"/>
        <v>-22.752688282669176</v>
      </c>
      <c r="L43" s="46">
        <f t="shared" si="9"/>
        <v>1.1367254489044238</v>
      </c>
      <c r="M43" s="46">
        <f t="shared" si="10"/>
        <v>40.680000000000064</v>
      </c>
      <c r="N43" s="46">
        <f t="shared" si="11"/>
        <v>38.909999999999968</v>
      </c>
      <c r="O43" s="46">
        <f t="shared" si="12"/>
        <v>-1.7700000000000955</v>
      </c>
      <c r="P43" s="46" t="str">
        <f>IF(COUNT($H$21:H43)&lt;$B$4,"",AVERAGE(INDEX($H$21:H43,COUNT($H$21:H43)-$B$4+1):H43))</f>
        <v/>
      </c>
      <c r="Q43" s="46" t="str">
        <f>IF(COUNT($H$21:H43)&lt;$B$4,"",_xludf.STDEV.S(INDEX($H$21:H43,COUNT($H$21:H43)-$B$4+1):H43))</f>
        <v/>
      </c>
      <c r="R43" s="45" t="str">
        <f t="shared" si="0"/>
        <v/>
      </c>
      <c r="T43" s="45" t="str">
        <f t="shared" si="1"/>
        <v/>
      </c>
      <c r="U43" s="47" t="str">
        <f t="shared" si="2"/>
        <v/>
      </c>
      <c r="V43" s="46"/>
      <c r="W43" s="46"/>
      <c r="X43" s="45">
        <f t="shared" si="3"/>
        <v>0</v>
      </c>
      <c r="Y43" s="47"/>
      <c r="Z43" t="str">
        <f t="shared" si="7"/>
        <v/>
      </c>
    </row>
    <row r="44" spans="1:26">
      <c r="A44" s="36" t="s">
        <v>172</v>
      </c>
      <c r="B44" s="50">
        <v>3972.6</v>
      </c>
      <c r="C44" s="49">
        <v>7.1353</v>
      </c>
      <c r="D44" s="35">
        <v>902.78</v>
      </c>
      <c r="E44" s="35">
        <v>900.7</v>
      </c>
      <c r="F44" s="46">
        <v>557.21500000000003</v>
      </c>
      <c r="G44" s="46">
        <f t="shared" si="4"/>
        <v>911.33450512000252</v>
      </c>
      <c r="H44" s="46">
        <f t="shared" si="8"/>
        <v>-8.5545051200025455</v>
      </c>
      <c r="I44" s="46">
        <f t="shared" si="5"/>
        <v>-10.634505120002473</v>
      </c>
      <c r="J44" s="46">
        <f t="shared" si="6"/>
        <v>-354.11950512000249</v>
      </c>
      <c r="K44" s="46">
        <f t="shared" si="13"/>
        <v>0</v>
      </c>
      <c r="L44" s="46">
        <f t="shared" si="9"/>
        <v>0.86850933174724876</v>
      </c>
      <c r="M44" s="46">
        <f t="shared" si="10"/>
        <v>-7.7000000000000455</v>
      </c>
      <c r="N44" s="46">
        <f t="shared" si="11"/>
        <v>-11.1099999999999</v>
      </c>
      <c r="O44" s="46">
        <f t="shared" si="12"/>
        <v>-3.4099999999998545</v>
      </c>
      <c r="P44" s="46" t="str">
        <f>IF(COUNT($H$21:H44)&lt;$B$4,"",AVERAGE(INDEX($H$21:H44,COUNT($H$21:H44)-$B$4+1):H44))</f>
        <v/>
      </c>
      <c r="Q44" s="46" t="str">
        <f>IF(COUNT($H$21:H44)&lt;$B$4,"",_xludf.STDEV.S(INDEX($H$21:H44,COUNT($H$21:H44)-$B$4+1):H44))</f>
        <v/>
      </c>
      <c r="R44" s="45" t="str">
        <f t="shared" si="0"/>
        <v/>
      </c>
      <c r="T44" s="45" t="str">
        <f t="shared" si="1"/>
        <v/>
      </c>
      <c r="U44" s="47" t="str">
        <f t="shared" si="2"/>
        <v/>
      </c>
      <c r="V44" s="46"/>
      <c r="W44" s="46"/>
      <c r="X44" s="45">
        <f t="shared" si="3"/>
        <v>0</v>
      </c>
      <c r="Y44" s="47"/>
      <c r="Z44" t="str">
        <f t="shared" si="7"/>
        <v/>
      </c>
    </row>
    <row r="45" spans="1:26">
      <c r="A45" s="36" t="s">
        <v>173</v>
      </c>
      <c r="B45" s="50">
        <v>4133</v>
      </c>
      <c r="C45" s="49">
        <v>7.1321000000000003</v>
      </c>
      <c r="D45" s="35">
        <v>917.15</v>
      </c>
      <c r="E45" s="35">
        <v>921.88</v>
      </c>
      <c r="F45" s="46">
        <v>557.33199999999999</v>
      </c>
      <c r="G45" s="46">
        <f t="shared" si="4"/>
        <v>947.70586268426382</v>
      </c>
      <c r="H45" s="46">
        <f t="shared" si="8"/>
        <v>-30.555862684263843</v>
      </c>
      <c r="I45" s="46">
        <f t="shared" si="5"/>
        <v>-25.825862684263825</v>
      </c>
      <c r="J45" s="46">
        <f t="shared" si="6"/>
        <v>-390.37386268426383</v>
      </c>
      <c r="K45" s="46">
        <f t="shared" si="13"/>
        <v>-36.796570160914385</v>
      </c>
      <c r="L45" s="46">
        <f t="shared" si="9"/>
        <v>-0.42521259665306299</v>
      </c>
      <c r="M45" s="46">
        <f t="shared" si="10"/>
        <v>14.370000000000005</v>
      </c>
      <c r="N45" s="46">
        <f t="shared" si="11"/>
        <v>21.17999999999995</v>
      </c>
      <c r="O45" s="46">
        <f t="shared" si="12"/>
        <v>6.8099999999999454</v>
      </c>
      <c r="P45" s="46" t="str">
        <f>IF(COUNT($H$21:H45)&lt;$B$4,"",AVERAGE(INDEX($H$21:H45,COUNT($H$21:H45)-$B$4+1):H45))</f>
        <v/>
      </c>
      <c r="Q45" s="46" t="str">
        <f>IF(COUNT($H$21:H45)&lt;$B$4,"",_xludf.STDEV.S(INDEX($H$21:H45,COUNT($H$21:H45)-$B$4+1):H45))</f>
        <v/>
      </c>
      <c r="R45" s="45" t="str">
        <f t="shared" si="0"/>
        <v/>
      </c>
      <c r="T45" s="45" t="str">
        <f t="shared" si="1"/>
        <v/>
      </c>
      <c r="U45" s="47" t="str">
        <f t="shared" si="2"/>
        <v/>
      </c>
      <c r="V45" s="46"/>
      <c r="W45" s="46"/>
      <c r="X45" s="45">
        <f t="shared" si="3"/>
        <v>0</v>
      </c>
      <c r="Y45" s="47"/>
      <c r="Z45" t="str">
        <f t="shared" si="7"/>
        <v/>
      </c>
    </row>
    <row r="46" spans="1:26">
      <c r="A46" s="36" t="s">
        <v>174</v>
      </c>
      <c r="B46" s="50">
        <v>4163.3999999999996</v>
      </c>
      <c r="C46" s="49">
        <v>7.1390000000000002</v>
      </c>
      <c r="D46" s="35">
        <v>941.85</v>
      </c>
      <c r="E46" s="35">
        <v>943.87</v>
      </c>
      <c r="F46" s="46">
        <v>557.39</v>
      </c>
      <c r="G46" s="46">
        <f t="shared" si="4"/>
        <v>955.60025720578062</v>
      </c>
      <c r="H46" s="46">
        <f t="shared" si="8"/>
        <v>-13.750257205780599</v>
      </c>
      <c r="I46" s="46">
        <f t="shared" si="5"/>
        <v>-11.730257205780617</v>
      </c>
      <c r="J46" s="46">
        <f t="shared" si="6"/>
        <v>-398.21025720578064</v>
      </c>
      <c r="K46" s="46">
        <f t="shared" si="13"/>
        <v>-6.9707859244135681</v>
      </c>
      <c r="L46" s="46">
        <f t="shared" si="9"/>
        <v>0.9236085971032072</v>
      </c>
      <c r="M46" s="46">
        <f t="shared" si="10"/>
        <v>24.700000000000045</v>
      </c>
      <c r="N46" s="46">
        <f t="shared" si="11"/>
        <v>21.990000000000009</v>
      </c>
      <c r="O46" s="46">
        <f t="shared" si="12"/>
        <v>-2.7100000000000364</v>
      </c>
      <c r="P46" s="46" t="str">
        <f>IF(COUNT($H$21:H46)&lt;$B$4,"",AVERAGE(INDEX($H$21:H46,COUNT($H$21:H46)-$B$4+1):H46))</f>
        <v/>
      </c>
      <c r="Q46" s="46" t="str">
        <f>IF(COUNT($H$21:H46)&lt;$B$4,"",_xludf.STDEV.S(INDEX($H$21:H46,COUNT($H$21:H46)-$B$4+1):H46))</f>
        <v/>
      </c>
      <c r="R46" s="45" t="str">
        <f t="shared" si="0"/>
        <v/>
      </c>
      <c r="T46" s="45" t="str">
        <f t="shared" si="1"/>
        <v/>
      </c>
      <c r="U46" s="47" t="str">
        <f t="shared" si="2"/>
        <v/>
      </c>
      <c r="V46" s="46"/>
      <c r="W46" s="46"/>
      <c r="X46" s="45">
        <f t="shared" si="3"/>
        <v>0</v>
      </c>
      <c r="Y46" s="47"/>
      <c r="Z46" t="str">
        <f t="shared" si="7"/>
        <v/>
      </c>
    </row>
    <row r="47" spans="1:26">
      <c r="A47" s="36" t="s">
        <v>175</v>
      </c>
      <c r="B47" s="50">
        <v>4201.6000000000004</v>
      </c>
      <c r="C47" s="49">
        <v>7.1266999999999996</v>
      </c>
      <c r="D47" s="35">
        <v>950.3</v>
      </c>
      <c r="E47" s="35">
        <v>954.84</v>
      </c>
      <c r="F47" s="46">
        <v>557.21500000000003</v>
      </c>
      <c r="G47" s="46">
        <f t="shared" si="4"/>
        <v>962.70653527738034</v>
      </c>
      <c r="H47" s="46">
        <f t="shared" si="8"/>
        <v>-12.406535277380385</v>
      </c>
      <c r="I47" s="46">
        <f t="shared" si="5"/>
        <v>-7.8665352773803079</v>
      </c>
      <c r="J47" s="46">
        <f t="shared" si="6"/>
        <v>-405.49153527738031</v>
      </c>
      <c r="K47" s="46">
        <f t="shared" si="13"/>
        <v>-8.7678171266900886</v>
      </c>
      <c r="L47" s="46">
        <f t="shared" si="9"/>
        <v>-1.6615390550903504</v>
      </c>
      <c r="M47" s="46">
        <f t="shared" si="10"/>
        <v>8.4499999999999318</v>
      </c>
      <c r="N47" s="46">
        <f t="shared" si="11"/>
        <v>10.970000000000027</v>
      </c>
      <c r="O47" s="46">
        <f t="shared" si="12"/>
        <v>2.5200000000000955</v>
      </c>
      <c r="P47" s="46" t="str">
        <f>IF(COUNT($H$21:H47)&lt;$B$4,"",AVERAGE(INDEX($H$21:H47,COUNT($H$21:H47)-$B$4+1):H47))</f>
        <v/>
      </c>
      <c r="Q47" s="46" t="str">
        <f>IF(COUNT($H$21:H47)&lt;$B$4,"",_xludf.STDEV.S(INDEX($H$21:H47,COUNT($H$21:H47)-$B$4+1):H47))</f>
        <v/>
      </c>
      <c r="R47" s="45" t="str">
        <f t="shared" si="0"/>
        <v/>
      </c>
      <c r="T47" s="45" t="str">
        <f t="shared" si="1"/>
        <v/>
      </c>
      <c r="U47" s="47" t="str">
        <f t="shared" si="2"/>
        <v/>
      </c>
      <c r="V47" s="46"/>
      <c r="W47" s="46"/>
      <c r="X47" s="45">
        <f t="shared" si="3"/>
        <v>0</v>
      </c>
      <c r="Y47" s="47"/>
      <c r="Z47" t="str">
        <f t="shared" si="7"/>
        <v/>
      </c>
    </row>
    <row r="48" spans="1:26">
      <c r="A48" s="36" t="s">
        <v>176</v>
      </c>
      <c r="B48" s="50">
        <v>4304.6000000000004</v>
      </c>
      <c r="C48" s="49">
        <v>7.1239999999999997</v>
      </c>
      <c r="D48" s="35">
        <v>962.86</v>
      </c>
      <c r="E48" s="35">
        <v>966.35</v>
      </c>
      <c r="F48" s="46">
        <v>557.31700000000001</v>
      </c>
      <c r="G48" s="46">
        <f t="shared" si="4"/>
        <v>985.93310720658451</v>
      </c>
      <c r="H48" s="46">
        <f t="shared" si="8"/>
        <v>-23.073107206584496</v>
      </c>
      <c r="I48" s="46">
        <f t="shared" si="5"/>
        <v>-19.583107206584486</v>
      </c>
      <c r="J48" s="46">
        <f t="shared" si="6"/>
        <v>-428.6161072065845</v>
      </c>
      <c r="K48" s="46">
        <f t="shared" si="13"/>
        <v>-23.600241130419406</v>
      </c>
      <c r="L48" s="46">
        <f t="shared" si="9"/>
        <v>-0.37366920121528696</v>
      </c>
      <c r="M48" s="46">
        <f t="shared" si="10"/>
        <v>12.560000000000059</v>
      </c>
      <c r="N48" s="46">
        <f t="shared" si="11"/>
        <v>11.509999999999991</v>
      </c>
      <c r="O48" s="46">
        <f t="shared" si="12"/>
        <v>-1.0500000000000682</v>
      </c>
      <c r="P48" s="46" t="str">
        <f>IF(COUNT($H$21:H48)&lt;$B$4,"",AVERAGE(INDEX($H$21:H48,COUNT($H$21:H48)-$B$4+1):H48))</f>
        <v/>
      </c>
      <c r="Q48" s="46" t="str">
        <f>IF(COUNT($H$21:H48)&lt;$B$4,"",_xludf.STDEV.S(INDEX($H$21:H48,COUNT($H$21:H48)-$B$4+1):H48))</f>
        <v/>
      </c>
      <c r="R48" s="45" t="str">
        <f t="shared" si="0"/>
        <v/>
      </c>
      <c r="T48" s="45" t="str">
        <f t="shared" si="1"/>
        <v/>
      </c>
      <c r="U48" s="47" t="str">
        <f t="shared" si="2"/>
        <v/>
      </c>
      <c r="V48" s="46"/>
      <c r="W48" s="46"/>
      <c r="X48" s="45">
        <f t="shared" si="3"/>
        <v>0</v>
      </c>
      <c r="Y48" s="47"/>
      <c r="Z48" t="str">
        <f t="shared" si="7"/>
        <v/>
      </c>
    </row>
    <row r="49" spans="1:26">
      <c r="A49" s="36" t="s">
        <v>177</v>
      </c>
      <c r="B49" s="50">
        <v>4304.6000000000004</v>
      </c>
      <c r="C49" s="49">
        <v>7.1271000000000004</v>
      </c>
      <c r="D49" s="35">
        <v>988.65</v>
      </c>
      <c r="E49" s="35">
        <v>994.79</v>
      </c>
      <c r="F49" s="46">
        <v>557.15800000000002</v>
      </c>
      <c r="G49" s="46">
        <f t="shared" si="4"/>
        <v>986.36213480797994</v>
      </c>
      <c r="H49" s="46">
        <f t="shared" si="8"/>
        <v>2.2878651920200355</v>
      </c>
      <c r="I49" s="46">
        <f t="shared" si="5"/>
        <v>8.4278651920200218</v>
      </c>
      <c r="J49" s="46">
        <f t="shared" si="6"/>
        <v>-429.20413480797993</v>
      </c>
      <c r="K49" s="46">
        <f t="shared" si="13"/>
        <v>0</v>
      </c>
      <c r="L49" s="46">
        <f t="shared" si="9"/>
        <v>0.42902760139544782</v>
      </c>
      <c r="M49" s="46">
        <f t="shared" si="10"/>
        <v>25.789999999999964</v>
      </c>
      <c r="N49" s="46">
        <f t="shared" si="11"/>
        <v>28.439999999999941</v>
      </c>
      <c r="O49" s="46">
        <f t="shared" si="12"/>
        <v>2.6499999999999773</v>
      </c>
      <c r="P49" s="46" t="str">
        <f>IF(COUNT($H$21:H49)&lt;$B$4,"",AVERAGE(INDEX($H$21:H49,COUNT($H$21:H49)-$B$4+1):H49))</f>
        <v/>
      </c>
      <c r="Q49" s="46" t="str">
        <f>IF(COUNT($H$21:H49)&lt;$B$4,"",_xludf.STDEV.S(INDEX($H$21:H49,COUNT($H$21:H49)-$B$4+1):H49))</f>
        <v/>
      </c>
      <c r="R49" s="45" t="str">
        <f t="shared" si="0"/>
        <v/>
      </c>
      <c r="T49" s="45" t="str">
        <f t="shared" si="1"/>
        <v/>
      </c>
      <c r="U49" s="47" t="str">
        <f t="shared" si="2"/>
        <v/>
      </c>
      <c r="V49" s="46"/>
      <c r="W49" s="46"/>
      <c r="X49" s="45">
        <f t="shared" si="3"/>
        <v>0</v>
      </c>
      <c r="Y49" s="47"/>
      <c r="Z49" t="str">
        <f t="shared" si="7"/>
        <v/>
      </c>
    </row>
    <row r="50" spans="1:26">
      <c r="A50" s="36" t="s">
        <v>178</v>
      </c>
      <c r="B50" s="50">
        <v>4359.3999999999996</v>
      </c>
      <c r="C50" s="49">
        <v>7.1200999999999999</v>
      </c>
      <c r="D50" s="35">
        <v>973.49</v>
      </c>
      <c r="E50" s="35">
        <v>974.16</v>
      </c>
      <c r="F50" s="46">
        <v>556.98299999999995</v>
      </c>
      <c r="G50" s="46">
        <f t="shared" si="4"/>
        <v>997.93797932708526</v>
      </c>
      <c r="H50" s="46">
        <f t="shared" si="8"/>
        <v>-24.44797932708525</v>
      </c>
      <c r="I50" s="46">
        <f t="shared" si="5"/>
        <v>-23.777979327085291</v>
      </c>
      <c r="J50" s="46">
        <f t="shared" si="6"/>
        <v>-440.95497932708531</v>
      </c>
      <c r="K50" s="46">
        <f t="shared" si="13"/>
        <v>-12.556949539440733</v>
      </c>
      <c r="L50" s="46">
        <f t="shared" si="9"/>
        <v>-0.98110502033541058</v>
      </c>
      <c r="M50" s="46">
        <f t="shared" si="10"/>
        <v>-15.159999999999968</v>
      </c>
      <c r="N50" s="46">
        <f t="shared" si="11"/>
        <v>-20.629999999999995</v>
      </c>
      <c r="O50" s="46">
        <f t="shared" si="12"/>
        <v>-5.4700000000000273</v>
      </c>
      <c r="P50" s="46" t="str">
        <f>IF(COUNT($H$21:H50)&lt;$B$4,"",AVERAGE(INDEX($H$21:H50,COUNT($H$21:H50)-$B$4+1):H50))</f>
        <v/>
      </c>
      <c r="Q50" s="46" t="str">
        <f>IF(COUNT($H$21:H50)&lt;$B$4,"",_xludf.STDEV.S(INDEX($H$21:H50,COUNT($H$21:H50)-$B$4+1):H50))</f>
        <v/>
      </c>
      <c r="R50" s="45" t="str">
        <f t="shared" si="0"/>
        <v/>
      </c>
      <c r="T50" s="45" t="str">
        <f t="shared" si="1"/>
        <v/>
      </c>
      <c r="U50" s="47" t="str">
        <f t="shared" si="2"/>
        <v/>
      </c>
      <c r="V50" s="46"/>
      <c r="W50" s="46"/>
      <c r="X50" s="45">
        <f t="shared" si="3"/>
        <v>0</v>
      </c>
      <c r="Y50" s="47"/>
      <c r="Z50" t="str">
        <f t="shared" si="7"/>
        <v/>
      </c>
    </row>
    <row r="51" spans="1:26">
      <c r="A51" s="36" t="s">
        <v>179</v>
      </c>
      <c r="B51" s="50">
        <v>4109.1000000000004</v>
      </c>
      <c r="C51" s="49">
        <v>7.1223999999999998</v>
      </c>
      <c r="D51" s="35">
        <v>989.45</v>
      </c>
      <c r="E51" s="35">
        <v>990.75</v>
      </c>
      <c r="F51" s="46">
        <v>557.31700000000001</v>
      </c>
      <c r="G51" s="46">
        <f t="shared" si="4"/>
        <v>940.94406867394355</v>
      </c>
      <c r="H51" s="46">
        <f t="shared" si="8"/>
        <v>48.505931326056498</v>
      </c>
      <c r="I51" s="46">
        <f t="shared" si="5"/>
        <v>49.805931326056452</v>
      </c>
      <c r="J51" s="46">
        <f t="shared" si="6"/>
        <v>-383.62706867394354</v>
      </c>
      <c r="K51" s="46">
        <f t="shared" si="13"/>
        <v>57.297764881765545</v>
      </c>
      <c r="L51" s="46">
        <f t="shared" si="9"/>
        <v>0.30385422862378425</v>
      </c>
      <c r="M51" s="46">
        <f t="shared" si="10"/>
        <v>15.960000000000036</v>
      </c>
      <c r="N51" s="46">
        <f t="shared" si="11"/>
        <v>16.590000000000032</v>
      </c>
      <c r="O51" s="46">
        <f t="shared" si="12"/>
        <v>0.62999999999999545</v>
      </c>
      <c r="P51" s="46" t="str">
        <f>IF(COUNT($H$21:H51)&lt;$B$4,"",AVERAGE(INDEX($H$21:H51,COUNT($H$21:H51)-$B$4+1):H51))</f>
        <v/>
      </c>
      <c r="Q51" s="46" t="str">
        <f>IF(COUNT($H$21:H51)&lt;$B$4,"",_xludf.STDEV.S(INDEX($H$21:H51,COUNT($H$21:H51)-$B$4+1):H51))</f>
        <v/>
      </c>
      <c r="R51" s="45" t="str">
        <f t="shared" si="0"/>
        <v/>
      </c>
      <c r="T51" s="45" t="str">
        <f t="shared" si="1"/>
        <v/>
      </c>
      <c r="U51" s="47" t="str">
        <f t="shared" si="2"/>
        <v/>
      </c>
      <c r="V51" s="46"/>
      <c r="W51" s="46"/>
      <c r="X51" s="45">
        <f t="shared" si="3"/>
        <v>0</v>
      </c>
      <c r="Y51" s="47"/>
      <c r="Z51" t="str">
        <f t="shared" si="7"/>
        <v/>
      </c>
    </row>
    <row r="52" spans="1:26">
      <c r="A52" s="36" t="s">
        <v>180</v>
      </c>
      <c r="B52" s="50">
        <v>4065.4</v>
      </c>
      <c r="C52" s="49">
        <v>7.1265000000000001</v>
      </c>
      <c r="D52" s="35">
        <v>947.04</v>
      </c>
      <c r="E52" s="35">
        <v>944.7</v>
      </c>
      <c r="F52" s="46">
        <v>557.14300000000003</v>
      </c>
      <c r="G52" s="46">
        <f t="shared" si="4"/>
        <v>931.47308502258591</v>
      </c>
      <c r="H52" s="46">
        <f t="shared" si="8"/>
        <v>15.566914977414058</v>
      </c>
      <c r="I52" s="46">
        <f t="shared" si="5"/>
        <v>13.22691497741414</v>
      </c>
      <c r="J52" s="46">
        <f t="shared" si="6"/>
        <v>-374.33008502258588</v>
      </c>
      <c r="K52" s="46">
        <f t="shared" si="13"/>
        <v>10.006876396547074</v>
      </c>
      <c r="L52" s="46">
        <f t="shared" si="9"/>
        <v>0.53589274518947616</v>
      </c>
      <c r="M52" s="46">
        <f t="shared" si="10"/>
        <v>-42.410000000000082</v>
      </c>
      <c r="N52" s="46">
        <f t="shared" si="11"/>
        <v>-46.049999999999955</v>
      </c>
      <c r="O52" s="46">
        <f t="shared" si="12"/>
        <v>-3.6399999999998727</v>
      </c>
      <c r="P52" s="46" t="str">
        <f>IF(COUNT($H$21:H52)&lt;$B$4,"",AVERAGE(INDEX($H$21:H52,COUNT($H$21:H52)-$B$4+1):H52))</f>
        <v/>
      </c>
      <c r="Q52" s="46" t="str">
        <f>IF(COUNT($H$21:H52)&lt;$B$4,"",_xludf.STDEV.S(INDEX($H$21:H52,COUNT($H$21:H52)-$B$4+1):H52))</f>
        <v/>
      </c>
      <c r="R52" s="45" t="str">
        <f t="shared" si="0"/>
        <v/>
      </c>
      <c r="T52" s="45" t="str">
        <f t="shared" si="1"/>
        <v/>
      </c>
      <c r="U52" s="47" t="str">
        <f t="shared" si="2"/>
        <v/>
      </c>
      <c r="V52" s="46"/>
      <c r="W52" s="46"/>
      <c r="X52" s="45">
        <f t="shared" si="3"/>
        <v>0</v>
      </c>
      <c r="Y52" s="47"/>
      <c r="Z52" t="str">
        <f t="shared" si="7"/>
        <v/>
      </c>
    </row>
    <row r="53" spans="1:26">
      <c r="A53" s="36" t="s">
        <v>181</v>
      </c>
      <c r="B53" s="50">
        <v>4145.6000000000004</v>
      </c>
      <c r="C53" s="49">
        <v>7.1227</v>
      </c>
      <c r="D53" s="35">
        <v>935.81</v>
      </c>
      <c r="E53" s="35">
        <v>938.68</v>
      </c>
      <c r="F53" s="46">
        <v>556.98299999999995</v>
      </c>
      <c r="G53" s="46">
        <f t="shared" si="4"/>
        <v>949.34220007394674</v>
      </c>
      <c r="H53" s="46">
        <f t="shared" si="8"/>
        <v>-13.532200073946797</v>
      </c>
      <c r="I53" s="46">
        <f t="shared" si="5"/>
        <v>-10.662200073946792</v>
      </c>
      <c r="J53" s="46">
        <f t="shared" si="6"/>
        <v>-392.35920007394679</v>
      </c>
      <c r="K53" s="46">
        <f t="shared" si="13"/>
        <v>-18.3755943864839</v>
      </c>
      <c r="L53" s="46">
        <f t="shared" si="9"/>
        <v>-0.50647933512306043</v>
      </c>
      <c r="M53" s="46">
        <f t="shared" si="10"/>
        <v>-11.230000000000018</v>
      </c>
      <c r="N53" s="46">
        <f t="shared" si="11"/>
        <v>-6.0200000000000955</v>
      </c>
      <c r="O53" s="46">
        <f t="shared" si="12"/>
        <v>5.2099999999999227</v>
      </c>
      <c r="P53" s="46" t="str">
        <f>IF(COUNT($H$21:H53)&lt;$B$4,"",AVERAGE(INDEX($H$21:H53,COUNT($H$21:H53)-$B$4+1):H53))</f>
        <v/>
      </c>
      <c r="Q53" s="46" t="str">
        <f>IF(COUNT($H$21:H53)&lt;$B$4,"",_xludf.STDEV.S(INDEX($H$21:H53,COUNT($H$21:H53)-$B$4+1):H53))</f>
        <v/>
      </c>
      <c r="R53" s="45" t="str">
        <f t="shared" si="0"/>
        <v/>
      </c>
      <c r="T53" s="45" t="str">
        <f t="shared" si="1"/>
        <v/>
      </c>
      <c r="U53" s="47" t="str">
        <f t="shared" si="2"/>
        <v/>
      </c>
      <c r="V53" s="46"/>
      <c r="W53" s="46"/>
      <c r="X53" s="45">
        <f t="shared" si="3"/>
        <v>0</v>
      </c>
      <c r="Y53" s="47"/>
      <c r="Z53" t="str">
        <f t="shared" si="7"/>
        <v/>
      </c>
    </row>
    <row r="54" spans="1:26">
      <c r="A54" s="36" t="s">
        <v>182</v>
      </c>
      <c r="B54" s="50">
        <v>4145.6000000000004</v>
      </c>
      <c r="C54" s="49">
        <v>7.1215999999999999</v>
      </c>
      <c r="D54" s="35">
        <v>941.61</v>
      </c>
      <c r="E54" s="35">
        <v>940.19</v>
      </c>
      <c r="F54" s="46">
        <v>557.08600000000001</v>
      </c>
      <c r="G54" s="46">
        <f t="shared" si="4"/>
        <v>949.19558763483212</v>
      </c>
      <c r="H54" s="46">
        <f t="shared" si="8"/>
        <v>-7.585587634832109</v>
      </c>
      <c r="I54" s="46">
        <f t="shared" si="5"/>
        <v>-9.005587634832068</v>
      </c>
      <c r="J54" s="46">
        <f t="shared" si="6"/>
        <v>-392.10958763483211</v>
      </c>
      <c r="K54" s="46">
        <f t="shared" si="13"/>
        <v>0</v>
      </c>
      <c r="L54" s="46">
        <f t="shared" si="9"/>
        <v>-0.14661243911458258</v>
      </c>
      <c r="M54" s="46">
        <f t="shared" si="10"/>
        <v>5.8000000000000682</v>
      </c>
      <c r="N54" s="46">
        <f t="shared" si="11"/>
        <v>1.5100000000001046</v>
      </c>
      <c r="O54" s="46">
        <f t="shared" si="12"/>
        <v>-4.2899999999999636</v>
      </c>
      <c r="P54" s="46" t="str">
        <f>IF(COUNT($H$21:H54)&lt;$B$4,"",AVERAGE(INDEX($H$21:H54,COUNT($H$21:H54)-$B$4+1):H54))</f>
        <v/>
      </c>
      <c r="Q54" s="46" t="str">
        <f>IF(COUNT($H$21:H54)&lt;$B$4,"",_xludf.STDEV.S(INDEX($H$21:H54,COUNT($H$21:H54)-$B$4+1):H54))</f>
        <v/>
      </c>
      <c r="R54" s="45" t="str">
        <f t="shared" si="0"/>
        <v/>
      </c>
      <c r="T54" s="45" t="str">
        <f t="shared" si="1"/>
        <v/>
      </c>
      <c r="U54" s="47" t="str">
        <f t="shared" si="2"/>
        <v/>
      </c>
      <c r="V54" s="46"/>
      <c r="W54" s="46"/>
      <c r="X54" s="45">
        <f t="shared" si="3"/>
        <v>0</v>
      </c>
      <c r="Y54" s="47"/>
      <c r="Z54" t="str">
        <f t="shared" si="7"/>
        <v/>
      </c>
    </row>
    <row r="55" spans="1:26">
      <c r="A55" s="36" t="s">
        <v>183</v>
      </c>
      <c r="B55" s="50">
        <v>4005.5</v>
      </c>
      <c r="C55" s="49">
        <v>7.1105999999999998</v>
      </c>
      <c r="D55" s="35">
        <v>934.61</v>
      </c>
      <c r="E55" s="35">
        <v>932.75</v>
      </c>
      <c r="F55" s="46">
        <v>557.37300000000005</v>
      </c>
      <c r="G55" s="46">
        <f t="shared" si="4"/>
        <v>915.70107222659817</v>
      </c>
      <c r="H55" s="46">
        <f t="shared" si="8"/>
        <v>18.908927773401842</v>
      </c>
      <c r="I55" s="46">
        <f t="shared" si="5"/>
        <v>17.048927773401829</v>
      </c>
      <c r="J55" s="46">
        <f t="shared" si="6"/>
        <v>-358.32807222659812</v>
      </c>
      <c r="K55" s="46">
        <f t="shared" si="13"/>
        <v>32.077938495667773</v>
      </c>
      <c r="L55" s="46">
        <f t="shared" si="9"/>
        <v>-1.4165769125661254</v>
      </c>
      <c r="M55" s="46">
        <f t="shared" si="10"/>
        <v>-7</v>
      </c>
      <c r="N55" s="46">
        <f t="shared" si="11"/>
        <v>-7.4400000000000546</v>
      </c>
      <c r="O55" s="46">
        <f t="shared" si="12"/>
        <v>-0.44000000000005457</v>
      </c>
      <c r="P55" s="46" t="str">
        <f>IF(COUNT($H$21:H55)&lt;$B$4,"",AVERAGE(INDEX($H$21:H55,COUNT($H$21:H55)-$B$4+1):H55))</f>
        <v/>
      </c>
      <c r="Q55" s="46" t="str">
        <f>IF(COUNT($H$21:H55)&lt;$B$4,"",_xludf.STDEV.S(INDEX($H$21:H55,COUNT($H$21:H55)-$B$4+1):H55))</f>
        <v/>
      </c>
      <c r="R55" s="45" t="str">
        <f t="shared" si="0"/>
        <v/>
      </c>
      <c r="T55" s="45" t="str">
        <f t="shared" si="1"/>
        <v/>
      </c>
      <c r="U55" s="47" t="str">
        <f t="shared" si="2"/>
        <v/>
      </c>
      <c r="V55" s="46"/>
      <c r="W55" s="46"/>
      <c r="X55" s="45">
        <f t="shared" si="3"/>
        <v>0</v>
      </c>
      <c r="Y55" s="47"/>
      <c r="Z55" t="str">
        <f t="shared" si="7"/>
        <v/>
      </c>
    </row>
    <row r="56" spans="1:26">
      <c r="A56" s="36" t="s">
        <v>184</v>
      </c>
      <c r="B56" s="50">
        <v>3968.7</v>
      </c>
      <c r="C56" s="49">
        <v>7.0993000000000004</v>
      </c>
      <c r="D56" s="35">
        <v>910.28</v>
      </c>
      <c r="E56" s="35">
        <v>907.42</v>
      </c>
      <c r="F56" s="46">
        <v>557.92999999999995</v>
      </c>
      <c r="G56" s="46">
        <f t="shared" si="4"/>
        <v>905.84634880318936</v>
      </c>
      <c r="H56" s="46">
        <f t="shared" si="8"/>
        <v>4.4336511968106151</v>
      </c>
      <c r="I56" s="46">
        <f t="shared" si="5"/>
        <v>1.5736511968106015</v>
      </c>
      <c r="J56" s="46">
        <f t="shared" si="6"/>
        <v>-347.91634880318941</v>
      </c>
      <c r="K56" s="46">
        <f t="shared" si="13"/>
        <v>8.4128821515263965</v>
      </c>
      <c r="L56" s="46">
        <f t="shared" si="9"/>
        <v>-1.4418412718825115</v>
      </c>
      <c r="M56" s="46">
        <f t="shared" si="10"/>
        <v>-24.330000000000041</v>
      </c>
      <c r="N56" s="46">
        <f t="shared" si="11"/>
        <v>-25.330000000000041</v>
      </c>
      <c r="O56" s="46">
        <f t="shared" si="12"/>
        <v>-1</v>
      </c>
      <c r="P56" s="46" t="str">
        <f>IF(COUNT($H$21:H56)&lt;$B$4,"",AVERAGE(INDEX($H$21:H56,COUNT($H$21:H56)-$B$4+1):H56))</f>
        <v/>
      </c>
      <c r="Q56" s="46" t="str">
        <f>IF(COUNT($H$21:H56)&lt;$B$4,"",_xludf.STDEV.S(INDEX($H$21:H56,COUNT($H$21:H56)-$B$4+1):H56))</f>
        <v/>
      </c>
      <c r="R56" s="45" t="str">
        <f t="shared" si="0"/>
        <v/>
      </c>
      <c r="T56" s="45" t="str">
        <f t="shared" si="1"/>
        <v/>
      </c>
      <c r="U56" s="47" t="str">
        <f t="shared" si="2"/>
        <v/>
      </c>
      <c r="V56" s="46"/>
      <c r="W56" s="46"/>
      <c r="X56" s="45">
        <f t="shared" si="3"/>
        <v>0</v>
      </c>
      <c r="Y56" s="47"/>
      <c r="Z56" t="str">
        <f t="shared" si="7"/>
        <v/>
      </c>
    </row>
    <row r="57" spans="1:26">
      <c r="A57" s="36" t="s">
        <v>185</v>
      </c>
      <c r="B57" s="50">
        <v>3986.2</v>
      </c>
      <c r="C57" s="49">
        <v>7.0984999999999996</v>
      </c>
      <c r="D57" s="35">
        <v>904.24</v>
      </c>
      <c r="E57" s="35">
        <v>906.24</v>
      </c>
      <c r="F57" s="46">
        <v>558.548</v>
      </c>
      <c r="G57" s="46">
        <f t="shared" si="4"/>
        <v>909.7381548700306</v>
      </c>
      <c r="H57" s="46">
        <f t="shared" si="8"/>
        <v>-5.4981548700305893</v>
      </c>
      <c r="I57" s="46">
        <f t="shared" si="5"/>
        <v>-3.4981548700305893</v>
      </c>
      <c r="J57" s="46">
        <f t="shared" si="6"/>
        <v>-351.1901548700306</v>
      </c>
      <c r="K57" s="46">
        <f t="shared" si="13"/>
        <v>-3.9943334351439552</v>
      </c>
      <c r="L57" s="46">
        <f t="shared" si="9"/>
        <v>-0.10252736830270513</v>
      </c>
      <c r="M57" s="46">
        <f t="shared" si="10"/>
        <v>-6.0399999999999636</v>
      </c>
      <c r="N57" s="46">
        <f t="shared" si="11"/>
        <v>-1.17999999999995</v>
      </c>
      <c r="O57" s="46">
        <f t="shared" si="12"/>
        <v>4.8600000000000136</v>
      </c>
      <c r="P57" s="46" t="str">
        <f>IF(COUNT($H$21:H57)&lt;$B$4,"",AVERAGE(INDEX($H$21:H57,COUNT($H$21:H57)-$B$4+1):H57))</f>
        <v/>
      </c>
      <c r="Q57" s="46" t="str">
        <f>IF(COUNT($H$21:H57)&lt;$B$4,"",_xludf.STDEV.S(INDEX($H$21:H57,COUNT($H$21:H57)-$B$4+1):H57))</f>
        <v/>
      </c>
      <c r="R57" s="45" t="str">
        <f t="shared" si="0"/>
        <v/>
      </c>
      <c r="T57" s="45" t="str">
        <f t="shared" si="1"/>
        <v/>
      </c>
      <c r="U57" s="47" t="str">
        <f t="shared" si="2"/>
        <v/>
      </c>
      <c r="V57" s="46"/>
      <c r="W57" s="46"/>
      <c r="X57" s="45">
        <f t="shared" si="3"/>
        <v>0</v>
      </c>
      <c r="Y57" s="47"/>
      <c r="Z57" t="str">
        <f t="shared" si="7"/>
        <v/>
      </c>
    </row>
    <row r="58" spans="1:26">
      <c r="A58" s="36" t="s">
        <v>186</v>
      </c>
      <c r="B58" s="50">
        <v>4015.9</v>
      </c>
      <c r="C58" s="49">
        <v>7.1104000000000003</v>
      </c>
      <c r="D58" s="35">
        <v>905.33</v>
      </c>
      <c r="E58" s="35">
        <v>903.5</v>
      </c>
      <c r="F58" s="46">
        <v>558.87300000000005</v>
      </c>
      <c r="G58" s="46">
        <f t="shared" si="4"/>
        <v>918.05280306074883</v>
      </c>
      <c r="H58" s="46">
        <f t="shared" si="8"/>
        <v>-12.722803060748788</v>
      </c>
      <c r="I58" s="46">
        <f t="shared" si="5"/>
        <v>-14.552803060748829</v>
      </c>
      <c r="J58" s="46">
        <f t="shared" si="6"/>
        <v>-359.17980306074878</v>
      </c>
      <c r="K58" s="46">
        <f t="shared" si="13"/>
        <v>-6.778190557332838</v>
      </c>
      <c r="L58" s="46">
        <f t="shared" si="9"/>
        <v>1.536457633385399</v>
      </c>
      <c r="M58" s="46">
        <f t="shared" si="10"/>
        <v>1.0900000000000318</v>
      </c>
      <c r="N58" s="46">
        <f t="shared" si="11"/>
        <v>-2.7400000000000091</v>
      </c>
      <c r="O58" s="46">
        <f t="shared" si="12"/>
        <v>-3.8300000000000409</v>
      </c>
      <c r="P58" s="46" t="str">
        <f>IF(COUNT($H$21:H58)&lt;$B$4,"",AVERAGE(INDEX($H$21:H58,COUNT($H$21:H58)-$B$4+1):H58))</f>
        <v/>
      </c>
      <c r="Q58" s="46" t="str">
        <f>IF(COUNT($H$21:H58)&lt;$B$4,"",_xludf.STDEV.S(INDEX($H$21:H58,COUNT($H$21:H58)-$B$4+1):H58))</f>
        <v/>
      </c>
      <c r="R58" s="45" t="str">
        <f t="shared" si="0"/>
        <v/>
      </c>
      <c r="T58" s="45" t="str">
        <f t="shared" si="1"/>
        <v/>
      </c>
      <c r="U58" s="47" t="str">
        <f t="shared" si="2"/>
        <v/>
      </c>
      <c r="V58" s="46"/>
      <c r="W58" s="46"/>
      <c r="X58" s="45">
        <f t="shared" si="3"/>
        <v>0</v>
      </c>
      <c r="Y58" s="47"/>
      <c r="Z58" t="str">
        <f t="shared" si="7"/>
        <v/>
      </c>
    </row>
    <row r="59" spans="1:26">
      <c r="A59" s="36" t="s">
        <v>187</v>
      </c>
      <c r="B59" s="50">
        <v>4014</v>
      </c>
      <c r="C59" s="49">
        <v>7.1210000000000004</v>
      </c>
      <c r="D59" s="35">
        <v>916.29</v>
      </c>
      <c r="E59" s="35">
        <v>917.37</v>
      </c>
      <c r="F59" s="46">
        <v>558.69799999999998</v>
      </c>
      <c r="G59" s="46">
        <f t="shared" si="4"/>
        <v>918.9864163197069</v>
      </c>
      <c r="H59" s="46">
        <f t="shared" si="8"/>
        <v>-2.6964163197069411</v>
      </c>
      <c r="I59" s="46">
        <f t="shared" si="5"/>
        <v>-1.6164163197069001</v>
      </c>
      <c r="J59" s="46">
        <f t="shared" si="6"/>
        <v>-360.28841631970693</v>
      </c>
      <c r="K59" s="46">
        <f t="shared" si="13"/>
        <v>0.43434854598359179</v>
      </c>
      <c r="L59" s="46">
        <f t="shared" si="9"/>
        <v>1.3679618049415871</v>
      </c>
      <c r="M59" s="46">
        <f t="shared" si="10"/>
        <v>10.959999999999923</v>
      </c>
      <c r="N59" s="46">
        <f t="shared" si="11"/>
        <v>13.870000000000005</v>
      </c>
      <c r="O59" s="46">
        <f t="shared" si="12"/>
        <v>2.9100000000000819</v>
      </c>
      <c r="P59" s="46" t="str">
        <f>IF(COUNT($H$21:H59)&lt;$B$4,"",AVERAGE(INDEX($H$21:H59,COUNT($H$21:H59)-$B$4+1):H59))</f>
        <v/>
      </c>
      <c r="Q59" s="46" t="str">
        <f>IF(COUNT($H$21:H59)&lt;$B$4,"",_xludf.STDEV.S(INDEX($H$21:H59,COUNT($H$21:H59)-$B$4+1):H59))</f>
        <v/>
      </c>
      <c r="R59" s="45" t="str">
        <f t="shared" si="0"/>
        <v/>
      </c>
      <c r="T59" s="45" t="str">
        <f t="shared" si="1"/>
        <v/>
      </c>
      <c r="U59" s="47" t="str">
        <f t="shared" si="2"/>
        <v/>
      </c>
      <c r="V59" s="46"/>
      <c r="W59" s="46"/>
      <c r="X59" s="45">
        <f t="shared" si="3"/>
        <v>0</v>
      </c>
      <c r="Y59" s="47"/>
      <c r="Z59" t="str">
        <f t="shared" si="7"/>
        <v/>
      </c>
    </row>
    <row r="60" spans="1:26">
      <c r="A60" s="36" t="s">
        <v>188</v>
      </c>
      <c r="B60" s="50">
        <v>3960.5</v>
      </c>
      <c r="C60" s="49">
        <v>7.1298000000000004</v>
      </c>
      <c r="D60" s="35">
        <v>913.72</v>
      </c>
      <c r="E60" s="35">
        <v>913.82</v>
      </c>
      <c r="F60" s="46">
        <v>558.79999999999995</v>
      </c>
      <c r="G60" s="46">
        <f t="shared" si="4"/>
        <v>907.85837285192997</v>
      </c>
      <c r="H60" s="46">
        <f t="shared" si="8"/>
        <v>5.8616271480700561</v>
      </c>
      <c r="I60" s="46">
        <f t="shared" si="5"/>
        <v>5.9616271480700789</v>
      </c>
      <c r="J60" s="46">
        <f t="shared" si="6"/>
        <v>-349.05837285193002</v>
      </c>
      <c r="K60" s="46">
        <f t="shared" si="13"/>
        <v>12.248573311685181</v>
      </c>
      <c r="L60" s="46">
        <f t="shared" si="9"/>
        <v>1.1205298439082314</v>
      </c>
      <c r="M60" s="46">
        <f t="shared" si="10"/>
        <v>-2.5699999999999363</v>
      </c>
      <c r="N60" s="46">
        <f t="shared" si="11"/>
        <v>-3.5499999999999545</v>
      </c>
      <c r="O60" s="46">
        <f t="shared" si="12"/>
        <v>-0.98000000000001819</v>
      </c>
      <c r="P60" s="46" t="str">
        <f>IF(COUNT($H$21:H60)&lt;$B$4,"",AVERAGE(INDEX($H$21:H60,COUNT($H$21:H60)-$B$4+1):H60))</f>
        <v/>
      </c>
      <c r="Q60" s="46" t="str">
        <f>IF(COUNT($H$21:H60)&lt;$B$4,"",_xludf.STDEV.S(INDEX($H$21:H60,COUNT($H$21:H60)-$B$4+1):H60))</f>
        <v/>
      </c>
      <c r="R60" s="45" t="str">
        <f t="shared" si="0"/>
        <v/>
      </c>
      <c r="T60" s="45" t="str">
        <f t="shared" si="1"/>
        <v/>
      </c>
      <c r="U60" s="47" t="str">
        <f t="shared" si="2"/>
        <v/>
      </c>
      <c r="V60" s="46"/>
      <c r="W60" s="46"/>
      <c r="X60" s="45">
        <f t="shared" si="3"/>
        <v>0</v>
      </c>
      <c r="Y60" s="47"/>
      <c r="Z60" t="str">
        <f t="shared" si="7"/>
        <v/>
      </c>
    </row>
    <row r="61" spans="1:26">
      <c r="A61" s="36" t="s">
        <v>189</v>
      </c>
      <c r="B61" s="50">
        <v>3992.9</v>
      </c>
      <c r="C61" s="49">
        <v>7.1268000000000002</v>
      </c>
      <c r="D61" s="35">
        <v>907.92</v>
      </c>
      <c r="E61" s="35">
        <v>907.06</v>
      </c>
      <c r="F61" s="46">
        <v>558.87300000000005</v>
      </c>
      <c r="G61" s="46">
        <f t="shared" si="4"/>
        <v>914.9002433809701</v>
      </c>
      <c r="H61" s="46">
        <f t="shared" si="8"/>
        <v>-6.980243380970137</v>
      </c>
      <c r="I61" s="46">
        <f t="shared" si="5"/>
        <v>-7.8402433809701506</v>
      </c>
      <c r="J61" s="46">
        <f t="shared" si="6"/>
        <v>-356.02724338097005</v>
      </c>
      <c r="K61" s="46">
        <f t="shared" si="13"/>
        <v>-7.4269943896989297</v>
      </c>
      <c r="L61" s="46">
        <f t="shared" si="9"/>
        <v>-0.38512386065878296</v>
      </c>
      <c r="M61" s="46">
        <f t="shared" si="10"/>
        <v>-5.8000000000000682</v>
      </c>
      <c r="N61" s="46">
        <f t="shared" si="11"/>
        <v>-6.7600000000001046</v>
      </c>
      <c r="O61" s="46">
        <f t="shared" si="12"/>
        <v>-0.96000000000003638</v>
      </c>
      <c r="P61" s="46" t="str">
        <f>IF(COUNT($H$21:H61)&lt;$B$4,"",AVERAGE(INDEX($H$21:H61,COUNT($H$21:H61)-$B$4+1):H61))</f>
        <v/>
      </c>
      <c r="Q61" s="46" t="str">
        <f>IF(COUNT($H$21:H61)&lt;$B$4,"",_xludf.STDEV.S(INDEX($H$21:H61,COUNT($H$21:H61)-$B$4+1):H61))</f>
        <v/>
      </c>
      <c r="R61" s="45" t="str">
        <f t="shared" si="0"/>
        <v/>
      </c>
      <c r="T61" s="45" t="str">
        <f t="shared" si="1"/>
        <v/>
      </c>
      <c r="U61" s="47" t="str">
        <f t="shared" si="2"/>
        <v/>
      </c>
      <c r="V61" s="46"/>
      <c r="W61" s="46"/>
      <c r="X61" s="45">
        <f t="shared" si="3"/>
        <v>0</v>
      </c>
      <c r="Y61" s="47"/>
      <c r="Z61" t="str">
        <f t="shared" si="7"/>
        <v/>
      </c>
    </row>
    <row r="62" spans="1:26">
      <c r="A62" s="36" t="s">
        <v>190</v>
      </c>
      <c r="B62" s="50">
        <v>3991</v>
      </c>
      <c r="C62" s="49">
        <v>7.1193999999999997</v>
      </c>
      <c r="D62" s="35">
        <v>912.62</v>
      </c>
      <c r="E62" s="35">
        <v>914.01</v>
      </c>
      <c r="F62" s="46">
        <v>558.69799999999998</v>
      </c>
      <c r="G62" s="46">
        <f t="shared" si="4"/>
        <v>913.5153728680051</v>
      </c>
      <c r="H62" s="46">
        <f t="shared" si="8"/>
        <v>-0.89537286800509719</v>
      </c>
      <c r="I62" s="46">
        <f t="shared" si="5"/>
        <v>0.49462713199488917</v>
      </c>
      <c r="J62" s="46">
        <f t="shared" si="6"/>
        <v>-354.81737286800512</v>
      </c>
      <c r="K62" s="46">
        <f t="shared" si="13"/>
        <v>0.435350362499418</v>
      </c>
      <c r="L62" s="46">
        <f t="shared" si="9"/>
        <v>-0.94952015046544813</v>
      </c>
      <c r="M62" s="46">
        <f t="shared" si="10"/>
        <v>4.7000000000000455</v>
      </c>
      <c r="N62" s="46">
        <f t="shared" si="11"/>
        <v>6.9500000000000455</v>
      </c>
      <c r="O62" s="46">
        <f t="shared" si="12"/>
        <v>2.25</v>
      </c>
      <c r="P62" s="46" t="str">
        <f>IF(COUNT($H$21:H62)&lt;$B$4,"",AVERAGE(INDEX($H$21:H62,COUNT($H$21:H62)-$B$4+1):H62))</f>
        <v/>
      </c>
      <c r="Q62" s="46" t="str">
        <f>IF(COUNT($H$21:H62)&lt;$B$4,"",_xludf.STDEV.S(INDEX($H$21:H62,COUNT($H$21:H62)-$B$4+1):H62))</f>
        <v/>
      </c>
      <c r="R62" s="45" t="str">
        <f t="shared" si="0"/>
        <v/>
      </c>
      <c r="T62" s="45" t="str">
        <f t="shared" si="1"/>
        <v/>
      </c>
      <c r="U62" s="47" t="str">
        <f t="shared" si="2"/>
        <v/>
      </c>
      <c r="V62" s="46"/>
      <c r="W62" s="46"/>
      <c r="X62" s="45">
        <f t="shared" si="3"/>
        <v>0</v>
      </c>
      <c r="Y62" s="47"/>
      <c r="Z62" t="str">
        <f t="shared" si="7"/>
        <v/>
      </c>
    </row>
    <row r="63" spans="1:26">
      <c r="A63" s="36" t="s">
        <v>191</v>
      </c>
      <c r="B63" s="50">
        <v>3991</v>
      </c>
      <c r="C63" s="49">
        <v>7.1226000000000003</v>
      </c>
      <c r="D63" s="35">
        <v>916.13</v>
      </c>
      <c r="E63" s="35">
        <v>916.98</v>
      </c>
      <c r="F63" s="46">
        <v>558.79999999999995</v>
      </c>
      <c r="G63" s="46">
        <f t="shared" si="4"/>
        <v>913.92597617631463</v>
      </c>
      <c r="H63" s="46">
        <f t="shared" si="8"/>
        <v>2.2040238236853611</v>
      </c>
      <c r="I63" s="46">
        <f t="shared" si="5"/>
        <v>3.0540238236853838</v>
      </c>
      <c r="J63" s="46">
        <f t="shared" si="6"/>
        <v>-355.12597617631468</v>
      </c>
      <c r="K63" s="46">
        <f t="shared" si="13"/>
        <v>0</v>
      </c>
      <c r="L63" s="46">
        <f t="shared" si="9"/>
        <v>0.41060330830942299</v>
      </c>
      <c r="M63" s="46">
        <f t="shared" si="10"/>
        <v>3.5099999999999909</v>
      </c>
      <c r="N63" s="46">
        <f t="shared" si="11"/>
        <v>2.9700000000000273</v>
      </c>
      <c r="O63" s="46">
        <f t="shared" si="12"/>
        <v>-0.53999999999996362</v>
      </c>
      <c r="P63" s="46" t="str">
        <f>IF(COUNT($H$21:H63)&lt;$B$4,"",AVERAGE(INDEX($H$21:H63,COUNT($H$21:H63)-$B$4+1):H63))</f>
        <v/>
      </c>
      <c r="Q63" s="46" t="str">
        <f>IF(COUNT($H$21:H63)&lt;$B$4,"",_xludf.STDEV.S(INDEX($H$21:H63,COUNT($H$21:H63)-$B$4+1):H63))</f>
        <v/>
      </c>
      <c r="R63" s="45" t="str">
        <f t="shared" si="0"/>
        <v/>
      </c>
      <c r="T63" s="45" t="str">
        <f t="shared" si="1"/>
        <v/>
      </c>
      <c r="U63" s="47" t="str">
        <f t="shared" si="2"/>
        <v/>
      </c>
      <c r="V63" s="46"/>
      <c r="W63" s="46"/>
      <c r="X63" s="45">
        <f t="shared" si="3"/>
        <v>0</v>
      </c>
      <c r="Y63" s="47"/>
      <c r="Z63" t="str">
        <f t="shared" si="7"/>
        <v/>
      </c>
    </row>
    <row r="64" spans="1:26">
      <c r="A64" s="36" t="s">
        <v>192</v>
      </c>
      <c r="B64" s="50">
        <v>4122</v>
      </c>
      <c r="C64" s="49">
        <v>7.1196999999999999</v>
      </c>
      <c r="D64" s="35">
        <v>927.4</v>
      </c>
      <c r="E64" s="35">
        <v>930.1</v>
      </c>
      <c r="F64" s="46">
        <v>558.62599999999998</v>
      </c>
      <c r="G64" s="46">
        <f t="shared" si="4"/>
        <v>943.54022537656533</v>
      </c>
      <c r="H64" s="46">
        <f t="shared" si="8"/>
        <v>-16.140225376565354</v>
      </c>
      <c r="I64" s="46">
        <f t="shared" si="5"/>
        <v>-13.440225376565309</v>
      </c>
      <c r="J64" s="46">
        <f t="shared" si="6"/>
        <v>-384.91422537656535</v>
      </c>
      <c r="K64" s="46">
        <f t="shared" si="13"/>
        <v>-29.998572507917117</v>
      </c>
      <c r="L64" s="46">
        <f t="shared" si="9"/>
        <v>-0.38432330766638578</v>
      </c>
      <c r="M64" s="46">
        <f t="shared" si="10"/>
        <v>11.269999999999982</v>
      </c>
      <c r="N64" s="46">
        <f t="shared" si="11"/>
        <v>13.120000000000005</v>
      </c>
      <c r="O64" s="46">
        <f t="shared" si="12"/>
        <v>1.8500000000000227</v>
      </c>
      <c r="P64" s="46" t="str">
        <f>IF(COUNT($H$21:H64)&lt;$B$4,"",AVERAGE(INDEX($H$21:H64,COUNT($H$21:H64)-$B$4+1):H64))</f>
        <v/>
      </c>
      <c r="Q64" s="46" t="str">
        <f>IF(COUNT($H$21:H64)&lt;$B$4,"",_xludf.STDEV.S(INDEX($H$21:H64,COUNT($H$21:H64)-$B$4+1):H64))</f>
        <v/>
      </c>
      <c r="R64" s="45" t="str">
        <f t="shared" si="0"/>
        <v/>
      </c>
      <c r="T64" s="45" t="str">
        <f t="shared" si="1"/>
        <v/>
      </c>
      <c r="U64" s="47" t="str">
        <f t="shared" si="2"/>
        <v/>
      </c>
      <c r="V64" s="46"/>
      <c r="W64" s="46"/>
      <c r="X64" s="45">
        <f t="shared" si="3"/>
        <v>0</v>
      </c>
      <c r="Y64" s="47"/>
      <c r="Z64" t="str">
        <f t="shared" si="7"/>
        <v/>
      </c>
    </row>
    <row r="65" spans="1:26">
      <c r="A65" s="36" t="s">
        <v>193</v>
      </c>
      <c r="B65" s="50">
        <v>4116.3</v>
      </c>
      <c r="C65" s="49">
        <v>7.1173000000000002</v>
      </c>
      <c r="D65" s="35">
        <v>945.89</v>
      </c>
      <c r="E65" s="35">
        <v>948.34</v>
      </c>
      <c r="F65" s="46">
        <v>558.46600000000001</v>
      </c>
      <c r="G65" s="46">
        <f t="shared" si="4"/>
        <v>941.91785458228185</v>
      </c>
      <c r="H65" s="46">
        <f t="shared" si="8"/>
        <v>3.9721454177181386</v>
      </c>
      <c r="I65" s="46">
        <f t="shared" si="5"/>
        <v>6.422145417718184</v>
      </c>
      <c r="J65" s="46">
        <f t="shared" si="6"/>
        <v>-383.45185458228184</v>
      </c>
      <c r="K65" s="46">
        <f t="shared" si="13"/>
        <v>1.3047499477550342</v>
      </c>
      <c r="L65" s="46">
        <f t="shared" si="9"/>
        <v>-0.31762084652849076</v>
      </c>
      <c r="M65" s="46">
        <f t="shared" si="10"/>
        <v>18.490000000000009</v>
      </c>
      <c r="N65" s="46">
        <f t="shared" si="11"/>
        <v>18.240000000000009</v>
      </c>
      <c r="O65" s="46">
        <f t="shared" si="12"/>
        <v>-0.25</v>
      </c>
      <c r="P65" s="46" t="str">
        <f>IF(COUNT($H$21:H65)&lt;$B$4,"",AVERAGE(INDEX($H$21:H65,COUNT($H$21:H65)-$B$4+1):H65))</f>
        <v/>
      </c>
      <c r="Q65" s="46" t="str">
        <f>IF(COUNT($H$21:H65)&lt;$B$4,"",_xludf.STDEV.S(INDEX($H$21:H65,COUNT($H$21:H65)-$B$4+1):H65))</f>
        <v/>
      </c>
      <c r="R65" s="45" t="str">
        <f t="shared" si="0"/>
        <v/>
      </c>
      <c r="T65" s="45" t="str">
        <f t="shared" si="1"/>
        <v/>
      </c>
      <c r="U65" s="47" t="str">
        <f t="shared" si="2"/>
        <v/>
      </c>
      <c r="V65" s="46"/>
      <c r="W65" s="46"/>
      <c r="X65" s="45">
        <f t="shared" si="3"/>
        <v>0</v>
      </c>
      <c r="Y65" s="47"/>
      <c r="Z65" t="str">
        <f t="shared" si="7"/>
        <v/>
      </c>
    </row>
    <row r="66" spans="1:26">
      <c r="A66" s="36" t="s">
        <v>194</v>
      </c>
      <c r="B66" s="50">
        <v>4213.6000000000004</v>
      </c>
      <c r="C66" s="49">
        <v>7.1128</v>
      </c>
      <c r="D66" s="35">
        <v>944.32</v>
      </c>
      <c r="E66" s="35">
        <v>944.44</v>
      </c>
      <c r="F66" s="46">
        <v>558.79999999999995</v>
      </c>
      <c r="G66" s="46">
        <f t="shared" si="4"/>
        <v>963.57304097609608</v>
      </c>
      <c r="H66" s="46">
        <f t="shared" si="8"/>
        <v>-19.253040976096031</v>
      </c>
      <c r="I66" s="46">
        <f t="shared" si="5"/>
        <v>-19.133040976096026</v>
      </c>
      <c r="J66" s="46">
        <f t="shared" si="6"/>
        <v>-404.77304097609613</v>
      </c>
      <c r="K66" s="46">
        <f t="shared" si="13"/>
        <v>-22.26480267494016</v>
      </c>
      <c r="L66" s="46">
        <f t="shared" si="9"/>
        <v>-0.60961628112594146</v>
      </c>
      <c r="M66" s="46">
        <f t="shared" si="10"/>
        <v>-1.5699999999999363</v>
      </c>
      <c r="N66" s="46">
        <f t="shared" si="11"/>
        <v>-3.8999999999999773</v>
      </c>
      <c r="O66" s="46">
        <f t="shared" si="12"/>
        <v>-2.3300000000000409</v>
      </c>
      <c r="P66" s="46" t="str">
        <f>IF(COUNT($H$21:H66)&lt;$B$4,"",AVERAGE(INDEX($H$21:H66,COUNT($H$21:H66)-$B$4+1):H66))</f>
        <v/>
      </c>
      <c r="Q66" s="46" t="str">
        <f>IF(COUNT($H$21:H66)&lt;$B$4,"",_xludf.STDEV.S(INDEX($H$21:H66,COUNT($H$21:H66)-$B$4+1):H66))</f>
        <v/>
      </c>
      <c r="R66" s="45" t="str">
        <f t="shared" si="0"/>
        <v/>
      </c>
      <c r="T66" s="45" t="str">
        <f t="shared" si="1"/>
        <v/>
      </c>
      <c r="U66" s="47" t="str">
        <f t="shared" si="2"/>
        <v/>
      </c>
      <c r="V66" s="46"/>
      <c r="W66" s="46"/>
      <c r="X66" s="45">
        <f t="shared" si="3"/>
        <v>0</v>
      </c>
      <c r="Y66" s="47"/>
      <c r="Z66" t="str">
        <f t="shared" si="7"/>
        <v/>
      </c>
    </row>
    <row r="67" spans="1:26">
      <c r="A67" s="36" t="s">
        <v>195</v>
      </c>
      <c r="B67" s="50">
        <v>4194.5</v>
      </c>
      <c r="C67" s="49">
        <v>7.0959000000000003</v>
      </c>
      <c r="D67" s="35">
        <v>954.41</v>
      </c>
      <c r="E67" s="35">
        <v>957.76</v>
      </c>
      <c r="F67" s="46">
        <v>558.62599999999998</v>
      </c>
      <c r="G67" s="46">
        <f t="shared" si="4"/>
        <v>956.92615139775273</v>
      </c>
      <c r="H67" s="46">
        <f t="shared" si="8"/>
        <v>-2.5161513977527648</v>
      </c>
      <c r="I67" s="46">
        <f t="shared" si="5"/>
        <v>0.83384860224725799</v>
      </c>
      <c r="J67" s="46">
        <f t="shared" si="6"/>
        <v>-398.30015139775276</v>
      </c>
      <c r="K67" s="46">
        <f t="shared" si="13"/>
        <v>4.3678196987478124</v>
      </c>
      <c r="L67" s="46">
        <f t="shared" si="9"/>
        <v>-2.2790698795955024</v>
      </c>
      <c r="M67" s="46">
        <f t="shared" si="10"/>
        <v>10.089999999999918</v>
      </c>
      <c r="N67" s="46">
        <f t="shared" si="11"/>
        <v>13.319999999999936</v>
      </c>
      <c r="O67" s="46">
        <f t="shared" si="12"/>
        <v>3.2300000000000182</v>
      </c>
      <c r="P67" s="46" t="str">
        <f>IF(COUNT($H$21:H67)&lt;$B$4,"",AVERAGE(INDEX($H$21:H67,COUNT($H$21:H67)-$B$4+1):H67))</f>
        <v/>
      </c>
      <c r="Q67" s="46" t="str">
        <f>IF(COUNT($H$21:H67)&lt;$B$4,"",_xludf.STDEV.S(INDEX($H$21:H67,COUNT($H$21:H67)-$B$4+1):H67))</f>
        <v/>
      </c>
      <c r="R67" s="45" t="str">
        <f t="shared" si="0"/>
        <v/>
      </c>
      <c r="T67" s="45" t="str">
        <f t="shared" si="1"/>
        <v/>
      </c>
      <c r="U67" s="47" t="str">
        <f t="shared" si="2"/>
        <v/>
      </c>
      <c r="V67" s="46"/>
      <c r="W67" s="46"/>
      <c r="X67" s="45">
        <f t="shared" si="3"/>
        <v>0</v>
      </c>
      <c r="Y67" s="47"/>
      <c r="Z67" t="str">
        <f t="shared" si="7"/>
        <v/>
      </c>
    </row>
    <row r="68" spans="1:26">
      <c r="A68" s="36" t="s">
        <v>196</v>
      </c>
      <c r="B68" s="50">
        <v>4194.5</v>
      </c>
      <c r="C68" s="49">
        <v>7.0995999999999997</v>
      </c>
      <c r="D68" s="35">
        <v>954.71</v>
      </c>
      <c r="E68" s="35">
        <v>954.73</v>
      </c>
      <c r="F68" s="46">
        <v>558.45100000000002</v>
      </c>
      <c r="G68" s="46">
        <f t="shared" si="4"/>
        <v>957.42511935955758</v>
      </c>
      <c r="H68" s="46">
        <f t="shared" si="8"/>
        <v>-2.7151193595575478</v>
      </c>
      <c r="I68" s="46">
        <f t="shared" si="5"/>
        <v>-2.695119359557566</v>
      </c>
      <c r="J68" s="46">
        <f t="shared" si="6"/>
        <v>-398.97411935955756</v>
      </c>
      <c r="K68" s="46">
        <f t="shared" si="13"/>
        <v>0</v>
      </c>
      <c r="L68" s="46">
        <f t="shared" si="9"/>
        <v>0.49896796180485664</v>
      </c>
      <c r="M68" s="46">
        <f t="shared" si="10"/>
        <v>0.30000000000006821</v>
      </c>
      <c r="N68" s="46">
        <f t="shared" si="11"/>
        <v>-3.0299999999999727</v>
      </c>
      <c r="O68" s="46">
        <f t="shared" si="12"/>
        <v>-3.3300000000000409</v>
      </c>
      <c r="P68" s="46" t="str">
        <f>IF(COUNT($H$21:H68)&lt;$B$4,"",AVERAGE(INDEX($H$21:H68,COUNT($H$21:H68)-$B$4+1):H68))</f>
        <v/>
      </c>
      <c r="Q68" s="46" t="str">
        <f>IF(COUNT($H$21:H68)&lt;$B$4,"",_xludf.STDEV.S(INDEX($H$21:H68,COUNT($H$21:H68)-$B$4+1):H68))</f>
        <v/>
      </c>
      <c r="R68" s="45" t="str">
        <f t="shared" si="0"/>
        <v/>
      </c>
      <c r="T68" s="45" t="str">
        <f t="shared" si="1"/>
        <v/>
      </c>
      <c r="U68" s="47" t="str">
        <f t="shared" si="2"/>
        <v/>
      </c>
      <c r="V68" s="46"/>
      <c r="W68" s="46"/>
      <c r="X68" s="45">
        <f t="shared" si="3"/>
        <v>0</v>
      </c>
      <c r="Y68" s="47"/>
      <c r="Z68" t="str">
        <f t="shared" si="7"/>
        <v/>
      </c>
    </row>
    <row r="69" spans="1:26">
      <c r="A69" s="36" t="s">
        <v>197</v>
      </c>
      <c r="B69" s="50">
        <v>4109.8</v>
      </c>
      <c r="C69" s="49">
        <v>7.1077000000000004</v>
      </c>
      <c r="D69" s="35">
        <v>929.24</v>
      </c>
      <c r="E69" s="35">
        <v>930.81</v>
      </c>
      <c r="F69" s="46">
        <v>558.56799999999998</v>
      </c>
      <c r="G69" s="46">
        <f t="shared" si="4"/>
        <v>939.16200620508948</v>
      </c>
      <c r="H69" s="46">
        <f t="shared" si="8"/>
        <v>-9.922006205089474</v>
      </c>
      <c r="I69" s="46">
        <f t="shared" si="5"/>
        <v>-8.3520062050895376</v>
      </c>
      <c r="J69" s="46">
        <f t="shared" si="6"/>
        <v>-380.5940062050895</v>
      </c>
      <c r="K69" s="46">
        <f t="shared" si="13"/>
        <v>19.333390775957646</v>
      </c>
      <c r="L69" s="46">
        <f t="shared" si="9"/>
        <v>1.0702776214896306</v>
      </c>
      <c r="M69" s="46">
        <f t="shared" si="10"/>
        <v>-25.470000000000027</v>
      </c>
      <c r="N69" s="46">
        <f t="shared" si="11"/>
        <v>-23.920000000000073</v>
      </c>
      <c r="O69" s="46">
        <f t="shared" si="12"/>
        <v>1.5499999999999545</v>
      </c>
      <c r="P69" s="46" t="str">
        <f>IF(COUNT($H$21:H69)&lt;$B$4,"",AVERAGE(INDEX($H$21:H69,COUNT($H$21:H69)-$B$4+1):H69))</f>
        <v/>
      </c>
      <c r="Q69" s="46" t="str">
        <f>IF(COUNT($H$21:H69)&lt;$B$4,"",_xludf.STDEV.S(INDEX($H$21:H69,COUNT($H$21:H69)-$B$4+1):H69))</f>
        <v/>
      </c>
      <c r="R69" s="45" t="str">
        <f t="shared" si="0"/>
        <v/>
      </c>
      <c r="T69" s="45" t="str">
        <f t="shared" si="1"/>
        <v/>
      </c>
      <c r="U69" s="47" t="str">
        <f t="shared" si="2"/>
        <v/>
      </c>
      <c r="V69" s="46"/>
      <c r="W69" s="46"/>
      <c r="X69" s="45">
        <f t="shared" si="3"/>
        <v>0</v>
      </c>
      <c r="Y69" s="47"/>
      <c r="Z69" t="str">
        <f t="shared" si="7"/>
        <v/>
      </c>
    </row>
    <row r="70" spans="1:26">
      <c r="A70" s="36" t="s">
        <v>198</v>
      </c>
      <c r="B70" s="50">
        <v>4101.7</v>
      </c>
      <c r="C70" s="49">
        <v>7.1078000000000001</v>
      </c>
      <c r="D70" s="35">
        <v>919.55</v>
      </c>
      <c r="E70" s="35">
        <v>919.43</v>
      </c>
      <c r="F70" s="46">
        <v>558.39400000000001</v>
      </c>
      <c r="G70" s="46">
        <f t="shared" si="4"/>
        <v>937.32420017039874</v>
      </c>
      <c r="H70" s="46">
        <f t="shared" si="8"/>
        <v>-17.774200170398785</v>
      </c>
      <c r="I70" s="46">
        <f t="shared" si="5"/>
        <v>-17.89420017039879</v>
      </c>
      <c r="J70" s="46">
        <f t="shared" si="6"/>
        <v>-378.93020017039873</v>
      </c>
      <c r="K70" s="46">
        <f t="shared" si="13"/>
        <v>1.8509932965744236</v>
      </c>
      <c r="L70" s="46">
        <f t="shared" si="9"/>
        <v>1.31872618836801E-2</v>
      </c>
      <c r="M70" s="46">
        <f t="shared" si="10"/>
        <v>-9.6900000000000546</v>
      </c>
      <c r="N70" s="46">
        <f t="shared" si="11"/>
        <v>-11.379999999999995</v>
      </c>
      <c r="O70" s="46">
        <f t="shared" si="12"/>
        <v>-1.6899999999999409</v>
      </c>
      <c r="P70" s="46" t="str">
        <f>IF(COUNT($H$21:H70)&lt;$B$4,"",AVERAGE(INDEX($H$21:H70,COUNT($H$21:H70)-$B$4+1):H70))</f>
        <v/>
      </c>
      <c r="Q70" s="46" t="str">
        <f>IF(COUNT($H$21:H70)&lt;$B$4,"",_xludf.STDEV.S(INDEX($H$21:H70,COUNT($H$21:H70)-$B$4+1):H70))</f>
        <v/>
      </c>
      <c r="R70" s="45" t="str">
        <f t="shared" si="0"/>
        <v/>
      </c>
      <c r="T70" s="45" t="str">
        <f t="shared" si="1"/>
        <v/>
      </c>
      <c r="U70" s="47" t="str">
        <f t="shared" si="2"/>
        <v/>
      </c>
      <c r="V70" s="46"/>
      <c r="W70" s="46"/>
      <c r="X70" s="45">
        <f t="shared" si="3"/>
        <v>0</v>
      </c>
      <c r="Y70" s="47"/>
      <c r="Z70" t="str">
        <f t="shared" si="7"/>
        <v/>
      </c>
    </row>
    <row r="71" spans="1:26">
      <c r="A71" s="36" t="s">
        <v>199</v>
      </c>
      <c r="B71" s="50">
        <v>4118.2</v>
      </c>
      <c r="C71" s="49">
        <v>7.1116000000000001</v>
      </c>
      <c r="D71" s="35">
        <v>930.79</v>
      </c>
      <c r="E71" s="35">
        <v>932.77</v>
      </c>
      <c r="F71" s="46">
        <v>558.45100000000002</v>
      </c>
      <c r="G71" s="46">
        <f t="shared" si="4"/>
        <v>941.59792692140752</v>
      </c>
      <c r="H71" s="46">
        <f t="shared" si="8"/>
        <v>-10.807926921407557</v>
      </c>
      <c r="I71" s="46">
        <f t="shared" si="5"/>
        <v>-8.8279269214075384</v>
      </c>
      <c r="J71" s="46">
        <f t="shared" si="6"/>
        <v>-383.1469269214075</v>
      </c>
      <c r="K71" s="46">
        <f t="shared" si="13"/>
        <v>-3.7705949491214819</v>
      </c>
      <c r="L71" s="46">
        <f t="shared" si="9"/>
        <v>0.50313180188725082</v>
      </c>
      <c r="M71" s="46">
        <f t="shared" si="10"/>
        <v>11.240000000000009</v>
      </c>
      <c r="N71" s="46">
        <f t="shared" si="11"/>
        <v>13.340000000000032</v>
      </c>
      <c r="O71" s="46">
        <f t="shared" si="12"/>
        <v>2.1000000000000227</v>
      </c>
      <c r="P71" s="46" t="str">
        <f>IF(COUNT($H$21:H71)&lt;$B$4,"",AVERAGE(INDEX($H$21:H71,COUNT($H$21:H71)-$B$4+1):H71))</f>
        <v/>
      </c>
      <c r="Q71" s="46" t="str">
        <f>IF(COUNT($H$21:H71)&lt;$B$4,"",_xludf.STDEV.S(INDEX($H$21:H71,COUNT($H$21:H71)-$B$4+1):H71))</f>
        <v/>
      </c>
      <c r="R71" s="45" t="str">
        <f t="shared" si="0"/>
        <v/>
      </c>
      <c r="T71" s="45" t="str">
        <f t="shared" si="1"/>
        <v/>
      </c>
      <c r="U71" s="47" t="str">
        <f t="shared" si="2"/>
        <v/>
      </c>
      <c r="V71" s="46"/>
      <c r="W71" s="46"/>
      <c r="X71" s="45">
        <f t="shared" si="3"/>
        <v>0</v>
      </c>
      <c r="Y71" s="47"/>
      <c r="Z71" t="str">
        <f t="shared" si="7"/>
        <v/>
      </c>
    </row>
    <row r="72" spans="1:26">
      <c r="A72" s="36" t="s">
        <v>200</v>
      </c>
      <c r="B72" s="50">
        <v>4095.7</v>
      </c>
      <c r="C72" s="49">
        <v>7.1163999999999996</v>
      </c>
      <c r="D72" s="35">
        <v>932.4</v>
      </c>
      <c r="E72" s="35">
        <v>932.07</v>
      </c>
      <c r="F72" s="46">
        <v>559.01499999999999</v>
      </c>
      <c r="G72" s="46">
        <f t="shared" si="4"/>
        <v>937.08552027906819</v>
      </c>
      <c r="H72" s="46">
        <f t="shared" si="8"/>
        <v>-4.6855202790682142</v>
      </c>
      <c r="I72" s="46">
        <f>E72-G72</f>
        <v>-5.0155202790681415</v>
      </c>
      <c r="J72" s="46">
        <f t="shared" si="6"/>
        <v>-378.07052027906821</v>
      </c>
      <c r="K72" s="46">
        <f>-(C71/$B$14)*(B72-B71)</f>
        <v>5.1444692719468872</v>
      </c>
      <c r="L72" s="46">
        <f t="shared" si="9"/>
        <v>0.63206262960753079</v>
      </c>
      <c r="M72" s="46">
        <f t="shared" si="10"/>
        <v>1.6100000000000136</v>
      </c>
      <c r="N72" s="46">
        <f t="shared" si="11"/>
        <v>-0.69999999999993179</v>
      </c>
      <c r="O72" s="46">
        <f t="shared" si="12"/>
        <v>-2.3099999999999454</v>
      </c>
      <c r="P72" s="46" t="str">
        <f>IF(COUNT($H$21:H72)&lt;$B$4,"",AVERAGE(INDEX($H$21:H72,COUNT($H$21:H72)-$B$4+1):H72))</f>
        <v/>
      </c>
      <c r="Q72" s="46" t="str">
        <f>IF(COUNT($H$21:H72)&lt;$B$4,"",_xludf.STDEV.S(INDEX($H$21:H72,COUNT($H$21:H72)-$B$4+1):H72))</f>
        <v/>
      </c>
      <c r="R72" s="45" t="str">
        <f t="shared" si="0"/>
        <v/>
      </c>
      <c r="T72" s="45" t="str">
        <f t="shared" si="1"/>
        <v/>
      </c>
      <c r="U72" s="47" t="str">
        <f t="shared" si="2"/>
        <v/>
      </c>
      <c r="V72" s="46"/>
      <c r="W72" s="46"/>
      <c r="X72" s="45">
        <f t="shared" si="3"/>
        <v>0</v>
      </c>
      <c r="Y72" s="47"/>
      <c r="Z72" t="str">
        <f t="shared" si="7"/>
        <v/>
      </c>
    </row>
    <row r="73" spans="1:26">
      <c r="A73" s="36" t="s">
        <v>201</v>
      </c>
      <c r="B73" s="50">
        <v>4095.7</v>
      </c>
      <c r="C73" s="49">
        <v>7.1071999999999997</v>
      </c>
      <c r="D73" s="35">
        <v>927.5</v>
      </c>
      <c r="E73" s="35">
        <v>927.16</v>
      </c>
      <c r="F73" s="46">
        <v>558.85500000000002</v>
      </c>
      <c r="G73" s="46">
        <f t="shared" si="4"/>
        <v>935.87406690565365</v>
      </c>
      <c r="H73" s="46">
        <f t="shared" si="8"/>
        <v>-8.374066905653649</v>
      </c>
      <c r="I73" s="46">
        <f t="shared" si="5"/>
        <v>-8.7140669056536808</v>
      </c>
      <c r="J73" s="46">
        <f t="shared" si="6"/>
        <v>-377.01906690565363</v>
      </c>
      <c r="K73" s="46">
        <f t="shared" si="13"/>
        <v>0</v>
      </c>
      <c r="L73" s="46">
        <f t="shared" si="9"/>
        <v>-1.2114533734145509</v>
      </c>
      <c r="M73" s="46">
        <f t="shared" si="10"/>
        <v>-4.8999999999999773</v>
      </c>
      <c r="N73" s="46">
        <f t="shared" si="11"/>
        <v>-4.9100000000000819</v>
      </c>
      <c r="O73" s="46">
        <f t="shared" si="12"/>
        <v>-1.0000000000104592E-2</v>
      </c>
      <c r="P73" s="46" t="str">
        <f>IF(COUNT($H$21:H73)&lt;$B$4,"",AVERAGE(INDEX($H$21:H73,COUNT($H$21:H73)-$B$4+1):H73))</f>
        <v/>
      </c>
      <c r="Q73" s="46" t="str">
        <f>IF(COUNT($H$21:H73)&lt;$B$4,"",_xludf.STDEV.S(INDEX($H$21:H73,COUNT($H$21:H73)-$B$4+1):H73))</f>
        <v/>
      </c>
      <c r="R73" s="45" t="str">
        <f t="shared" si="0"/>
        <v/>
      </c>
      <c r="T73" s="45" t="str">
        <f t="shared" si="1"/>
        <v/>
      </c>
      <c r="U73" s="47" t="str">
        <f t="shared" si="2"/>
        <v/>
      </c>
      <c r="V73" s="46"/>
      <c r="W73" s="46"/>
      <c r="X73" s="45">
        <f t="shared" si="3"/>
        <v>0</v>
      </c>
      <c r="Y73" s="47"/>
      <c r="Z73" t="str">
        <f t="shared" si="7"/>
        <v/>
      </c>
    </row>
    <row r="74" spans="1:26">
      <c r="A74" s="36" t="s">
        <v>202</v>
      </c>
      <c r="B74" s="50">
        <v>4113.1000000000004</v>
      </c>
      <c r="C74" s="49">
        <v>7.1029</v>
      </c>
      <c r="D74" s="35">
        <v>925.22</v>
      </c>
      <c r="E74" s="35">
        <v>925.54</v>
      </c>
      <c r="F74" s="46">
        <v>558.68100000000004</v>
      </c>
      <c r="G74" s="46">
        <f t="shared" si="4"/>
        <v>939.28136672721723</v>
      </c>
      <c r="H74" s="46">
        <f t="shared" si="8"/>
        <v>-14.061366727217205</v>
      </c>
      <c r="I74" s="46">
        <f>E74-G74</f>
        <v>-13.741366727217269</v>
      </c>
      <c r="J74" s="46">
        <f t="shared" si="6"/>
        <v>-380.60036672721719</v>
      </c>
      <c r="K74" s="46">
        <f t="shared" si="13"/>
        <v>-3.9759281109844191</v>
      </c>
      <c r="L74" s="46">
        <f t="shared" si="9"/>
        <v>-0.56862828942077148</v>
      </c>
      <c r="M74" s="46">
        <f t="shared" si="10"/>
        <v>-2.2799999999999727</v>
      </c>
      <c r="N74" s="46">
        <f t="shared" si="11"/>
        <v>-1.6200000000000045</v>
      </c>
      <c r="O74" s="46">
        <f t="shared" si="12"/>
        <v>0.65999999999996817</v>
      </c>
      <c r="P74" s="46" t="str">
        <f>IF(COUNT($H$21:H74)&lt;$B$4,"",AVERAGE(INDEX($H$21:H74,COUNT($H$21:H74)-$B$4+1):H74))</f>
        <v/>
      </c>
      <c r="Q74" s="46" t="str">
        <f>IF(COUNT($H$21:H74)&lt;$B$4,"",_xludf.STDEV.S(INDEX($H$21:H74,COUNT($H$21:H74)-$B$4+1):H74))</f>
        <v/>
      </c>
      <c r="R74" s="45" t="str">
        <f t="shared" si="0"/>
        <v/>
      </c>
      <c r="T74" s="45" t="str">
        <f t="shared" si="1"/>
        <v/>
      </c>
      <c r="U74" s="47" t="str">
        <f t="shared" si="2"/>
        <v/>
      </c>
      <c r="V74" s="46"/>
      <c r="W74" s="46"/>
      <c r="X74" s="45">
        <f t="shared" si="3"/>
        <v>0</v>
      </c>
      <c r="Y74" s="47"/>
      <c r="Z74" t="str">
        <f t="shared" si="7"/>
        <v/>
      </c>
    </row>
    <row r="75" spans="1:26">
      <c r="A75" s="36" t="s">
        <v>203</v>
      </c>
      <c r="B75" s="50">
        <v>4159.8</v>
      </c>
      <c r="C75" s="49">
        <v>7.0846999999999998</v>
      </c>
      <c r="D75" s="35">
        <v>940</v>
      </c>
      <c r="E75" s="35">
        <v>942.61</v>
      </c>
      <c r="F75" s="46">
        <v>558.78300000000002</v>
      </c>
      <c r="G75" s="46">
        <f t="shared" si="4"/>
        <v>947.51185750799743</v>
      </c>
      <c r="H75" s="46">
        <f>D75-G75</f>
        <v>-7.5118575079974335</v>
      </c>
      <c r="I75" s="46">
        <f t="shared" si="5"/>
        <v>-4.9018575079974198</v>
      </c>
      <c r="J75" s="46">
        <f t="shared" si="6"/>
        <v>-388.72885750799742</v>
      </c>
      <c r="K75" s="46">
        <f t="shared" si="13"/>
        <v>-10.664569260694092</v>
      </c>
      <c r="L75" s="46">
        <f t="shared" si="9"/>
        <v>-2.4340784799138651</v>
      </c>
      <c r="M75" s="46">
        <f t="shared" si="10"/>
        <v>14.779999999999973</v>
      </c>
      <c r="N75" s="46">
        <f t="shared" si="11"/>
        <v>17.07000000000005</v>
      </c>
      <c r="O75" s="46">
        <f t="shared" si="12"/>
        <v>2.2900000000000773</v>
      </c>
      <c r="P75" s="46" t="str">
        <f>IF(COUNT($H$21:H75)&lt;$B$4,"",AVERAGE(INDEX($H$21:H75,COUNT($H$21:H75)-$B$4+1):H75))</f>
        <v/>
      </c>
      <c r="Q75" s="46" t="str">
        <f>IF(COUNT($H$21:H75)&lt;$B$4,"",_xludf.STDEV.S(INDEX($H$21:H75,COUNT($H$21:H75)-$B$4+1):H75))</f>
        <v/>
      </c>
      <c r="R75" s="45" t="str">
        <f t="shared" si="0"/>
        <v/>
      </c>
      <c r="T75" s="45" t="str">
        <f t="shared" si="1"/>
        <v/>
      </c>
      <c r="U75" s="47" t="str">
        <f t="shared" si="2"/>
        <v/>
      </c>
      <c r="V75" s="46"/>
      <c r="W75" s="46"/>
      <c r="X75" s="45">
        <f t="shared" si="3"/>
        <v>0</v>
      </c>
      <c r="Y75" s="47"/>
      <c r="Z75" t="str">
        <f t="shared" si="7"/>
        <v/>
      </c>
    </row>
    <row r="76" spans="1:26">
      <c r="A76" s="36" t="s">
        <v>204</v>
      </c>
      <c r="B76" s="50">
        <v>4202.3</v>
      </c>
      <c r="C76" s="49">
        <v>7.0759999999999996</v>
      </c>
      <c r="D76" s="35">
        <v>942.9</v>
      </c>
      <c r="E76" s="35">
        <v>943.78</v>
      </c>
      <c r="F76" s="46">
        <v>558.84</v>
      </c>
      <c r="G76" s="46">
        <f t="shared" si="4"/>
        <v>956.01700130210429</v>
      </c>
      <c r="H76" s="46">
        <f t="shared" si="8"/>
        <v>-13.117001302104313</v>
      </c>
      <c r="I76" s="46">
        <f t="shared" si="5"/>
        <v>-12.237001302104318</v>
      </c>
      <c r="J76" s="46">
        <f t="shared" si="6"/>
        <v>-397.17700130210426</v>
      </c>
      <c r="K76" s="46">
        <f t="shared" si="13"/>
        <v>-9.6805745334126367</v>
      </c>
      <c r="L76" s="46">
        <f t="shared" si="9"/>
        <v>-1.1754307393058863</v>
      </c>
      <c r="M76" s="46">
        <f t="shared" si="10"/>
        <v>2.8999999999999773</v>
      </c>
      <c r="N76" s="46">
        <f t="shared" si="11"/>
        <v>1.1699999999999591</v>
      </c>
      <c r="O76" s="46">
        <f t="shared" si="12"/>
        <v>-1.7300000000000182</v>
      </c>
      <c r="P76" s="46" t="str">
        <f>IF(COUNT($H$21:H76)&lt;$B$4,"",AVERAGE(INDEX($H$21:H76,COUNT($H$21:H76)-$B$4+1):H76))</f>
        <v/>
      </c>
      <c r="Q76" s="46" t="str">
        <f>IF(COUNT($H$21:H76)&lt;$B$4,"",_xludf.STDEV.S(INDEX($H$21:H76,COUNT($H$21:H76)-$B$4+1):H76))</f>
        <v/>
      </c>
      <c r="R76" s="45" t="str">
        <f t="shared" si="0"/>
        <v/>
      </c>
      <c r="T76" s="45" t="str">
        <f t="shared" si="1"/>
        <v/>
      </c>
      <c r="U76" s="47" t="str">
        <f t="shared" si="2"/>
        <v/>
      </c>
      <c r="V76" s="46"/>
      <c r="W76" s="46"/>
      <c r="X76" s="45">
        <f t="shared" si="3"/>
        <v>0</v>
      </c>
      <c r="Y76" s="47"/>
      <c r="Z76" t="str">
        <f t="shared" si="7"/>
        <v/>
      </c>
    </row>
    <row r="77" spans="1:26">
      <c r="A77" s="36" t="s">
        <v>205</v>
      </c>
      <c r="B77" s="50">
        <v>4202.3</v>
      </c>
      <c r="C77" s="49">
        <v>7.0797999999999996</v>
      </c>
      <c r="D77" s="35">
        <v>941.11</v>
      </c>
      <c r="E77" s="35">
        <v>941.57</v>
      </c>
      <c r="F77" s="46">
        <v>558.68100000000004</v>
      </c>
      <c r="G77" s="46">
        <f t="shared" si="4"/>
        <v>956.53040783191602</v>
      </c>
      <c r="H77" s="46">
        <f t="shared" si="8"/>
        <v>-15.420407831916009</v>
      </c>
      <c r="I77" s="46">
        <f t="shared" si="5"/>
        <v>-14.960407831915973</v>
      </c>
      <c r="J77" s="46">
        <f t="shared" si="6"/>
        <v>-397.84940783191598</v>
      </c>
      <c r="K77" s="46">
        <f t="shared" si="13"/>
        <v>0</v>
      </c>
      <c r="L77" s="46">
        <f t="shared" si="9"/>
        <v>0.51340652981176094</v>
      </c>
      <c r="M77" s="46">
        <f t="shared" si="10"/>
        <v>-1.7899999999999636</v>
      </c>
      <c r="N77" s="46">
        <f t="shared" si="11"/>
        <v>-2.2099999999999227</v>
      </c>
      <c r="O77" s="46">
        <f t="shared" si="12"/>
        <v>-0.41999999999995907</v>
      </c>
      <c r="P77" s="46" t="str">
        <f>IF(COUNT($H$21:H77)&lt;$B$4,"",AVERAGE(INDEX($H$21:H77,COUNT($H$21:H77)-$B$4+1):H77))</f>
        <v/>
      </c>
      <c r="Q77" s="46" t="str">
        <f>IF(COUNT($H$21:H77)&lt;$B$4,"",_xludf.STDEV.S(INDEX($H$21:H77,COUNT($H$21:H77)-$B$4+1):H77))</f>
        <v/>
      </c>
      <c r="R77" s="45" t="str">
        <f t="shared" si="0"/>
        <v/>
      </c>
      <c r="T77" s="45" t="str">
        <f t="shared" si="1"/>
        <v/>
      </c>
      <c r="U77" s="47" t="str">
        <f t="shared" si="2"/>
        <v/>
      </c>
      <c r="V77" s="46"/>
      <c r="W77" s="46"/>
      <c r="X77" s="45">
        <f t="shared" si="3"/>
        <v>0</v>
      </c>
      <c r="Y77" s="47"/>
      <c r="Z77" t="str">
        <f t="shared" si="7"/>
        <v/>
      </c>
    </row>
    <row r="78" spans="1:26">
      <c r="A78" s="36" t="s">
        <v>206</v>
      </c>
      <c r="B78" s="50">
        <v>4202.3</v>
      </c>
      <c r="C78" s="49">
        <v>7.0753000000000004</v>
      </c>
      <c r="D78" s="35">
        <v>947.31</v>
      </c>
      <c r="E78" s="35">
        <v>948.21</v>
      </c>
      <c r="F78" s="46">
        <v>558.78300000000002</v>
      </c>
      <c r="G78" s="46">
        <f t="shared" si="4"/>
        <v>955.92242641503378</v>
      </c>
      <c r="H78" s="46">
        <f t="shared" si="8"/>
        <v>-8.6124264150338377</v>
      </c>
      <c r="I78" s="46">
        <f t="shared" si="5"/>
        <v>-7.7124264150337467</v>
      </c>
      <c r="J78" s="46">
        <f t="shared" si="6"/>
        <v>-397.13942641503377</v>
      </c>
      <c r="K78" s="46">
        <f t="shared" si="13"/>
        <v>0</v>
      </c>
      <c r="L78" s="46">
        <f t="shared" si="9"/>
        <v>-0.60798141688224738</v>
      </c>
      <c r="M78" s="46">
        <f t="shared" si="10"/>
        <v>6.1999999999999318</v>
      </c>
      <c r="N78" s="46">
        <f t="shared" si="11"/>
        <v>6.6399999999999864</v>
      </c>
      <c r="O78" s="46">
        <f t="shared" si="12"/>
        <v>0.44000000000005457</v>
      </c>
      <c r="P78" s="46" t="str">
        <f>IF(COUNT($H$21:H78)&lt;$B$4,"",AVERAGE(INDEX($H$21:H78,COUNT($H$21:H78)-$B$4+1):H78))</f>
        <v/>
      </c>
      <c r="Q78" s="46" t="str">
        <f>IF(COUNT($H$21:H78)&lt;$B$4,"",_xludf.STDEV.S(INDEX($H$21:H78,COUNT($H$21:H78)-$B$4+1):H78))</f>
        <v/>
      </c>
      <c r="R78" s="45" t="str">
        <f t="shared" si="0"/>
        <v/>
      </c>
      <c r="T78" s="45" t="str">
        <f t="shared" si="1"/>
        <v/>
      </c>
      <c r="U78" s="47" t="str">
        <f t="shared" si="2"/>
        <v/>
      </c>
      <c r="V78" s="46"/>
      <c r="W78" s="46"/>
      <c r="X78" s="45">
        <f t="shared" si="3"/>
        <v>0</v>
      </c>
      <c r="Y78" s="47"/>
      <c r="Z78" t="str">
        <f t="shared" si="7"/>
        <v/>
      </c>
    </row>
    <row r="79" spans="1:26">
      <c r="A79" s="36" t="s">
        <v>207</v>
      </c>
      <c r="B79" s="50">
        <v>4274.8</v>
      </c>
      <c r="C79" s="49">
        <v>7.0717999999999996</v>
      </c>
      <c r="D79" s="35">
        <v>956.65</v>
      </c>
      <c r="E79" s="35">
        <v>957.2</v>
      </c>
      <c r="F79" s="46">
        <v>558.60799999999995</v>
      </c>
      <c r="G79" s="46">
        <f t="shared" si="4"/>
        <v>971.93340427926114</v>
      </c>
      <c r="H79" s="46">
        <f t="shared" si="8"/>
        <v>-15.283404279261163</v>
      </c>
      <c r="I79" s="46">
        <f t="shared" si="5"/>
        <v>-14.733404279261094</v>
      </c>
      <c r="J79" s="46">
        <f t="shared" si="6"/>
        <v>-413.32540427926119</v>
      </c>
      <c r="K79" s="46">
        <f t="shared" si="13"/>
        <v>-16.492010545437012</v>
      </c>
      <c r="L79" s="46">
        <f t="shared" si="9"/>
        <v>-0.48103268120960979</v>
      </c>
      <c r="M79" s="46">
        <f t="shared" si="10"/>
        <v>9.3400000000000318</v>
      </c>
      <c r="N79" s="46">
        <f t="shared" si="11"/>
        <v>8.9900000000000091</v>
      </c>
      <c r="O79" s="46">
        <f t="shared" si="12"/>
        <v>-0.35000000000002274</v>
      </c>
      <c r="P79" s="46" t="str">
        <f>IF(COUNT($H$21:H79)&lt;$B$4,"",AVERAGE(INDEX($H$21:H79,COUNT($H$21:H79)-$B$4+1):H79))</f>
        <v/>
      </c>
      <c r="Q79" s="46" t="str">
        <f>IF(COUNT($H$21:H79)&lt;$B$4,"",_xludf.STDEV.S(INDEX($H$21:H79,COUNT($H$21:H79)-$B$4+1):H79))</f>
        <v/>
      </c>
      <c r="R79" s="45" t="str">
        <f t="shared" si="0"/>
        <v/>
      </c>
      <c r="T79" s="45" t="str">
        <f t="shared" si="1"/>
        <v/>
      </c>
      <c r="U79" s="47" t="str">
        <f t="shared" si="2"/>
        <v/>
      </c>
      <c r="V79" s="46"/>
      <c r="W79" s="46"/>
      <c r="X79" s="45">
        <f t="shared" si="3"/>
        <v>0</v>
      </c>
      <c r="Y79" s="47"/>
      <c r="Z79" t="str">
        <f t="shared" si="7"/>
        <v/>
      </c>
    </row>
    <row r="80" spans="1:26">
      <c r="A80" s="36" t="s">
        <v>208</v>
      </c>
      <c r="B80" s="50">
        <v>4220.8</v>
      </c>
      <c r="C80" s="49">
        <v>7.0709</v>
      </c>
      <c r="D80" s="35">
        <v>955.66</v>
      </c>
      <c r="E80" s="35">
        <v>954.71</v>
      </c>
      <c r="F80" s="46">
        <v>558.43299999999999</v>
      </c>
      <c r="G80" s="46">
        <f t="shared" si="4"/>
        <v>959.53364476666604</v>
      </c>
      <c r="H80" s="46">
        <f t="shared" si="8"/>
        <v>-3.8736447666660752</v>
      </c>
      <c r="I80" s="46">
        <f t="shared" si="5"/>
        <v>-4.8236447666660069</v>
      </c>
      <c r="J80" s="46">
        <f t="shared" si="6"/>
        <v>-401.10064476666605</v>
      </c>
      <c r="K80" s="46">
        <f t="shared" si="13"/>
        <v>12.277627919687495</v>
      </c>
      <c r="L80" s="46">
        <f t="shared" si="9"/>
        <v>-0.12213159290750701</v>
      </c>
      <c r="M80" s="46">
        <f>D80-D79</f>
        <v>-0.99000000000000909</v>
      </c>
      <c r="N80" s="46">
        <f t="shared" si="11"/>
        <v>-2.4900000000000091</v>
      </c>
      <c r="O80" s="46">
        <f t="shared" si="12"/>
        <v>-1.5</v>
      </c>
      <c r="P80" s="46">
        <f>IF(COUNT($H$21:H80)&lt;$B$4,"",AVERAGE(INDEX($H$21:H80,COUNT($H$21:H80)-$B$4+1):H80))</f>
        <v>-10.436192698035049</v>
      </c>
      <c r="Q80" s="46">
        <f>_xlfn.SINGLE(IF(COUNT($H$21:H80)&lt;$B$4,"",_xlfn.STDEV.S(INDEX($H$21:H80,COUNT($H$21:H80)-$B$4+1):H80)))</f>
        <v>12.80582607048223</v>
      </c>
      <c r="R80" s="45">
        <f>IF(OR(P80="",Q80=""),"",(H80-P80)/Q80)</f>
        <v>0.51246580230351724</v>
      </c>
      <c r="T80" s="45">
        <f>IF(R80="","",MIN($B$12,ABS(R80)/$B$6))</f>
        <v>0.25623290115175862</v>
      </c>
      <c r="U80" s="47">
        <f>IF(R80="","",$B$11*1000*T80)</f>
        <v>1281.164505758793</v>
      </c>
      <c r="V80" s="46"/>
      <c r="W80" s="46"/>
      <c r="X80" s="45">
        <f t="shared" si="3"/>
        <v>0</v>
      </c>
      <c r="Y80" s="47"/>
      <c r="Z80" t="str">
        <f t="shared" si="7"/>
        <v/>
      </c>
    </row>
    <row r="81" spans="1:26">
      <c r="A81" s="36" t="s">
        <v>209</v>
      </c>
      <c r="B81" s="50">
        <v>4232.5</v>
      </c>
      <c r="C81" s="49">
        <v>7.0637999999999996</v>
      </c>
      <c r="D81" s="35">
        <v>953.02</v>
      </c>
      <c r="E81" s="35">
        <v>953.48</v>
      </c>
      <c r="F81" s="46">
        <v>558.78300000000002</v>
      </c>
      <c r="G81" s="46">
        <f t="shared" si="4"/>
        <v>961.22730560869343</v>
      </c>
      <c r="H81" s="46">
        <f t="shared" si="8"/>
        <v>-8.2073056086934457</v>
      </c>
      <c r="I81" s="46">
        <f t="shared" si="5"/>
        <v>-7.7473056086934093</v>
      </c>
      <c r="J81" s="46">
        <f t="shared" si="6"/>
        <v>-402.44430560869341</v>
      </c>
      <c r="K81" s="46">
        <f t="shared" si="13"/>
        <v>-2.6598141688234027</v>
      </c>
      <c r="L81" s="46">
        <f>(B81/$B$14)*(C81-C80)</f>
        <v>-0.96615332679606436</v>
      </c>
      <c r="M81" s="46">
        <f t="shared" si="10"/>
        <v>-2.6399999999999864</v>
      </c>
      <c r="N81" s="46">
        <f t="shared" si="11"/>
        <v>-1.2300000000000182</v>
      </c>
      <c r="O81" s="46">
        <f t="shared" si="12"/>
        <v>1.4099999999999682</v>
      </c>
      <c r="P81" s="46">
        <f>IF(COUNT($H$21:H81)&lt;$B$4,"",AVERAGE(INDEX($H$21:H81,COUNT($H$21:H81)-$B$4+1):H81))</f>
        <v>-10.046521902679755</v>
      </c>
      <c r="Q81" s="46">
        <f>_xlfn.SINGLE(IF(COUNT($H$21:H81)&lt;$B$4,"",_xlfn.STDEV.S(INDEX($H$21:H81,COUNT($H$21:H81)-$B$4+1):H81)))</f>
        <v>12.503449680494661</v>
      </c>
      <c r="R81" s="45">
        <f t="shared" si="0"/>
        <v>0.1470967085871894</v>
      </c>
      <c r="T81" s="45">
        <f t="shared" si="1"/>
        <v>7.35483542935947E-2</v>
      </c>
      <c r="U81" s="47">
        <f t="shared" si="2"/>
        <v>367.74177146797348</v>
      </c>
      <c r="V81" s="46"/>
      <c r="W81" s="46"/>
      <c r="X81" s="45">
        <f t="shared" si="3"/>
        <v>0</v>
      </c>
      <c r="Y81" s="47"/>
      <c r="Z81" t="str">
        <f t="shared" si="7"/>
        <v/>
      </c>
    </row>
    <row r="82" spans="1:26">
      <c r="A82" s="36" t="s">
        <v>210</v>
      </c>
      <c r="B82" s="50">
        <v>4243</v>
      </c>
      <c r="C82" s="49">
        <v>7.0716999999999999</v>
      </c>
      <c r="D82" s="35">
        <v>950.43</v>
      </c>
      <c r="E82" s="35">
        <v>949.82</v>
      </c>
      <c r="F82" s="46">
        <v>558.60799999999995</v>
      </c>
      <c r="G82" s="46">
        <f t="shared" si="4"/>
        <v>964.68960406385133</v>
      </c>
      <c r="H82" s="46">
        <f t="shared" si="8"/>
        <v>-14.259604063851384</v>
      </c>
      <c r="I82" s="46">
        <f t="shared" si="5"/>
        <v>-14.869604063851284</v>
      </c>
      <c r="J82" s="46">
        <f t="shared" si="6"/>
        <v>-406.08160406385139</v>
      </c>
      <c r="K82" s="46">
        <f t="shared" si="13"/>
        <v>-2.3846158792418857</v>
      </c>
      <c r="L82" s="46">
        <f t="shared" si="9"/>
        <v>1.0776825759159263</v>
      </c>
      <c r="M82" s="46">
        <f t="shared" si="10"/>
        <v>-2.5900000000000318</v>
      </c>
      <c r="N82" s="46">
        <f t="shared" si="11"/>
        <v>-3.6599999999999682</v>
      </c>
      <c r="O82" s="46">
        <f t="shared" si="12"/>
        <v>-1.0699999999999363</v>
      </c>
      <c r="P82" s="46">
        <f>IF(COUNT($H$21:H82)&lt;$B$4,"",AVERAGE(INDEX($H$21:H82,COUNT($H$21:H82)-$B$4+1):H82))</f>
        <v>-9.8906171465161972</v>
      </c>
      <c r="Q82" s="46">
        <f>_xlfn.SINGLE(IF(COUNT($H$21:H82)&lt;$B$4,"",_xlfn.STDEV.S(INDEX($H$21:H82,COUNT($H$21:H82)-$B$4+1):H82)))</f>
        <v>12.389208811035781</v>
      </c>
      <c r="R82" s="45">
        <f t="shared" si="0"/>
        <v>-0.35264454607008311</v>
      </c>
      <c r="T82" s="45">
        <f t="shared" si="1"/>
        <v>0.17632227303504155</v>
      </c>
      <c r="U82" s="47">
        <f t="shared" si="2"/>
        <v>881.61136517520777</v>
      </c>
      <c r="V82" s="46"/>
      <c r="W82" s="46"/>
      <c r="X82" s="45">
        <f t="shared" si="3"/>
        <v>0</v>
      </c>
      <c r="Y82" s="47"/>
      <c r="Z82" t="str">
        <f t="shared" si="7"/>
        <v/>
      </c>
    </row>
    <row r="83" spans="1:26">
      <c r="A83" s="36" t="s">
        <v>211</v>
      </c>
      <c r="B83" s="50">
        <v>4243</v>
      </c>
      <c r="C83" s="49">
        <v>7.0702999999999996</v>
      </c>
      <c r="D83" s="35">
        <v>953.06</v>
      </c>
      <c r="E83" s="35">
        <v>954.25</v>
      </c>
      <c r="F83" s="46">
        <v>558.43299999999999</v>
      </c>
      <c r="G83" s="46">
        <f t="shared" si="4"/>
        <v>964.49862234153704</v>
      </c>
      <c r="H83" s="46">
        <f t="shared" si="8"/>
        <v>-11.438622341537098</v>
      </c>
      <c r="I83" s="46">
        <f t="shared" si="5"/>
        <v>-10.248622341537043</v>
      </c>
      <c r="J83" s="46">
        <f t="shared" si="6"/>
        <v>-406.06562234153705</v>
      </c>
      <c r="K83" s="46">
        <f t="shared" si="13"/>
        <v>0</v>
      </c>
      <c r="L83" s="46">
        <f t="shared" si="9"/>
        <v>-0.19098172231424854</v>
      </c>
      <c r="M83" s="46">
        <f t="shared" si="10"/>
        <v>2.6299999999999955</v>
      </c>
      <c r="N83" s="46">
        <f t="shared" si="11"/>
        <v>4.42999999999995</v>
      </c>
      <c r="O83" s="46">
        <f t="shared" si="12"/>
        <v>1.7999999999999545</v>
      </c>
      <c r="P83" s="46">
        <f>IF(COUNT($H$21:H83)&lt;$B$4,"",AVERAGE(INDEX($H$21:H83,COUNT($H$21:H83)-$B$4+1):H83))</f>
        <v>-9.6364514899180662</v>
      </c>
      <c r="Q83" s="46">
        <f>_xlfn.SINGLE(IF(COUNT($H$21:H83)&lt;$B$4,"",_xlfn.STDEV.S(INDEX($H$21:H83,COUNT($H$21:H83)-$B$4+1):H83)))</f>
        <v>12.193640027147996</v>
      </c>
      <c r="R83" s="45">
        <f t="shared" si="0"/>
        <v>-0.14779596966998101</v>
      </c>
      <c r="T83" s="45">
        <f t="shared" si="1"/>
        <v>7.3897984834990507E-2</v>
      </c>
      <c r="U83" s="47">
        <f t="shared" si="2"/>
        <v>369.48992417495253</v>
      </c>
      <c r="V83" s="46"/>
      <c r="W83" s="46"/>
      <c r="X83" s="45">
        <f t="shared" si="3"/>
        <v>0</v>
      </c>
      <c r="Y83" s="47"/>
      <c r="Z83" t="str">
        <f t="shared" si="7"/>
        <v/>
      </c>
    </row>
    <row r="84" spans="1:26">
      <c r="A84" s="36" t="s">
        <v>212</v>
      </c>
      <c r="B84" s="50">
        <v>4217.7</v>
      </c>
      <c r="C84" s="49">
        <v>7.0716999999999999</v>
      </c>
      <c r="D84" s="35">
        <v>953.36</v>
      </c>
      <c r="E84" s="35">
        <v>952.62</v>
      </c>
      <c r="F84" s="46">
        <v>558.53499999999997</v>
      </c>
      <c r="G84" s="46">
        <f t="shared" si="4"/>
        <v>958.93738936132581</v>
      </c>
      <c r="H84" s="46">
        <f t="shared" si="8"/>
        <v>-5.5773893613257997</v>
      </c>
      <c r="I84" s="46">
        <f t="shared" si="5"/>
        <v>-6.3173893613258087</v>
      </c>
      <c r="J84" s="46">
        <f t="shared" si="6"/>
        <v>-400.40238936132585</v>
      </c>
      <c r="K84" s="46">
        <f t="shared" si="13"/>
        <v>5.7510759239314311</v>
      </c>
      <c r="L84" s="46">
        <f t="shared" si="9"/>
        <v>0.18984294372019939</v>
      </c>
      <c r="M84" s="46">
        <f t="shared" si="10"/>
        <v>0.30000000000006821</v>
      </c>
      <c r="N84" s="46">
        <f t="shared" si="11"/>
        <v>-1.6299999999999955</v>
      </c>
      <c r="O84" s="46">
        <f t="shared" si="12"/>
        <v>-1.9300000000000637</v>
      </c>
      <c r="P84" s="46">
        <f>IF(COUNT($H$21:H84)&lt;$B$4,"",AVERAGE(INDEX($H$21:H84,COUNT($H$21:H84)-$B$4+1):H84))</f>
        <v>-9.4376191746909477</v>
      </c>
      <c r="Q84" s="46">
        <f>_xlfn.SINGLE(IF(COUNT($H$21:H84)&lt;$B$4,"",_xlfn.STDEV.S(INDEX($H$21:H84,COUNT($H$21:H84)-$B$4+1):H84)))</f>
        <v>12.160341066395022</v>
      </c>
      <c r="R84" s="45">
        <f t="shared" si="0"/>
        <v>0.3174442059057746</v>
      </c>
      <c r="T84" s="45">
        <f t="shared" si="1"/>
        <v>0.1587221029528873</v>
      </c>
      <c r="U84" s="47">
        <f t="shared" si="2"/>
        <v>793.61051476443652</v>
      </c>
      <c r="V84" s="46"/>
      <c r="W84" s="46"/>
      <c r="X84" s="45">
        <f t="shared" si="3"/>
        <v>0</v>
      </c>
      <c r="Y84" s="47"/>
      <c r="Z84" t="str">
        <f t="shared" si="7"/>
        <v/>
      </c>
    </row>
    <row r="85" spans="1:26">
      <c r="A85" s="36" t="s">
        <v>213</v>
      </c>
      <c r="B85" s="50">
        <v>4236.2</v>
      </c>
      <c r="C85" s="49">
        <v>7.0636000000000001</v>
      </c>
      <c r="D85" s="35">
        <v>948.26</v>
      </c>
      <c r="E85" s="35">
        <v>948.2</v>
      </c>
      <c r="F85" s="46">
        <v>558.37599999999998</v>
      </c>
      <c r="G85" s="46">
        <f t="shared" si="4"/>
        <v>962.04035944507848</v>
      </c>
      <c r="H85" s="46">
        <f t="shared" si="8"/>
        <v>-13.780359445078489</v>
      </c>
      <c r="I85" s="46">
        <f t="shared" ref="I85:I110" si="14">E85-G85</f>
        <v>-13.840359445078434</v>
      </c>
      <c r="J85" s="46">
        <f t="shared" ref="J85:J110" si="15">F85-G85</f>
        <v>-403.6643594450785</v>
      </c>
      <c r="K85" s="46">
        <f t="shared" si="13"/>
        <v>-4.2061649010561508</v>
      </c>
      <c r="L85" s="46">
        <f t="shared" si="9"/>
        <v>-1.103194817303488</v>
      </c>
      <c r="M85" s="46">
        <f t="shared" si="10"/>
        <v>-5.1000000000000227</v>
      </c>
      <c r="N85" s="46">
        <f t="shared" si="11"/>
        <v>-4.4199999999999591</v>
      </c>
      <c r="O85" s="46">
        <f t="shared" si="12"/>
        <v>0.68000000000006366</v>
      </c>
      <c r="P85" s="46">
        <f>IF(COUNT($H$21:H85)&lt;$B$4,"",AVERAGE(INDEX($H$21:H85,COUNT($H$21:H85)-$B$4+1):H85))</f>
        <v>-9.40167686916263</v>
      </c>
      <c r="Q85" s="46">
        <f>_xlfn.SINGLE(IF(COUNT($H$21:H85)&lt;$B$4,"",_xlfn.STDEV.S(INDEX($H$21:H85,COUNT($H$21:H85)-$B$4+1):H85)))</f>
        <v>12.143981599297877</v>
      </c>
      <c r="R85" s="45">
        <f t="shared" ref="R85:R110" si="16">IF(OR(P85="",Q85=""),"",(H85-P85)/Q85)</f>
        <v>-0.3605639995509396</v>
      </c>
      <c r="T85" s="45">
        <f t="shared" ref="T85:T110" si="17">IF(R85="","",MIN($B$12,ABS(R85)/$B$6))</f>
        <v>0.1802819997754698</v>
      </c>
      <c r="U85" s="47">
        <f t="shared" ref="U85:U110" si="18">IF(R85="","",$B$11*1000*T85)</f>
        <v>901.40999887734904</v>
      </c>
      <c r="V85" s="46"/>
      <c r="W85" s="46"/>
      <c r="X85" s="45">
        <f t="shared" ref="X85:X110" si="19">IF(OR(R85="",$B$13=0),0,-W85*$B$15*B85)</f>
        <v>0</v>
      </c>
      <c r="Y85" s="47"/>
      <c r="Z85" t="str">
        <f t="shared" ref="Z85:Z110" si="20">IF(R85="","",IF(AND(ABS(R85)&gt;=$B$6,ABS(H85)&gt;=$B$5,ABS(H85)&lt;=$B$9,ABS(Y85)&gt;=U85*($B$5+$B$17)),"GO",IF(ABS(R85)&gt;=$B$6,"NO_GO","")))</f>
        <v/>
      </c>
    </row>
    <row r="86" spans="1:26">
      <c r="A86" s="36" t="s">
        <v>214</v>
      </c>
      <c r="B86" s="50">
        <v>4224.7</v>
      </c>
      <c r="C86" s="49">
        <v>7.0646000000000004</v>
      </c>
      <c r="D86" s="35">
        <v>951.7</v>
      </c>
      <c r="E86" s="35">
        <v>952.38</v>
      </c>
      <c r="F86" s="46">
        <v>558.43299999999999</v>
      </c>
      <c r="G86" s="46">
        <f t="shared" ref="G86:G111" si="21">(B86*C86)/$B$14</f>
        <v>959.56453839600044</v>
      </c>
      <c r="H86" s="46">
        <f t="shared" ref="H86:H110" si="22">D86-G86</f>
        <v>-7.8645383960003983</v>
      </c>
      <c r="I86" s="46">
        <f t="shared" si="14"/>
        <v>-7.1845383960004483</v>
      </c>
      <c r="J86" s="46">
        <f t="shared" si="15"/>
        <v>-401.13153839600045</v>
      </c>
      <c r="K86" s="46">
        <f t="shared" si="13"/>
        <v>2.6116482067934474</v>
      </c>
      <c r="L86" s="46">
        <f t="shared" si="9"/>
        <v>0.13582715771541501</v>
      </c>
      <c r="M86" s="46">
        <f t="shared" si="10"/>
        <v>3.4400000000000546</v>
      </c>
      <c r="N86" s="46">
        <f t="shared" si="11"/>
        <v>4.17999999999995</v>
      </c>
      <c r="O86" s="46">
        <f t="shared" si="12"/>
        <v>0.73999999999989541</v>
      </c>
      <c r="P86" s="46">
        <f>IF(COUNT($H$21:H86)&lt;$B$4,"",AVERAGE(INDEX($H$21:H86,COUNT($H$21:H86)-$B$4+1):H86))</f>
        <v>-9.1089910701367955</v>
      </c>
      <c r="Q86" s="46">
        <f>_xlfn.SINGLE(IF(COUNT($H$21:H86)&lt;$B$4,"",_xlfn.STDEV.S(INDEX($H$21:H86,COUNT($H$21:H86)-$B$4+1):H86)))</f>
        <v>11.961488394849225</v>
      </c>
      <c r="R86" s="45">
        <f t="shared" si="16"/>
        <v>0.10403827960676491</v>
      </c>
      <c r="T86" s="45">
        <f t="shared" si="17"/>
        <v>5.2019139803382457E-2</v>
      </c>
      <c r="U86" s="47">
        <f t="shared" si="18"/>
        <v>260.09569901691231</v>
      </c>
      <c r="V86" s="46"/>
      <c r="W86" s="46"/>
      <c r="X86" s="45">
        <f t="shared" si="19"/>
        <v>0</v>
      </c>
      <c r="Y86" s="47"/>
      <c r="Z86" t="str">
        <f t="shared" si="20"/>
        <v/>
      </c>
    </row>
    <row r="87" spans="1:26">
      <c r="A87" s="36" t="s">
        <v>215</v>
      </c>
      <c r="B87" s="50">
        <v>4313</v>
      </c>
      <c r="C87" s="49">
        <v>7.0580999999999996</v>
      </c>
      <c r="D87" s="35">
        <v>954.81</v>
      </c>
      <c r="E87" s="35">
        <v>954.51</v>
      </c>
      <c r="F87" s="46">
        <v>558.53499999999997</v>
      </c>
      <c r="G87" s="46">
        <f t="shared" si="21"/>
        <v>978.71896410371824</v>
      </c>
      <c r="H87" s="46">
        <f t="shared" si="22"/>
        <v>-23.90896410371829</v>
      </c>
      <c r="I87" s="46">
        <f t="shared" si="14"/>
        <v>-24.208964103718245</v>
      </c>
      <c r="J87" s="46">
        <f t="shared" si="15"/>
        <v>-420.18396410371827</v>
      </c>
      <c r="K87" s="46">
        <f t="shared" ref="K87:K111" si="23">-(C86/$B$14)*(B87-B86)</f>
        <v>-20.055755140096814</v>
      </c>
      <c r="L87" s="46">
        <f t="shared" ref="L87:L111" si="24">(B87/$B$14)*(C87-C86)</f>
        <v>-0.90132943237910901</v>
      </c>
      <c r="M87" s="46">
        <f t="shared" ref="M87:M111" si="25">D87-D86</f>
        <v>3.1099999999999</v>
      </c>
      <c r="N87" s="46">
        <f t="shared" ref="N87:N111" si="26">E87-E86</f>
        <v>2.1299999999999955</v>
      </c>
      <c r="O87" s="46">
        <f t="shared" ref="O87:O111" si="27">N87-M87</f>
        <v>-0.9799999999999045</v>
      </c>
      <c r="P87" s="46">
        <f>IF(COUNT($H$21:H87)&lt;$B$4,"",AVERAGE(INDEX($H$21:H87,COUNT($H$21:H87)-$B$4+1):H87))</f>
        <v>-9.2761144726477696</v>
      </c>
      <c r="Q87" s="46">
        <f>_xlfn.SINGLE(IF(COUNT($H$21:H87)&lt;$B$4,"",_xlfn.STDEV.S(INDEX($H$21:H87,COUNT($H$21:H87)-$B$4+1):H87)))</f>
        <v>12.098564872687563</v>
      </c>
      <c r="R87" s="45">
        <f t="shared" si="16"/>
        <v>-1.2094698656453122</v>
      </c>
      <c r="T87" s="45">
        <f t="shared" si="17"/>
        <v>0.60473493282265611</v>
      </c>
      <c r="U87" s="47">
        <f t="shared" si="18"/>
        <v>3023.6746641132804</v>
      </c>
      <c r="V87" s="46"/>
      <c r="W87" s="46"/>
      <c r="X87" s="45">
        <f t="shared" si="19"/>
        <v>0</v>
      </c>
      <c r="Y87" s="47"/>
      <c r="Z87" t="str">
        <f t="shared" si="20"/>
        <v/>
      </c>
    </row>
    <row r="88" spans="1:26">
      <c r="A88" s="36" t="s">
        <v>216</v>
      </c>
      <c r="B88" s="50">
        <v>4313</v>
      </c>
      <c r="C88" s="49">
        <v>7.0552000000000001</v>
      </c>
      <c r="D88" s="35">
        <v>961.67</v>
      </c>
      <c r="E88" s="35">
        <v>963.57</v>
      </c>
      <c r="F88" s="46">
        <v>558.36099999999999</v>
      </c>
      <c r="G88" s="46">
        <f t="shared" si="21"/>
        <v>978.31683251081074</v>
      </c>
      <c r="H88" s="46">
        <f t="shared" si="22"/>
        <v>-16.646832510810782</v>
      </c>
      <c r="I88" s="46">
        <f t="shared" si="14"/>
        <v>-14.746832510810691</v>
      </c>
      <c r="J88" s="46">
        <f t="shared" si="15"/>
        <v>-419.95583251081075</v>
      </c>
      <c r="K88" s="46">
        <f t="shared" si="23"/>
        <v>0</v>
      </c>
      <c r="L88" s="46">
        <f t="shared" si="24"/>
        <v>-0.40213159290747552</v>
      </c>
      <c r="M88" s="46">
        <f t="shared" si="25"/>
        <v>6.8600000000000136</v>
      </c>
      <c r="N88" s="46">
        <f t="shared" si="26"/>
        <v>9.0600000000000591</v>
      </c>
      <c r="O88" s="46">
        <f t="shared" si="27"/>
        <v>2.2000000000000455</v>
      </c>
      <c r="P88" s="46">
        <f>IF(COUNT($H$21:H88)&lt;$B$4,"",AVERAGE(INDEX($H$21:H88,COUNT($H$21:H88)-$B$4+1):H88))</f>
        <v>-9.3193907813161427</v>
      </c>
      <c r="Q88" s="46">
        <f>_xlfn.SINGLE(IF(COUNT($H$21:H88)&lt;$B$4,"",_xlfn.STDEV.S(INDEX($H$21:H88,COUNT($H$21:H88)-$B$4+1):H88)))</f>
        <v>12.120555276664298</v>
      </c>
      <c r="R88" s="45">
        <f t="shared" si="16"/>
        <v>-0.6045467028727769</v>
      </c>
      <c r="T88" s="45">
        <f t="shared" si="17"/>
        <v>0.30227335143638845</v>
      </c>
      <c r="U88" s="47">
        <f t="shared" si="18"/>
        <v>1511.3667571819421</v>
      </c>
      <c r="V88" s="46"/>
      <c r="W88" s="46"/>
      <c r="X88" s="45">
        <f t="shared" si="19"/>
        <v>0</v>
      </c>
      <c r="Y88" s="47"/>
      <c r="Z88" t="str">
        <f t="shared" si="20"/>
        <v/>
      </c>
    </row>
    <row r="89" spans="1:26">
      <c r="A89" s="36" t="s">
        <v>217</v>
      </c>
      <c r="B89" s="50">
        <v>4335.2</v>
      </c>
      <c r="C89" s="49">
        <v>7.0476999999999999</v>
      </c>
      <c r="D89" s="35">
        <v>975.09</v>
      </c>
      <c r="E89" s="35">
        <v>975.4</v>
      </c>
      <c r="F89" s="46">
        <v>558.66200000000003</v>
      </c>
      <c r="G89" s="46">
        <f t="shared" si="21"/>
        <v>982.30710498818451</v>
      </c>
      <c r="H89" s="46">
        <f t="shared" si="22"/>
        <v>-7.2171049881844738</v>
      </c>
      <c r="I89" s="46">
        <f t="shared" si="14"/>
        <v>-6.9071049881845283</v>
      </c>
      <c r="J89" s="46">
        <f t="shared" si="15"/>
        <v>-423.64510498818447</v>
      </c>
      <c r="K89" s="46">
        <f t="shared" si="23"/>
        <v>-5.0356210715835426</v>
      </c>
      <c r="L89" s="46">
        <f t="shared" si="24"/>
        <v>-1.0453485942096945</v>
      </c>
      <c r="M89" s="46">
        <f t="shared" si="25"/>
        <v>13.420000000000073</v>
      </c>
      <c r="N89" s="46">
        <f t="shared" si="26"/>
        <v>11.829999999999927</v>
      </c>
      <c r="O89" s="46">
        <f t="shared" si="27"/>
        <v>-1.5900000000001455</v>
      </c>
      <c r="P89" s="46">
        <f>IF(COUNT($H$21:H89)&lt;$B$4,"",AVERAGE(INDEX($H$21:H89,COUNT($H$21:H89)-$B$4+1):H89))</f>
        <v>-9.2388127434747425</v>
      </c>
      <c r="Q89" s="46">
        <f>_xlfn.SINGLE(IF(COUNT($H$21:H89)&lt;$B$4,"",_xlfn.STDEV.S(INDEX($H$21:H89,COUNT($H$21:H89)-$B$4+1):H89)))</f>
        <v>12.118152652257438</v>
      </c>
      <c r="R89" s="45">
        <f t="shared" si="16"/>
        <v>0.16683299949300884</v>
      </c>
      <c r="T89" s="45">
        <f t="shared" si="17"/>
        <v>8.3416499746504419E-2</v>
      </c>
      <c r="U89" s="47">
        <f t="shared" si="18"/>
        <v>417.08249873252208</v>
      </c>
      <c r="V89" s="46"/>
      <c r="W89" s="46"/>
      <c r="X89" s="45">
        <f t="shared" si="19"/>
        <v>0</v>
      </c>
      <c r="Y89" s="47"/>
      <c r="Z89" t="str">
        <f t="shared" si="20"/>
        <v/>
      </c>
    </row>
    <row r="90" spans="1:26">
      <c r="A90" s="36" t="s">
        <v>218</v>
      </c>
      <c r="B90" s="50">
        <v>4332.3</v>
      </c>
      <c r="C90" s="49">
        <v>7.0420999999999996</v>
      </c>
      <c r="D90" s="35">
        <v>968.34</v>
      </c>
      <c r="E90" s="35">
        <v>967.45</v>
      </c>
      <c r="F90" s="46">
        <v>558.76400000000001</v>
      </c>
      <c r="G90" s="46">
        <f t="shared" si="21"/>
        <v>980.86999308759459</v>
      </c>
      <c r="H90" s="46">
        <f t="shared" si="22"/>
        <v>-12.529993087594562</v>
      </c>
      <c r="I90" s="46">
        <f t="shared" si="14"/>
        <v>-13.419993087594548</v>
      </c>
      <c r="J90" s="46">
        <f t="shared" si="15"/>
        <v>-422.10599308759458</v>
      </c>
      <c r="K90" s="46">
        <f t="shared" si="23"/>
        <v>0.65710707798149526</v>
      </c>
      <c r="L90" s="46">
        <f t="shared" si="24"/>
        <v>-0.78000482260842585</v>
      </c>
      <c r="M90" s="46">
        <f t="shared" si="25"/>
        <v>-6.75</v>
      </c>
      <c r="N90" s="46">
        <f t="shared" si="26"/>
        <v>-7.9499999999999318</v>
      </c>
      <c r="O90" s="46">
        <f t="shared" si="27"/>
        <v>-1.1999999999999318</v>
      </c>
      <c r="P90" s="46">
        <f>IF(COUNT($H$21:H90)&lt;$B$4,"",AVERAGE(INDEX($H$21:H90,COUNT($H$21:H90)-$B$4+1):H90))</f>
        <v>-9.2482751030162742</v>
      </c>
      <c r="Q90" s="46">
        <f>_xlfn.SINGLE(IF(COUNT($H$21:H90)&lt;$B$4,"",_xlfn.STDEV.S(INDEX($H$21:H90,COUNT($H$21:H90)-$B$4+1):H90)))</f>
        <v>12.120536694248791</v>
      </c>
      <c r="R90" s="45">
        <f t="shared" si="16"/>
        <v>-0.27075682103544696</v>
      </c>
      <c r="T90" s="45">
        <f t="shared" si="17"/>
        <v>0.13537841051772348</v>
      </c>
      <c r="U90" s="47">
        <f t="shared" si="18"/>
        <v>676.89205258861739</v>
      </c>
      <c r="V90" s="46"/>
      <c r="W90" s="46"/>
      <c r="X90" s="45">
        <f t="shared" si="19"/>
        <v>0</v>
      </c>
      <c r="Y90" s="47"/>
      <c r="Z90" t="str">
        <f t="shared" si="20"/>
        <v/>
      </c>
    </row>
    <row r="91" spans="1:26">
      <c r="A91" s="36" t="s">
        <v>219</v>
      </c>
      <c r="B91" s="50">
        <v>4373.8999999999996</v>
      </c>
      <c r="C91" s="49">
        <v>7.0438000000000001</v>
      </c>
      <c r="D91" s="35">
        <v>973.11</v>
      </c>
      <c r="E91" s="35">
        <v>973.75</v>
      </c>
      <c r="F91" s="46">
        <v>558.22199999999998</v>
      </c>
      <c r="G91" s="46">
        <f t="shared" si="21"/>
        <v>990.52765187197576</v>
      </c>
      <c r="H91" s="46">
        <f t="shared" si="22"/>
        <v>-17.41765187197575</v>
      </c>
      <c r="I91" s="46">
        <f t="shared" si="14"/>
        <v>-16.777651871975763</v>
      </c>
      <c r="J91" s="46">
        <f t="shared" si="15"/>
        <v>-432.30565187197578</v>
      </c>
      <c r="K91" s="46">
        <f t="shared" si="23"/>
        <v>-9.4185979069878361</v>
      </c>
      <c r="L91" s="46">
        <f t="shared" si="24"/>
        <v>0.23906087739328677</v>
      </c>
      <c r="M91" s="46">
        <f t="shared" si="25"/>
        <v>4.7699999999999818</v>
      </c>
      <c r="N91" s="46">
        <f t="shared" si="26"/>
        <v>6.2999999999999545</v>
      </c>
      <c r="O91" s="46">
        <f t="shared" si="27"/>
        <v>1.5299999999999727</v>
      </c>
      <c r="P91" s="46">
        <f>IF(COUNT($H$21:H91)&lt;$B$4,"",AVERAGE(INDEX($H$21:H91,COUNT($H$21:H91)-$B$4+1):H91))</f>
        <v>-9.1620630690008067</v>
      </c>
      <c r="Q91" s="46">
        <f>_xlfn.SINGLE(IF(COUNT($H$21:H91)&lt;$B$4,"",_xlfn.STDEV.S(INDEX($H$21:H91,COUNT($H$21:H91)-$B$4+1):H91)))</f>
        <v>12.042170493089241</v>
      </c>
      <c r="R91" s="45">
        <f t="shared" si="16"/>
        <v>-0.6855565454510596</v>
      </c>
      <c r="T91" s="45">
        <f t="shared" si="17"/>
        <v>0.3427782727255298</v>
      </c>
      <c r="U91" s="47">
        <f t="shared" si="18"/>
        <v>1713.8913636276491</v>
      </c>
      <c r="V91" s="46"/>
      <c r="W91" s="46"/>
      <c r="X91" s="45">
        <f t="shared" si="19"/>
        <v>0</v>
      </c>
      <c r="Y91" s="47"/>
      <c r="Z91" t="str">
        <f t="shared" si="20"/>
        <v/>
      </c>
    </row>
    <row r="92" spans="1:26">
      <c r="A92" s="36" t="s">
        <v>220</v>
      </c>
      <c r="B92" s="50">
        <v>4364.5</v>
      </c>
      <c r="C92" s="49">
        <v>7.0418000000000003</v>
      </c>
      <c r="D92" s="35">
        <v>974.64</v>
      </c>
      <c r="E92" s="35">
        <v>975.02</v>
      </c>
      <c r="F92" s="46">
        <v>557.447</v>
      </c>
      <c r="G92" s="46">
        <f t="shared" si="21"/>
        <v>988.11825357274915</v>
      </c>
      <c r="H92" s="46">
        <f t="shared" si="22"/>
        <v>-13.478253572749168</v>
      </c>
      <c r="I92" s="46">
        <f t="shared" si="14"/>
        <v>-13.098253572749172</v>
      </c>
      <c r="J92" s="46">
        <f t="shared" si="15"/>
        <v>-430.67125357274915</v>
      </c>
      <c r="K92" s="46">
        <f t="shared" si="23"/>
        <v>2.1287546417604912</v>
      </c>
      <c r="L92" s="46">
        <f t="shared" si="24"/>
        <v>-0.28064365746617065</v>
      </c>
      <c r="M92" s="46">
        <f t="shared" si="25"/>
        <v>1.5299999999999727</v>
      </c>
      <c r="N92" s="46">
        <f t="shared" si="26"/>
        <v>1.2699999999999818</v>
      </c>
      <c r="O92" s="46">
        <f t="shared" si="27"/>
        <v>-0.25999999999999091</v>
      </c>
      <c r="P92" s="46">
        <f>IF(COUNT($H$21:H92)&lt;$B$4,"",AVERAGE(INDEX($H$21:H92,COUNT($H$21:H92)-$B$4+1):H92))</f>
        <v>-9.1014727335080217</v>
      </c>
      <c r="Q92" s="46">
        <f>_xlfn.SINGLE(IF(COUNT($H$21:H92)&lt;$B$4,"",_xlfn.STDEV.S(INDEX($H$21:H92,COUNT($H$21:H92)-$B$4+1):H92)))</f>
        <v>12.01058816661126</v>
      </c>
      <c r="R92" s="45">
        <f t="shared" si="16"/>
        <v>-0.36441020027714743</v>
      </c>
      <c r="T92" s="45">
        <f t="shared" si="17"/>
        <v>0.18220510013857372</v>
      </c>
      <c r="U92" s="47">
        <f t="shared" si="18"/>
        <v>911.0255006928686</v>
      </c>
      <c r="V92" s="46"/>
      <c r="W92" s="46"/>
      <c r="X92" s="45">
        <f t="shared" si="19"/>
        <v>0</v>
      </c>
      <c r="Y92" s="47"/>
      <c r="Z92" t="str">
        <f t="shared" si="20"/>
        <v/>
      </c>
    </row>
    <row r="93" spans="1:26">
      <c r="A93" s="36" t="s">
        <v>221</v>
      </c>
      <c r="B93" s="50">
        <v>4364.5</v>
      </c>
      <c r="C93" s="49">
        <v>7.0411000000000001</v>
      </c>
      <c r="D93" s="35">
        <v>974.08</v>
      </c>
      <c r="E93" s="35">
        <v>974.04</v>
      </c>
      <c r="F93" s="46">
        <v>557.56399999999996</v>
      </c>
      <c r="G93" s="46">
        <f t="shared" si="21"/>
        <v>988.02002829263586</v>
      </c>
      <c r="H93" s="46">
        <f t="shared" si="22"/>
        <v>-13.940028292635816</v>
      </c>
      <c r="I93" s="46">
        <f t="shared" si="14"/>
        <v>-13.980028292635893</v>
      </c>
      <c r="J93" s="46">
        <f t="shared" si="15"/>
        <v>-430.45602829263589</v>
      </c>
      <c r="K93" s="46">
        <f t="shared" si="23"/>
        <v>0</v>
      </c>
      <c r="L93" s="46">
        <f t="shared" si="24"/>
        <v>-9.8225280113190885E-2</v>
      </c>
      <c r="M93" s="46">
        <f t="shared" si="25"/>
        <v>-0.55999999999994543</v>
      </c>
      <c r="N93" s="46">
        <f t="shared" si="26"/>
        <v>-0.98000000000001819</v>
      </c>
      <c r="O93" s="46">
        <f t="shared" si="27"/>
        <v>-0.42000000000007276</v>
      </c>
      <c r="P93" s="46">
        <f>IF(COUNT($H$21:H93)&lt;$B$4,"",AVERAGE(INDEX($H$21:H93,COUNT($H$21:H93)-$B$4+1):H93))</f>
        <v>-9.0944232294329161</v>
      </c>
      <c r="Q93" s="46">
        <f>_xlfn.SINGLE(IF(COUNT($H$21:H93)&lt;$B$4,"",_xlfn.STDEV.S(INDEX($H$21:H93,COUNT($H$21:H93)-$B$4+1):H93)))</f>
        <v>12.007571370438724</v>
      </c>
      <c r="R93" s="45">
        <f t="shared" si="16"/>
        <v>-0.40354580570157833</v>
      </c>
      <c r="T93" s="45">
        <f t="shared" si="17"/>
        <v>0.20177290285078917</v>
      </c>
      <c r="U93" s="47">
        <f t="shared" si="18"/>
        <v>1008.8645142539458</v>
      </c>
      <c r="V93" s="46"/>
      <c r="W93" s="46"/>
      <c r="X93" s="45">
        <f t="shared" si="19"/>
        <v>0</v>
      </c>
      <c r="Y93" s="47"/>
      <c r="Z93" t="str">
        <f t="shared" si="20"/>
        <v/>
      </c>
    </row>
    <row r="94" spans="1:26">
      <c r="A94" s="36" t="s">
        <v>222</v>
      </c>
      <c r="B94" s="50">
        <v>4469.3999999999996</v>
      </c>
      <c r="C94" s="49">
        <v>7.0369999999999999</v>
      </c>
      <c r="D94" s="35">
        <v>985.58</v>
      </c>
      <c r="E94" s="35">
        <v>987.13</v>
      </c>
      <c r="F94" s="46">
        <v>557.39</v>
      </c>
      <c r="G94" s="46">
        <f t="shared" si="21"/>
        <v>1011.1777709904029</v>
      </c>
      <c r="H94" s="46">
        <f t="shared" si="22"/>
        <v>-25.597770990402864</v>
      </c>
      <c r="I94" s="46">
        <f t="shared" si="14"/>
        <v>-24.04777099040291</v>
      </c>
      <c r="J94" s="46">
        <f t="shared" si="15"/>
        <v>-453.78777099040292</v>
      </c>
      <c r="K94" s="46">
        <f t="shared" si="23"/>
        <v>-23.746889899850416</v>
      </c>
      <c r="L94" s="46">
        <f t="shared" si="24"/>
        <v>-0.58914720208339766</v>
      </c>
      <c r="M94" s="46">
        <f t="shared" si="25"/>
        <v>11.5</v>
      </c>
      <c r="N94" s="46">
        <f t="shared" si="26"/>
        <v>13.090000000000032</v>
      </c>
      <c r="O94" s="46">
        <f t="shared" si="27"/>
        <v>1.5900000000000318</v>
      </c>
      <c r="P94" s="46">
        <f>IF(COUNT($H$21:H94)&lt;$B$4,"",AVERAGE(INDEX($H$21:H94,COUNT($H$21:H94)-$B$4+1):H94))</f>
        <v>-9.2868149029316083</v>
      </c>
      <c r="Q94" s="46">
        <f>_xlfn.SINGLE(IF(COUNT($H$21:H94)&lt;$B$4,"",_xlfn.STDEV.S(INDEX($H$21:H94,COUNT($H$21:H94)-$B$4+1):H94)))</f>
        <v>12.179632881783656</v>
      </c>
      <c r="R94" s="45">
        <f t="shared" si="16"/>
        <v>-1.3391993211771243</v>
      </c>
      <c r="T94" s="45">
        <f t="shared" si="17"/>
        <v>0.66959966058856213</v>
      </c>
      <c r="U94" s="47">
        <f t="shared" si="18"/>
        <v>3347.9983029428108</v>
      </c>
      <c r="V94" s="46"/>
      <c r="W94" s="46"/>
      <c r="X94" s="45">
        <f t="shared" si="19"/>
        <v>0</v>
      </c>
      <c r="Y94" s="47"/>
      <c r="Z94" t="str">
        <f t="shared" si="20"/>
        <v/>
      </c>
    </row>
    <row r="95" spans="1:26">
      <c r="A95" s="36" t="s">
        <v>223</v>
      </c>
      <c r="B95" s="50">
        <v>4505.7</v>
      </c>
      <c r="C95" s="49">
        <v>7.0285000000000002</v>
      </c>
      <c r="D95" s="35">
        <v>1005.79</v>
      </c>
      <c r="E95" s="35">
        <v>1009.22</v>
      </c>
      <c r="F95" s="46">
        <v>557.21500000000003</v>
      </c>
      <c r="G95" s="46">
        <f t="shared" si="21"/>
        <v>1018.1591283939107</v>
      </c>
      <c r="H95" s="46">
        <f t="shared" si="22"/>
        <v>-12.369128393910728</v>
      </c>
      <c r="I95" s="46">
        <f t="shared" si="14"/>
        <v>-8.9391283939106643</v>
      </c>
      <c r="J95" s="46">
        <f t="shared" si="15"/>
        <v>-460.94412839391066</v>
      </c>
      <c r="K95" s="46">
        <f t="shared" si="23"/>
        <v>-8.2126802449885474</v>
      </c>
      <c r="L95" s="46">
        <f t="shared" si="24"/>
        <v>-1.231322841480823</v>
      </c>
      <c r="M95" s="46">
        <f t="shared" si="25"/>
        <v>20.209999999999923</v>
      </c>
      <c r="N95" s="46">
        <f t="shared" si="26"/>
        <v>22.090000000000032</v>
      </c>
      <c r="O95" s="46">
        <f t="shared" si="27"/>
        <v>1.8800000000001091</v>
      </c>
      <c r="P95" s="46">
        <f>IF(COUNT($H$21:H95)&lt;$B$4,"",AVERAGE(INDEX($H$21:H95,COUNT($H$21:H95)-$B$4+1):H95))</f>
        <v>-9.2214524330059326</v>
      </c>
      <c r="Q95" s="46">
        <f>_xlfn.SINGLE(IF(COUNT($H$21:H95)&lt;$B$4,"",_xlfn.STDEV.S(INDEX($H$21:H95,COUNT($H$21:H95)-$B$4+1):H95)))</f>
        <v>12.151899769287752</v>
      </c>
      <c r="R95" s="45">
        <f t="shared" si="16"/>
        <v>-0.25902747888524486</v>
      </c>
      <c r="T95" s="45">
        <f t="shared" si="17"/>
        <v>0.12951373944262243</v>
      </c>
      <c r="U95" s="47">
        <f t="shared" si="18"/>
        <v>647.56869721311216</v>
      </c>
      <c r="V95" s="46"/>
      <c r="W95" s="46"/>
      <c r="X95" s="45">
        <f t="shared" si="19"/>
        <v>0</v>
      </c>
      <c r="Y95" s="47"/>
      <c r="Z95" t="str">
        <f t="shared" si="20"/>
        <v/>
      </c>
    </row>
    <row r="96" spans="1:26">
      <c r="A96" s="36" t="s">
        <v>224</v>
      </c>
      <c r="B96" s="50">
        <v>4505.7</v>
      </c>
      <c r="C96" s="49">
        <v>7.0148999999999999</v>
      </c>
      <c r="D96" s="35">
        <v>1009.65</v>
      </c>
      <c r="E96" s="35">
        <v>1010.54</v>
      </c>
      <c r="F96" s="46">
        <v>557.54899999999998</v>
      </c>
      <c r="G96" s="46">
        <f t="shared" si="21"/>
        <v>1016.1890118475412</v>
      </c>
      <c r="H96" s="46">
        <f t="shared" si="22"/>
        <v>-6.5390118475412464</v>
      </c>
      <c r="I96" s="46">
        <f t="shared" si="14"/>
        <v>-5.6490118475412601</v>
      </c>
      <c r="J96" s="46">
        <f t="shared" si="15"/>
        <v>-458.64001184754125</v>
      </c>
      <c r="K96" s="46">
        <f t="shared" si="23"/>
        <v>0</v>
      </c>
      <c r="L96" s="46">
        <f t="shared" si="24"/>
        <v>-1.9701165463694199</v>
      </c>
      <c r="M96" s="46">
        <f t="shared" si="25"/>
        <v>3.8600000000000136</v>
      </c>
      <c r="N96" s="46">
        <f t="shared" si="26"/>
        <v>1.3199999999999363</v>
      </c>
      <c r="O96" s="46">
        <f t="shared" si="27"/>
        <v>-2.5400000000000773</v>
      </c>
      <c r="P96" s="46">
        <f>IF(COUNT($H$21:H96)&lt;$B$4,"",AVERAGE(INDEX($H$21:H96,COUNT($H$21:H96)-$B$4+1):H96))</f>
        <v>-8.9087907416635854</v>
      </c>
      <c r="Q96" s="46">
        <f>_xlfn.SINGLE(IF(COUNT($H$21:H96)&lt;$B$4,"",_xlfn.STDEV.S(INDEX($H$21:H96,COUNT($H$21:H96)-$B$4+1):H96)))</f>
        <v>11.971224780364201</v>
      </c>
      <c r="R96" s="45">
        <f t="shared" si="16"/>
        <v>0.19795626075030923</v>
      </c>
      <c r="T96" s="45">
        <f t="shared" si="17"/>
        <v>9.8978130375154613E-2</v>
      </c>
      <c r="U96" s="47">
        <f t="shared" si="18"/>
        <v>494.89065187577307</v>
      </c>
      <c r="V96" s="46"/>
      <c r="W96" s="46"/>
      <c r="X96" s="45">
        <f t="shared" si="19"/>
        <v>0</v>
      </c>
      <c r="Y96" s="47"/>
      <c r="Z96" t="str">
        <f t="shared" si="20"/>
        <v/>
      </c>
    </row>
    <row r="97" spans="1:26">
      <c r="A97" s="36" t="s">
        <v>225</v>
      </c>
      <c r="B97" s="50">
        <v>4527.5</v>
      </c>
      <c r="C97" s="49">
        <v>7.0058999999999996</v>
      </c>
      <c r="D97" s="35">
        <v>1002.51</v>
      </c>
      <c r="E97" s="35">
        <v>1002.01</v>
      </c>
      <c r="F97" s="46">
        <v>557.39</v>
      </c>
      <c r="G97" s="46">
        <f t="shared" si="21"/>
        <v>1019.7955937434692</v>
      </c>
      <c r="H97" s="46">
        <f t="shared" si="22"/>
        <v>-17.285593743469235</v>
      </c>
      <c r="I97" s="46">
        <f t="shared" si="14"/>
        <v>-17.785593743469235</v>
      </c>
      <c r="J97" s="46">
        <f t="shared" si="15"/>
        <v>-462.40559374346924</v>
      </c>
      <c r="K97" s="46">
        <f t="shared" si="23"/>
        <v>-4.9166434645619068</v>
      </c>
      <c r="L97" s="46">
        <f t="shared" si="24"/>
        <v>-1.3100615686338046</v>
      </c>
      <c r="M97" s="46">
        <f t="shared" si="25"/>
        <v>-7.1399999999999864</v>
      </c>
      <c r="N97" s="46">
        <f t="shared" si="26"/>
        <v>-8.5299999999999727</v>
      </c>
      <c r="O97" s="46">
        <f t="shared" si="27"/>
        <v>-1.3899999999999864</v>
      </c>
      <c r="P97" s="46">
        <f>IF(COUNT($H$21:H97)&lt;$B$4,"",AVERAGE(INDEX($H$21:H97,COUNT($H$21:H97)-$B$4+1):H97))</f>
        <v>-8.8307407178184629</v>
      </c>
      <c r="Q97" s="46">
        <f>_xlfn.SINGLE(IF(COUNT($H$21:H97)&lt;$B$4,"",_xlfn.STDEV.S(INDEX($H$21:H97,COUNT($H$21:H97)-$B$4+1):H97)))</f>
        <v>11.899686628918035</v>
      </c>
      <c r="R97" s="45">
        <f t="shared" si="16"/>
        <v>-0.71051056127009282</v>
      </c>
      <c r="T97" s="45">
        <f t="shared" si="17"/>
        <v>0.35525528063504641</v>
      </c>
      <c r="U97" s="47">
        <f t="shared" si="18"/>
        <v>1776.276403175232</v>
      </c>
      <c r="V97" s="46"/>
      <c r="W97" s="46"/>
      <c r="X97" s="45">
        <f t="shared" si="19"/>
        <v>0</v>
      </c>
      <c r="Y97" s="47"/>
      <c r="Z97" t="str">
        <f t="shared" si="20"/>
        <v/>
      </c>
    </row>
    <row r="98" spans="1:26">
      <c r="A98" s="36" t="s">
        <v>226</v>
      </c>
      <c r="B98" s="50">
        <v>4527.5</v>
      </c>
      <c r="C98" s="49">
        <v>7.0067000000000004</v>
      </c>
      <c r="D98" s="35">
        <v>1010.58</v>
      </c>
      <c r="E98" s="35">
        <v>1010.2</v>
      </c>
      <c r="F98" s="46">
        <v>557.21500000000003</v>
      </c>
      <c r="G98" s="46">
        <f t="shared" si="21"/>
        <v>1019.9120436606812</v>
      </c>
      <c r="H98" s="46">
        <f t="shared" si="22"/>
        <v>-9.3320436606811654</v>
      </c>
      <c r="I98" s="46">
        <f t="shared" si="14"/>
        <v>-9.7120436606811609</v>
      </c>
      <c r="J98" s="46">
        <f t="shared" si="15"/>
        <v>-462.69704366068117</v>
      </c>
      <c r="K98" s="46">
        <f t="shared" si="23"/>
        <v>0</v>
      </c>
      <c r="L98" s="46">
        <f t="shared" si="24"/>
        <v>0.11644991721200579</v>
      </c>
      <c r="M98" s="46">
        <f t="shared" si="25"/>
        <v>8.07000000000005</v>
      </c>
      <c r="N98" s="46">
        <f t="shared" si="26"/>
        <v>8.1900000000000546</v>
      </c>
      <c r="O98" s="46">
        <f t="shared" si="27"/>
        <v>0.12000000000000455</v>
      </c>
      <c r="P98" s="46">
        <f>IF(COUNT($H$21:H98)&lt;$B$4,"",AVERAGE(INDEX($H$21:H98,COUNT($H$21:H98)-$B$4+1):H98))</f>
        <v>-8.8616943296842212</v>
      </c>
      <c r="Q98" s="46">
        <f>_xlfn.SINGLE(IF(COUNT($H$21:H98)&lt;$B$4,"",_xlfn.STDEV.S(INDEX($H$21:H98,COUNT($H$21:H98)-$B$4+1):H98)))</f>
        <v>11.898515279153475</v>
      </c>
      <c r="R98" s="45">
        <f t="shared" si="16"/>
        <v>-3.9530085894078658E-2</v>
      </c>
      <c r="T98" s="45">
        <f t="shared" si="17"/>
        <v>1.9765042947039329E-2</v>
      </c>
      <c r="U98" s="47">
        <f t="shared" si="18"/>
        <v>98.825214735196639</v>
      </c>
      <c r="V98" s="46"/>
      <c r="W98" s="46"/>
      <c r="X98" s="45">
        <f t="shared" si="19"/>
        <v>0</v>
      </c>
      <c r="Y98" s="47"/>
      <c r="Z98" t="str">
        <f t="shared" si="20"/>
        <v/>
      </c>
    </row>
    <row r="99" spans="1:26">
      <c r="A99" s="36" t="s">
        <v>227</v>
      </c>
      <c r="B99" s="50">
        <v>4327</v>
      </c>
      <c r="C99" s="49">
        <v>7.0060000000000002</v>
      </c>
      <c r="D99" s="35">
        <v>1009.23</v>
      </c>
      <c r="E99" s="35">
        <v>1008.5</v>
      </c>
      <c r="F99" s="46">
        <v>557.31700000000001</v>
      </c>
      <c r="G99" s="46">
        <f t="shared" si="21"/>
        <v>974.64793351230571</v>
      </c>
      <c r="H99" s="46">
        <f t="shared" si="22"/>
        <v>34.582066487694306</v>
      </c>
      <c r="I99" s="46">
        <f t="shared" si="14"/>
        <v>33.852066487694287</v>
      </c>
      <c r="J99" s="46">
        <f t="shared" si="15"/>
        <v>-417.33093351230571</v>
      </c>
      <c r="K99" s="46">
        <f t="shared" si="23"/>
        <v>45.166728824730335</v>
      </c>
      <c r="L99" s="46">
        <f t="shared" si="24"/>
        <v>-9.7381323645269094E-2</v>
      </c>
      <c r="M99" s="46">
        <f t="shared" si="25"/>
        <v>-1.3500000000000227</v>
      </c>
      <c r="N99" s="46">
        <f t="shared" si="26"/>
        <v>-1.7000000000000455</v>
      </c>
      <c r="O99" s="46">
        <f t="shared" si="27"/>
        <v>-0.35000000000002274</v>
      </c>
      <c r="P99" s="46">
        <f>IF(COUNT($H$21:H99)&lt;$B$4,"",AVERAGE(INDEX($H$21:H99,COUNT($H$21:H99)-$B$4+1):H99))</f>
        <v>-8.09763048906607</v>
      </c>
      <c r="Q99" s="46">
        <f>_xlfn.SINGLE(IF(COUNT($H$21:H99)&lt;$B$4,"",_xlfn.STDEV.S(INDEX($H$21:H99,COUNT($H$21:H99)-$B$4+1):H99)))</f>
        <v>13.148098845410491</v>
      </c>
      <c r="R99" s="45">
        <f t="shared" si="16"/>
        <v>3.2460736322847361</v>
      </c>
      <c r="T99" s="45">
        <f t="shared" si="17"/>
        <v>1.6230368161423681</v>
      </c>
      <c r="U99" s="47">
        <f t="shared" si="18"/>
        <v>8115.1840807118406</v>
      </c>
      <c r="V99" s="46"/>
      <c r="W99" s="46"/>
      <c r="X99" s="45">
        <f t="shared" si="19"/>
        <v>0</v>
      </c>
      <c r="Y99" s="47"/>
      <c r="Z99" t="str">
        <f t="shared" si="20"/>
        <v>NO_GO</v>
      </c>
    </row>
    <row r="100" spans="1:26">
      <c r="A100" s="36" t="s">
        <v>228</v>
      </c>
      <c r="B100" s="50">
        <v>4386.3</v>
      </c>
      <c r="C100" s="49">
        <v>6.9964000000000004</v>
      </c>
      <c r="D100" s="35">
        <v>982.18</v>
      </c>
      <c r="E100" s="35">
        <v>980.74</v>
      </c>
      <c r="F100" s="46">
        <v>557.14200000000005</v>
      </c>
      <c r="G100" s="46">
        <f t="shared" si="21"/>
        <v>986.65131962640874</v>
      </c>
      <c r="H100" s="46">
        <f t="shared" si="22"/>
        <v>-4.4713196264087856</v>
      </c>
      <c r="I100" s="46">
        <f t="shared" si="14"/>
        <v>-5.9113196264087264</v>
      </c>
      <c r="J100" s="46">
        <f t="shared" si="15"/>
        <v>-429.50931962640868</v>
      </c>
      <c r="K100" s="46">
        <f t="shared" si="23"/>
        <v>-13.357204173163833</v>
      </c>
      <c r="L100" s="46">
        <f t="shared" si="24"/>
        <v>-1.3538180590608535</v>
      </c>
      <c r="M100" s="46">
        <f t="shared" si="25"/>
        <v>-27.050000000000068</v>
      </c>
      <c r="N100" s="46">
        <f t="shared" si="26"/>
        <v>-27.759999999999991</v>
      </c>
      <c r="O100" s="46">
        <f t="shared" si="27"/>
        <v>-0.70999999999992269</v>
      </c>
      <c r="P100" s="46">
        <f>IF(COUNT($H$21:H100)&lt;$B$4,"",AVERAGE(INDEX($H$21:H100,COUNT($H$21:H100)-$B$4+1):H100))</f>
        <v>-8.0070385674709676</v>
      </c>
      <c r="Q100" s="46">
        <f>_xlfn.SINGLE(IF(COUNT($H$21:H100)&lt;$B$4,"",_xlfn.STDEV.S(INDEX($H$21:H100,COUNT($H$21:H100)-$B$4+1):H100)))</f>
        <v>13.154146209587406</v>
      </c>
      <c r="R100" s="45">
        <f t="shared" si="16"/>
        <v>0.26879121493154545</v>
      </c>
      <c r="T100" s="45">
        <f t="shared" si="17"/>
        <v>0.13439560746577273</v>
      </c>
      <c r="U100" s="47">
        <f t="shared" si="18"/>
        <v>671.97803732886359</v>
      </c>
      <c r="V100" s="46"/>
      <c r="W100" s="46"/>
      <c r="X100" s="45">
        <f t="shared" si="19"/>
        <v>0</v>
      </c>
      <c r="Y100" s="47"/>
      <c r="Z100" t="str">
        <f t="shared" si="20"/>
        <v/>
      </c>
    </row>
    <row r="101" spans="1:26">
      <c r="A101" s="36" t="s">
        <v>229</v>
      </c>
      <c r="B101" s="50">
        <v>4386.3</v>
      </c>
      <c r="C101" s="49">
        <v>6.9936999999999996</v>
      </c>
      <c r="D101" s="35">
        <v>974.38</v>
      </c>
      <c r="E101" s="35">
        <v>973.29</v>
      </c>
      <c r="F101" s="46">
        <v>557.21500000000003</v>
      </c>
      <c r="G101" s="46">
        <f t="shared" si="21"/>
        <v>986.27055829729773</v>
      </c>
      <c r="H101" s="46">
        <f t="shared" si="22"/>
        <v>-11.89055829729773</v>
      </c>
      <c r="I101" s="46">
        <f t="shared" si="14"/>
        <v>-12.980558297297762</v>
      </c>
      <c r="J101" s="46">
        <f t="shared" si="15"/>
        <v>-429.05555829729769</v>
      </c>
      <c r="K101" s="46">
        <f t="shared" si="23"/>
        <v>0</v>
      </c>
      <c r="L101" s="46">
        <f t="shared" si="24"/>
        <v>-0.38076132911098642</v>
      </c>
      <c r="M101" s="46">
        <f t="shared" si="25"/>
        <v>-7.7999999999999545</v>
      </c>
      <c r="N101" s="46">
        <f t="shared" si="26"/>
        <v>-7.4500000000000455</v>
      </c>
      <c r="O101" s="46">
        <f t="shared" si="27"/>
        <v>0.34999999999990905</v>
      </c>
      <c r="P101" s="46">
        <f>IF(COUNT($H$21:H101)&lt;$B$4,"",AVERAGE(INDEX($H$21:H101,COUNT($H$21:H101)-$B$4+1):H101))</f>
        <v>-7.7826481692842702</v>
      </c>
      <c r="Q101" s="46">
        <f>_xlfn.SINGLE(IF(COUNT($H$21:H101)&lt;$B$4,"",_xlfn.STDEV.S(INDEX($H$21:H101,COUNT($H$21:H101)-$B$4+1):H101)))</f>
        <v>12.966715144803342</v>
      </c>
      <c r="R101" s="45">
        <f t="shared" si="16"/>
        <v>-0.31680422390244173</v>
      </c>
      <c r="T101" s="45">
        <f t="shared" si="17"/>
        <v>0.15840211195122086</v>
      </c>
      <c r="U101" s="47">
        <f t="shared" si="18"/>
        <v>792.01055975610427</v>
      </c>
      <c r="V101" s="46"/>
      <c r="W101" s="46"/>
      <c r="X101" s="45">
        <f t="shared" si="19"/>
        <v>0</v>
      </c>
      <c r="Y101" s="47"/>
      <c r="Z101" t="str">
        <f t="shared" si="20"/>
        <v/>
      </c>
    </row>
    <row r="102" spans="1:26">
      <c r="A102" s="36" t="s">
        <v>97</v>
      </c>
      <c r="B102" s="50">
        <v>4451.5</v>
      </c>
      <c r="C102" s="49">
        <v>6.9886999999999997</v>
      </c>
      <c r="D102" s="35">
        <v>989.68</v>
      </c>
      <c r="E102" s="35">
        <v>990.83</v>
      </c>
      <c r="F102" s="46">
        <v>557.31700000000001</v>
      </c>
      <c r="G102" s="46">
        <f t="shared" si="21"/>
        <v>1000.2153471474271</v>
      </c>
      <c r="H102" s="46">
        <f t="shared" si="22"/>
        <v>-10.53534714742716</v>
      </c>
      <c r="I102" s="46">
        <f t="shared" si="14"/>
        <v>-9.3853471474270691</v>
      </c>
      <c r="J102" s="46">
        <f t="shared" si="15"/>
        <v>-442.8983471474271</v>
      </c>
      <c r="K102" s="46">
        <f t="shared" si="23"/>
        <v>-14.660383558120426</v>
      </c>
      <c r="L102" s="46">
        <f t="shared" si="24"/>
        <v>-0.71559470799104685</v>
      </c>
      <c r="M102" s="46">
        <f t="shared" si="25"/>
        <v>15.299999999999955</v>
      </c>
      <c r="N102" s="46">
        <f t="shared" si="26"/>
        <v>17.540000000000077</v>
      </c>
      <c r="O102" s="46">
        <f t="shared" si="27"/>
        <v>2.2400000000001228</v>
      </c>
      <c r="P102" s="46">
        <f>IF(COUNT($H$21:H102)&lt;$B$4,"",AVERAGE(INDEX($H$21:H102,COUNT($H$21:H102)-$B$4+1):H102))</f>
        <v>-7.6786275874633612</v>
      </c>
      <c r="Q102" s="46">
        <f>_xlfn.SINGLE(IF(COUNT($H$21:H102)&lt;$B$4,"",_xlfn.STDEV.S(INDEX($H$21:H102,COUNT($H$21:H102)-$B$4+1):H102)))</f>
        <v>12.918285349010249</v>
      </c>
      <c r="R102" s="45">
        <f t="shared" si="16"/>
        <v>-0.22113767290197456</v>
      </c>
      <c r="T102" s="45">
        <f t="shared" si="17"/>
        <v>0.11056883645098728</v>
      </c>
      <c r="U102" s="47">
        <f t="shared" si="18"/>
        <v>552.84418225493641</v>
      </c>
      <c r="V102" s="46"/>
      <c r="W102" s="46"/>
      <c r="X102" s="45">
        <f t="shared" si="19"/>
        <v>0</v>
      </c>
      <c r="Y102" s="47"/>
      <c r="Z102" t="str">
        <f t="shared" si="20"/>
        <v/>
      </c>
    </row>
    <row r="103" spans="1:26">
      <c r="A103" s="36" t="s">
        <v>98</v>
      </c>
      <c r="B103" s="50">
        <v>4496.1000000000004</v>
      </c>
      <c r="C103" s="49">
        <v>6.9836999999999998</v>
      </c>
      <c r="D103" s="35">
        <v>1000.04</v>
      </c>
      <c r="E103" s="35">
        <v>1001.92</v>
      </c>
      <c r="F103" s="46">
        <v>557.14200000000005</v>
      </c>
      <c r="G103" s="46">
        <f t="shared" si="21"/>
        <v>1009.5138350989439</v>
      </c>
      <c r="H103" s="46">
        <f t="shared" si="22"/>
        <v>-9.4738350989439368</v>
      </c>
      <c r="I103" s="46">
        <f t="shared" si="14"/>
        <v>-7.5938350989439414</v>
      </c>
      <c r="J103" s="46">
        <f t="shared" si="15"/>
        <v>-452.37183509894385</v>
      </c>
      <c r="K103" s="46">
        <f t="shared" si="23"/>
        <v>-10.021252270644863</v>
      </c>
      <c r="L103" s="46">
        <f t="shared" si="24"/>
        <v>-0.72276431912805694</v>
      </c>
      <c r="M103" s="46">
        <f t="shared" si="25"/>
        <v>10.360000000000014</v>
      </c>
      <c r="N103" s="46">
        <f t="shared" si="26"/>
        <v>11.089999999999918</v>
      </c>
      <c r="O103" s="46">
        <f t="shared" si="27"/>
        <v>0.7299999999999045</v>
      </c>
      <c r="P103" s="46">
        <f>IF(COUNT($H$21:H103)&lt;$B$4,"",AVERAGE(INDEX($H$21:H103,COUNT($H$21:H103)-$B$4+1):H103))</f>
        <v>-7.8367582426415066</v>
      </c>
      <c r="Q103" s="46">
        <f>_xlfn.SINGLE(IF(COUNT($H$21:H103)&lt;$B$4,"",_xlfn.STDEV.S(INDEX($H$21:H103,COUNT($H$21:H103)-$B$4+1):H103)))</f>
        <v>12.880539488197167</v>
      </c>
      <c r="R103" s="45">
        <f t="shared" si="16"/>
        <v>-0.12709691684906008</v>
      </c>
      <c r="T103" s="45">
        <f t="shared" si="17"/>
        <v>6.3548458424530038E-2</v>
      </c>
      <c r="U103" s="47">
        <f t="shared" si="18"/>
        <v>317.74229212265021</v>
      </c>
      <c r="V103" s="46"/>
      <c r="W103" s="46"/>
      <c r="X103" s="45">
        <f t="shared" si="19"/>
        <v>0</v>
      </c>
      <c r="Y103" s="47"/>
      <c r="Z103" t="str">
        <f t="shared" si="20"/>
        <v/>
      </c>
    </row>
    <row r="104" spans="1:26">
      <c r="A104" s="36" t="s">
        <v>99</v>
      </c>
      <c r="B104" s="50">
        <v>4462.5</v>
      </c>
      <c r="C104" s="49">
        <v>6.9972000000000003</v>
      </c>
      <c r="D104" s="35">
        <v>1001.05</v>
      </c>
      <c r="E104" s="35">
        <v>1002.02</v>
      </c>
      <c r="F104" s="46">
        <v>556.96699999999998</v>
      </c>
      <c r="G104" s="46">
        <f t="shared" si="21"/>
        <v>1003.906473547993</v>
      </c>
      <c r="H104" s="46">
        <f t="shared" si="22"/>
        <v>-2.856473547993005</v>
      </c>
      <c r="I104" s="46">
        <f t="shared" si="14"/>
        <v>-1.8864735479929777</v>
      </c>
      <c r="J104" s="46">
        <f t="shared" si="15"/>
        <v>-446.93947354799297</v>
      </c>
      <c r="K104" s="46">
        <f t="shared" si="23"/>
        <v>7.5442416448310485</v>
      </c>
      <c r="L104" s="46">
        <f t="shared" si="24"/>
        <v>1.9368800938801833</v>
      </c>
      <c r="M104" s="46">
        <f t="shared" si="25"/>
        <v>1.0099999999999909</v>
      </c>
      <c r="N104" s="46">
        <f t="shared" si="26"/>
        <v>0.10000000000002274</v>
      </c>
      <c r="O104" s="46">
        <f t="shared" si="27"/>
        <v>-0.90999999999996817</v>
      </c>
      <c r="P104" s="46">
        <f>IF(COUNT($H$21:H104)&lt;$B$4,"",AVERAGE(INDEX($H$21:H104,COUNT($H$21:H104)-$B$4+1):H104))</f>
        <v>-7.7417910497746805</v>
      </c>
      <c r="Q104" s="46">
        <f>_xlfn.SINGLE(IF(COUNT($H$21:H104)&lt;$B$4,"",_xlfn.STDEV.S(INDEX($H$21:H104,COUNT($H$21:H104)-$B$4+1):H104)))</f>
        <v>12.896154006833379</v>
      </c>
      <c r="R104" s="45">
        <f t="shared" si="16"/>
        <v>0.37881972401950664</v>
      </c>
      <c r="T104" s="45">
        <f t="shared" si="17"/>
        <v>0.18940986200975332</v>
      </c>
      <c r="U104" s="47">
        <f t="shared" si="18"/>
        <v>947.04931004876664</v>
      </c>
      <c r="V104" s="46"/>
      <c r="W104" s="46"/>
      <c r="X104" s="45">
        <f t="shared" si="19"/>
        <v>0</v>
      </c>
      <c r="Y104" s="47"/>
      <c r="Z104" t="str">
        <f t="shared" si="20"/>
        <v/>
      </c>
    </row>
    <row r="105" spans="1:26">
      <c r="A105" s="36" t="s">
        <v>100</v>
      </c>
      <c r="B105" s="50">
        <v>4460.7</v>
      </c>
      <c r="C105" s="49">
        <v>6.984</v>
      </c>
      <c r="D105" s="35">
        <v>996.19</v>
      </c>
      <c r="E105" s="35">
        <v>996.57</v>
      </c>
      <c r="F105" s="46">
        <v>557.08399999999995</v>
      </c>
      <c r="G105" s="46">
        <f t="shared" si="21"/>
        <v>1001.6084620701851</v>
      </c>
      <c r="H105" s="46">
        <f t="shared" si="22"/>
        <v>-5.4184620701850008</v>
      </c>
      <c r="I105" s="46">
        <f t="shared" si="14"/>
        <v>-5.0384620701850054</v>
      </c>
      <c r="J105" s="46">
        <f t="shared" si="15"/>
        <v>-444.52446207018511</v>
      </c>
      <c r="K105" s="46">
        <f t="shared" si="23"/>
        <v>0.40493706496057591</v>
      </c>
      <c r="L105" s="46">
        <f t="shared" si="24"/>
        <v>-1.8930744128474748</v>
      </c>
      <c r="M105" s="46">
        <f t="shared" si="25"/>
        <v>-4.8599999999999</v>
      </c>
      <c r="N105" s="46">
        <f t="shared" si="26"/>
        <v>-5.4499999999999318</v>
      </c>
      <c r="O105" s="46">
        <f t="shared" si="27"/>
        <v>-0.59000000000003183</v>
      </c>
      <c r="P105" s="46">
        <f>IF(COUNT($H$21:H105)&lt;$B$4,"",AVERAGE(INDEX($H$21:H105,COUNT($H$21:H105)-$B$4+1):H105))</f>
        <v>-7.3228343728733671</v>
      </c>
      <c r="Q105" s="46">
        <f>_xlfn.SINGLE(IF(COUNT($H$21:H105)&lt;$B$4,"",_xlfn.STDEV.S(INDEX($H$21:H105,COUNT($H$21:H105)-$B$4+1):H105)))</f>
        <v>12.545997412293001</v>
      </c>
      <c r="R105" s="45">
        <f t="shared" si="16"/>
        <v>0.15179122393428812</v>
      </c>
      <c r="T105" s="45">
        <f t="shared" si="17"/>
        <v>7.5895611967144061E-2</v>
      </c>
      <c r="U105" s="47">
        <f t="shared" si="18"/>
        <v>379.47805983572033</v>
      </c>
      <c r="V105" s="46"/>
      <c r="W105" s="46"/>
      <c r="X105" s="45">
        <f t="shared" si="19"/>
        <v>0</v>
      </c>
      <c r="Y105" s="47"/>
      <c r="Z105" t="str">
        <f t="shared" si="20"/>
        <v/>
      </c>
    </row>
    <row r="106" spans="1:26">
      <c r="A106" s="36" t="s">
        <v>101</v>
      </c>
      <c r="B106" s="50">
        <v>4500.8999999999996</v>
      </c>
      <c r="C106" s="49">
        <v>6.9774000000000003</v>
      </c>
      <c r="D106" s="35">
        <v>1000</v>
      </c>
      <c r="E106" s="35">
        <v>1002.51</v>
      </c>
      <c r="F106" s="46">
        <v>557.60299999999995</v>
      </c>
      <c r="G106" s="46">
        <f t="shared" si="21"/>
        <v>1009.6799286253959</v>
      </c>
      <c r="H106" s="46">
        <f t="shared" si="22"/>
        <v>-9.6799286253958599</v>
      </c>
      <c r="I106" s="46">
        <f t="shared" si="14"/>
        <v>-7.1699286253958689</v>
      </c>
      <c r="J106" s="46">
        <f t="shared" si="15"/>
        <v>-452.07692862539591</v>
      </c>
      <c r="K106" s="46">
        <f t="shared" si="23"/>
        <v>-9.026533991351414</v>
      </c>
      <c r="L106" s="46">
        <f t="shared" si="24"/>
        <v>-0.9550674361405862</v>
      </c>
      <c r="M106" s="46">
        <f t="shared" si="25"/>
        <v>3.8099999999999454</v>
      </c>
      <c r="N106" s="46">
        <f t="shared" si="26"/>
        <v>5.9399999999999409</v>
      </c>
      <c r="O106" s="46">
        <f t="shared" si="27"/>
        <v>2.1299999999999955</v>
      </c>
      <c r="P106" s="46">
        <f>IF(COUNT($H$21:H106)&lt;$B$4,"",AVERAGE(INDEX($H$21:H106,COUNT($H$21:H106)-$B$4+1):H106))</f>
        <v>-7.2549955632002874</v>
      </c>
      <c r="Q106" s="46">
        <f>_xlfn.SINGLE(IF(COUNT($H$21:H106)&lt;$B$4,"",_xlfn.STDEV.S(INDEX($H$21:H106,COUNT($H$21:H106)-$B$4+1):H106)))</f>
        <v>12.521634847425194</v>
      </c>
      <c r="R106" s="45">
        <f t="shared" si="16"/>
        <v>-0.19365946154341085</v>
      </c>
      <c r="T106" s="45">
        <f t="shared" si="17"/>
        <v>9.6829730771705425E-2</v>
      </c>
      <c r="U106" s="47">
        <f t="shared" si="18"/>
        <v>484.1486538585271</v>
      </c>
      <c r="V106" s="46"/>
      <c r="W106" s="46"/>
      <c r="X106" s="45">
        <f t="shared" si="19"/>
        <v>0</v>
      </c>
      <c r="Y106" s="47"/>
      <c r="Z106" t="str">
        <f t="shared" si="20"/>
        <v/>
      </c>
    </row>
    <row r="107" spans="1:26">
      <c r="A107" s="36" t="s">
        <v>102</v>
      </c>
      <c r="B107" s="50">
        <v>4614.7</v>
      </c>
      <c r="C107" s="49">
        <v>6.9732000000000003</v>
      </c>
      <c r="D107" s="35">
        <v>1019</v>
      </c>
      <c r="E107" s="35">
        <v>1022.57</v>
      </c>
      <c r="F107" s="46">
        <v>557.428</v>
      </c>
      <c r="G107" s="46">
        <f t="shared" si="21"/>
        <v>1034.5853694921793</v>
      </c>
      <c r="H107" s="46">
        <f t="shared" si="22"/>
        <v>-15.585369492179325</v>
      </c>
      <c r="I107" s="46">
        <f t="shared" si="14"/>
        <v>-12.015369492179275</v>
      </c>
      <c r="J107" s="46">
        <f t="shared" si="15"/>
        <v>-477.15736949217933</v>
      </c>
      <c r="K107" s="46">
        <f t="shared" si="23"/>
        <v>-25.528577812786381</v>
      </c>
      <c r="L107" s="46">
        <f t="shared" si="24"/>
        <v>-0.62313694600285863</v>
      </c>
      <c r="M107" s="46">
        <f t="shared" si="25"/>
        <v>19</v>
      </c>
      <c r="N107" s="46">
        <f t="shared" si="26"/>
        <v>20.060000000000059</v>
      </c>
      <c r="O107" s="46">
        <f t="shared" si="27"/>
        <v>1.0600000000000591</v>
      </c>
      <c r="P107" s="46">
        <f>IF(COUNT($H$21:H107)&lt;$B$4,"",AVERAGE(INDEX($H$21:H107,COUNT($H$21:H107)-$B$4+1):H107))</f>
        <v>-7.3079761334469371</v>
      </c>
      <c r="Q107" s="46">
        <f>_xlfn.SINGLE(IF(COUNT($H$21:H107)&lt;$B$4,"",_xlfn.STDEV.S(INDEX($H$21:H107,COUNT($H$21:H107)-$B$4+1):H107)))</f>
        <v>12.550492844535412</v>
      </c>
      <c r="R107" s="45">
        <f t="shared" si="16"/>
        <v>-0.65952735571945553</v>
      </c>
      <c r="T107" s="45">
        <f t="shared" si="17"/>
        <v>0.32976367785972777</v>
      </c>
      <c r="U107" s="47">
        <f t="shared" si="18"/>
        <v>1648.8183892986387</v>
      </c>
      <c r="V107" s="46"/>
      <c r="W107" s="46"/>
      <c r="X107" s="45">
        <f t="shared" si="19"/>
        <v>0</v>
      </c>
      <c r="Y107" s="47"/>
      <c r="Z107" t="str">
        <f t="shared" si="20"/>
        <v/>
      </c>
    </row>
    <row r="108" spans="1:26">
      <c r="A108" s="36" t="s">
        <v>103</v>
      </c>
      <c r="B108" s="50">
        <v>4599.1000000000004</v>
      </c>
      <c r="C108" s="49">
        <v>6.9779999999999998</v>
      </c>
      <c r="D108" s="35">
        <v>1025.8399999999999</v>
      </c>
      <c r="E108" s="35">
        <v>1025.8399999999999</v>
      </c>
      <c r="F108" s="46">
        <v>557.53</v>
      </c>
      <c r="G108" s="46">
        <f t="shared" si="21"/>
        <v>1031.797701223335</v>
      </c>
      <c r="H108" s="46">
        <f t="shared" si="22"/>
        <v>-5.957701223335107</v>
      </c>
      <c r="I108" s="46">
        <f t="shared" si="14"/>
        <v>-5.957701223335107</v>
      </c>
      <c r="J108" s="46">
        <f t="shared" si="15"/>
        <v>-474.26770122333505</v>
      </c>
      <c r="K108" s="46">
        <f t="shared" si="23"/>
        <v>3.4974173324544244</v>
      </c>
      <c r="L108" s="46">
        <f t="shared" si="24"/>
        <v>0.70974906361012646</v>
      </c>
      <c r="M108" s="46">
        <f t="shared" si="25"/>
        <v>6.8399999999999181</v>
      </c>
      <c r="N108" s="46">
        <f t="shared" si="26"/>
        <v>3.2699999999998681</v>
      </c>
      <c r="O108" s="46">
        <f t="shared" si="27"/>
        <v>-3.57000000000005</v>
      </c>
      <c r="P108" s="46">
        <f>IF(COUNT($H$21:H108)&lt;$B$4,"",AVERAGE(INDEX($H$21:H108,COUNT($H$21:H108)-$B$4+1):H108))</f>
        <v>-7.0227193670594472</v>
      </c>
      <c r="Q108" s="46">
        <f>_xlfn.SINGLE(IF(COUNT($H$21:H108)&lt;$B$4,"",_xlfn.STDEV.S(INDEX($H$21:H108,COUNT($H$21:H108)-$B$4+1):H108)))</f>
        <v>12.379438233069656</v>
      </c>
      <c r="R108" s="45">
        <f t="shared" si="16"/>
        <v>8.603121754582671E-2</v>
      </c>
      <c r="T108" s="45">
        <f t="shared" si="17"/>
        <v>4.3015608772913355E-2</v>
      </c>
      <c r="U108" s="47">
        <f t="shared" si="18"/>
        <v>215.07804386456678</v>
      </c>
      <c r="V108" s="46"/>
      <c r="W108" s="46"/>
      <c r="X108" s="45">
        <f t="shared" si="19"/>
        <v>0</v>
      </c>
      <c r="Y108" s="47"/>
      <c r="Z108" t="str">
        <f t="shared" si="20"/>
        <v/>
      </c>
    </row>
    <row r="109" spans="1:26">
      <c r="A109" s="36" t="s">
        <v>104</v>
      </c>
      <c r="B109" s="50">
        <v>4635.7</v>
      </c>
      <c r="C109" s="49">
        <v>6.9736000000000002</v>
      </c>
      <c r="D109" s="35">
        <v>1033.49</v>
      </c>
      <c r="E109" s="35">
        <v>1035.3900000000001</v>
      </c>
      <c r="F109" s="46">
        <v>557.37</v>
      </c>
      <c r="G109" s="46">
        <f t="shared" si="21"/>
        <v>1039.3530477277477</v>
      </c>
      <c r="H109" s="46">
        <f t="shared" si="22"/>
        <v>-5.8630477277476984</v>
      </c>
      <c r="I109" s="46">
        <f t="shared" si="14"/>
        <v>-3.9630477277476075</v>
      </c>
      <c r="J109" s="46">
        <f t="shared" si="15"/>
        <v>-481.9830477277477</v>
      </c>
      <c r="K109" s="46">
        <f t="shared" si="23"/>
        <v>-8.2111273650874086</v>
      </c>
      <c r="L109" s="46">
        <f t="shared" si="24"/>
        <v>-0.65578086067477137</v>
      </c>
      <c r="M109" s="46">
        <f t="shared" si="25"/>
        <v>7.6500000000000909</v>
      </c>
      <c r="N109" s="46">
        <f t="shared" si="26"/>
        <v>9.5500000000001819</v>
      </c>
      <c r="O109" s="46">
        <f t="shared" si="27"/>
        <v>1.9000000000000909</v>
      </c>
      <c r="P109" s="46">
        <f>IF(COUNT($H$21:H109)&lt;$B$4,"",AVERAGE(INDEX($H$21:H109,COUNT($H$21:H109)-$B$4+1):H109))</f>
        <v>-7.1585679157222426</v>
      </c>
      <c r="Q109" s="46">
        <f>_xlfn.SINGLE(IF(COUNT($H$21:H109)&lt;$B$4,"",_xlfn.STDEV.S(INDEX($H$21:H109,COUNT($H$21:H109)-$B$4+1):H109)))</f>
        <v>12.320115514265339</v>
      </c>
      <c r="R109" s="45">
        <f t="shared" si="16"/>
        <v>0.10515487346482054</v>
      </c>
      <c r="T109" s="45">
        <f t="shared" si="17"/>
        <v>5.257743673241027E-2</v>
      </c>
      <c r="U109" s="47">
        <f t="shared" si="18"/>
        <v>262.88718366205137</v>
      </c>
      <c r="V109" s="46"/>
      <c r="W109" s="46"/>
      <c r="X109" s="45">
        <f t="shared" si="19"/>
        <v>0</v>
      </c>
      <c r="Y109" s="47"/>
      <c r="Z109" t="str">
        <f t="shared" si="20"/>
        <v/>
      </c>
    </row>
    <row r="110" spans="1:26">
      <c r="A110" s="36" t="s">
        <v>105</v>
      </c>
      <c r="B110" s="50">
        <v>4623.7</v>
      </c>
      <c r="C110" s="49">
        <v>6.9664000000000001</v>
      </c>
      <c r="D110" s="35">
        <v>1030.92</v>
      </c>
      <c r="E110" s="35">
        <v>1031.07</v>
      </c>
      <c r="F110" s="32">
        <v>557.19600000000003</v>
      </c>
      <c r="G110" s="32">
        <f t="shared" si="21"/>
        <v>1035.5922542479141</v>
      </c>
      <c r="H110" s="32">
        <f t="shared" si="22"/>
        <v>-4.6722542479139975</v>
      </c>
      <c r="I110" s="32">
        <f t="shared" si="14"/>
        <v>-4.5222542479141339</v>
      </c>
      <c r="J110" s="32">
        <f t="shared" si="15"/>
        <v>-478.39625424791404</v>
      </c>
      <c r="K110" s="32">
        <f t="shared" si="23"/>
        <v>2.690475348433456</v>
      </c>
      <c r="L110" s="32">
        <f t="shared" si="24"/>
        <v>-1.0703181314000172</v>
      </c>
      <c r="M110" s="32">
        <f t="shared" si="25"/>
        <v>-2.5699999999999363</v>
      </c>
      <c r="N110" s="46">
        <f t="shared" si="26"/>
        <v>-4.3200000000001637</v>
      </c>
      <c r="O110" s="46">
        <f t="shared" si="27"/>
        <v>-1.7500000000002274</v>
      </c>
      <c r="P110" s="32">
        <f>IF(COUNT($H$21:H110)&lt;$B$4,"",AVERAGE(INDEX($H$21:H110,COUNT($H$21:H110)-$B$4+1):H110))</f>
        <v>-6.8289724977360553</v>
      </c>
      <c r="Q110" s="46">
        <f>_xlfn.SINGLE(IF(COUNT($H$21:H110)&lt;$B$4,"",_xlfn.STDEV.S(INDEX($H$21:H110,COUNT($H$21:H110)-$B$4+1):H110)))</f>
        <v>12.112515974791767</v>
      </c>
      <c r="R110" s="33">
        <f t="shared" si="16"/>
        <v>0.17805699941371059</v>
      </c>
      <c r="S110" s="40"/>
      <c r="T110" s="33">
        <f t="shared" si="17"/>
        <v>8.9028499706855294E-2</v>
      </c>
      <c r="U110" s="48">
        <f t="shared" si="18"/>
        <v>445.14249853427646</v>
      </c>
      <c r="V110" s="32"/>
      <c r="W110" s="32"/>
      <c r="X110" s="33">
        <f t="shared" si="19"/>
        <v>0</v>
      </c>
      <c r="Y110" s="48"/>
      <c r="Z110" s="40" t="str">
        <f t="shared" si="20"/>
        <v/>
      </c>
    </row>
    <row r="111" spans="1:26">
      <c r="A111" s="36" t="s">
        <v>106</v>
      </c>
      <c r="B111" s="50">
        <v>4595.3999999999996</v>
      </c>
      <c r="C111" s="49">
        <v>6.9688999999999997</v>
      </c>
      <c r="D111" s="35">
        <v>1030.6600000000001</v>
      </c>
      <c r="E111" s="35">
        <v>1030.9100000000001</v>
      </c>
      <c r="G111" s="32">
        <f t="shared" ref="G111" si="28">(B111*C111)/$B$14</f>
        <v>1029.6231311588726</v>
      </c>
      <c r="H111" s="32">
        <f t="shared" ref="H111" si="29">D111-G111</f>
        <v>1.0368688411274434</v>
      </c>
      <c r="I111" s="32">
        <f t="shared" ref="I111" si="30">E111-G111</f>
        <v>1.2868688411274434</v>
      </c>
      <c r="J111" s="32">
        <f t="shared" ref="J111" si="31">F111-G111</f>
        <v>-1029.6231311588726</v>
      </c>
      <c r="K111" s="32">
        <f t="shared" ref="K111" si="32">-(C110/$B$14)*(B111-B110)</f>
        <v>6.3384866654878476</v>
      </c>
      <c r="L111" s="32">
        <f t="shared" ref="L111" si="33">(B111/$B$14)*(C111-C110)</f>
        <v>0.36936357644630707</v>
      </c>
      <c r="M111" s="32">
        <f t="shared" ref="M111" si="34">D111-D110</f>
        <v>-0.25999999999999091</v>
      </c>
      <c r="N111" s="46">
        <f t="shared" si="26"/>
        <v>-0.15999999999985448</v>
      </c>
      <c r="O111" s="46">
        <f t="shared" si="27"/>
        <v>0.10000000000013642</v>
      </c>
      <c r="P111" s="32">
        <f>IF(COUNT($H$21:H111)&lt;$B$4,"",AVERAGE(INDEX($H$21:H111,COUNT($H$21:H111)-$B$4+1):H111))</f>
        <v>-7.6201235391515389</v>
      </c>
      <c r="Q111" s="46">
        <f>_xlfn.SINGLE(IF(COUNT($H$21:H111)&lt;$B$4,"",_xlfn.STDEV.S(INDEX($H$21:H111,COUNT($H$21:H111)-$B$4+1):H111)))</f>
        <v>9.7584680581684964</v>
      </c>
      <c r="R111" s="33">
        <f t="shared" ref="R111" si="35">IF(OR(P111="",Q111=""),"",(H111-P111)/Q111)</f>
        <v>0.88712616864411376</v>
      </c>
    </row>
  </sheetData>
  <mergeCells count="1">
    <mergeCell ref="B19:F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AuT+D损益</vt:lpstr>
      <vt:lpstr>AuT+D对冲AU99.99现货持仓</vt:lpstr>
      <vt:lpstr>上海金vsComex Future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Guo</cp:lastModifiedBy>
  <dcterms:created xsi:type="dcterms:W3CDTF">2026-01-15T12:31:05Z</dcterms:created>
  <dcterms:modified xsi:type="dcterms:W3CDTF">2026-01-18T01:04:40Z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87873A3B-7106-496E-A780-45CB01F21BF8</vt:lpwstr>
  </property>
</Properties>
</file>