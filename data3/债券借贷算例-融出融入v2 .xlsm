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3260" firstSheet="1"/>
  </bookViews>
  <sheets>
    <sheet name="融出方向头寸持仓市值风险" sheetId="23" r:id="rId1"/>
    <sheet name="融出方向逐笔利润已实现" sheetId="24" r:id="rId2"/>
    <sheet name="融入方向头寸持仓市值风险" sheetId="26" r:id="rId3"/>
    <sheet name="融入方向逐笔利润已实现-做空-借短买长" sheetId="25" r:id="rId4"/>
  </sheets>
  <definedNames>
    <definedName name="_xleta.N" hidden="1">#NAME?</definedName>
    <definedName name="_xleta.T" hidden="1">#NAME?</definedName>
  </definedNames>
  <calcPr calcId="191029" calcCompleted="0" calcOnSave="0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Author</author>
  </authors>
  <commentList>
    <comment ref="E6" authorId="0">
      <text>
        <r>
          <rPr>
            <b/>
            <sz val="9"/>
            <rFont val="Tahoma"/>
            <charset val="134"/>
          </rPr>
          <t>如需修改，请使用Excel插件-Wind-函数-编辑函数</t>
        </r>
      </text>
    </comment>
    <comment ref="E11" authorId="0">
      <text>
        <r>
          <rPr>
            <b/>
            <sz val="9"/>
            <rFont val="Tahoma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6" authorId="0">
      <text>
        <r>
          <rPr>
            <b/>
            <sz val="9"/>
            <rFont val="Tahoma"/>
            <charset val="134"/>
          </rPr>
          <t>如需修改，请使用Excel插件-Wind-函数-编辑函数</t>
        </r>
      </text>
    </comment>
    <comment ref="E11" authorId="0">
      <text>
        <r>
          <rPr>
            <b/>
            <sz val="9"/>
            <rFont val="Tahoma"/>
            <charset val="134"/>
          </rPr>
          <t>如需修改，请使用Excel插件-Wind-函数-编辑函数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<sst xmlns="http://schemas.openxmlformats.org/spreadsheetml/2006/main" count="414" uniqueCount="154">
  <si>
    <t>计算时间</t>
  </si>
  <si>
    <t>序号</t>
  </si>
  <si>
    <t>债券代码</t>
  </si>
  <si>
    <t>品种简称</t>
  </si>
  <si>
    <t>债券类型</t>
  </si>
  <si>
    <t>面值</t>
  </si>
  <si>
    <t>票面利率%</t>
  </si>
  <si>
    <t>开始时间</t>
  </si>
  <si>
    <t>剩余期限(年)</t>
  </si>
  <si>
    <t>久期</t>
  </si>
  <si>
    <t>凸性</t>
  </si>
  <si>
    <t>DV01</t>
  </si>
  <si>
    <t>对应期限国债曲线收益率</t>
  </si>
  <si>
    <t>收益率%</t>
  </si>
  <si>
    <t>净价(元)</t>
  </si>
  <si>
    <t>全价(元)</t>
  </si>
  <si>
    <t>Z-Spread BP</t>
  </si>
  <si>
    <t>融出券面总额(元)</t>
  </si>
  <si>
    <t>券面质押率</t>
  </si>
  <si>
    <t>净值(元)</t>
  </si>
  <si>
    <t>市值质押率</t>
  </si>
  <si>
    <t>市值质押缺口（Collateral Shortfall）</t>
  </si>
  <si>
    <t>投组加权借贷费率年化(%)</t>
  </si>
  <si>
    <t>理论借贷费率年化（Required Lending Fee Rate）</t>
  </si>
  <si>
    <t>理论借贷费率年化+流动性溢价</t>
  </si>
  <si>
    <t>借贷费用（1D)</t>
  </si>
  <si>
    <t>市值+借贷费用质押缺口（Collateral Shortfall）</t>
  </si>
  <si>
    <t>单日利息</t>
  </si>
  <si>
    <t>标的券</t>
  </si>
  <si>
    <t>220011.IB</t>
  </si>
  <si>
    <t>22付息国债11</t>
  </si>
  <si>
    <t>国债</t>
  </si>
  <si>
    <t>NA</t>
  </si>
  <si>
    <t>质押券</t>
  </si>
  <si>
    <t xml:space="preserve"> </t>
  </si>
  <si>
    <t xml:space="preserve"> 1.a</t>
  </si>
  <si>
    <t>102001080.IB</t>
  </si>
  <si>
    <t>20南电MTN008</t>
  </si>
  <si>
    <t>企业公司</t>
  </si>
  <si>
    <t xml:space="preserve"> NA</t>
  </si>
  <si>
    <t>220207.IB</t>
  </si>
  <si>
    <t>22国开07</t>
  </si>
  <si>
    <t>政策银行债</t>
  </si>
  <si>
    <t>2.a</t>
  </si>
  <si>
    <t>2228050.IB</t>
  </si>
  <si>
    <t>22光大银行</t>
  </si>
  <si>
    <t>金融</t>
  </si>
  <si>
    <t>2.b</t>
  </si>
  <si>
    <t>国债曲线</t>
  </si>
  <si>
    <t>国开曲线</t>
  </si>
  <si>
    <t>2Y</t>
  </si>
  <si>
    <t>1Y</t>
  </si>
  <si>
    <t xml:space="preserve">roll-down </t>
  </si>
  <si>
    <t>资金成本funding cost（BP）</t>
  </si>
  <si>
    <t>流动性溢价（BP）</t>
  </si>
  <si>
    <t>240202.IB</t>
  </si>
  <si>
    <t>240003.IB</t>
  </si>
  <si>
    <t xml:space="preserve">  </t>
  </si>
  <si>
    <t>交易方向</t>
  </si>
  <si>
    <t>对手方</t>
  </si>
  <si>
    <t>借贷品种</t>
  </si>
  <si>
    <t>借贷期限</t>
  </si>
  <si>
    <t>借贷费率%</t>
  </si>
  <si>
    <t>同期曲线下降RollDown</t>
  </si>
  <si>
    <t>券面总额(元)</t>
  </si>
  <si>
    <t>首期结算日</t>
  </si>
  <si>
    <t>首期结算日市场收益率</t>
  </si>
  <si>
    <t>首期结算日市场净价</t>
  </si>
  <si>
    <t>到期结算日</t>
  </si>
  <si>
    <t>借贷费用</t>
  </si>
  <si>
    <t>应计利息总额</t>
  </si>
  <si>
    <t>市场变化</t>
  </si>
  <si>
    <t>L001</t>
  </si>
  <si>
    <t>标的券-1</t>
  </si>
  <si>
    <t>融出</t>
  </si>
  <si>
    <t>券商1</t>
  </si>
  <si>
    <t>25付息国债11</t>
  </si>
  <si>
    <t>L014</t>
  </si>
  <si>
    <t>质押券- 1.a</t>
  </si>
  <si>
    <t>L01M</t>
  </si>
  <si>
    <t>L02M</t>
  </si>
  <si>
    <t>标的券-2</t>
  </si>
  <si>
    <t>銀行1</t>
  </si>
  <si>
    <t>L007</t>
  </si>
  <si>
    <t>L04M</t>
  </si>
  <si>
    <t>质押券-2.a</t>
  </si>
  <si>
    <t>L01Y</t>
  </si>
  <si>
    <t>标的券-3</t>
  </si>
  <si>
    <t>机构1</t>
  </si>
  <si>
    <t>质押券-3.a</t>
  </si>
  <si>
    <t>投组借贷费率同期限同标的券面额权重1D</t>
  </si>
  <si>
    <t>投组借贷费率不同期限同标的券期限权重</t>
  </si>
  <si>
    <t>总损益</t>
  </si>
  <si>
    <t>期限(天）</t>
  </si>
  <si>
    <t>年化收益</t>
  </si>
  <si>
    <t>天</t>
  </si>
  <si>
    <t>融入券面总额(元)</t>
  </si>
  <si>
    <t>MTM</t>
  </si>
  <si>
    <t>Pnl(MtM - 借贷费用)</t>
  </si>
  <si>
    <t>债券简称</t>
  </si>
  <si>
    <t>期限</t>
  </si>
  <si>
    <t>到期结算日市场收益率</t>
  </si>
  <si>
    <t>到期结算日市场净价</t>
  </si>
  <si>
    <t>整体损益（借贷+MTM）</t>
  </si>
  <si>
    <t xml:space="preserve"> 借贷目的</t>
  </si>
  <si>
    <t>交割</t>
  </si>
  <si>
    <t>融入</t>
  </si>
  <si>
    <t>券商11</t>
  </si>
  <si>
    <t>做空</t>
  </si>
  <si>
    <t>銀行11</t>
  </si>
  <si>
    <t>融资</t>
  </si>
  <si>
    <t>机构11</t>
  </si>
  <si>
    <t>策略-借短买长</t>
  </si>
  <si>
    <t>标的券-2.1</t>
  </si>
  <si>
    <t>标的券-2.2</t>
  </si>
  <si>
    <t xml:space="preserve">Pnl </t>
  </si>
  <si>
    <t>标的券-4.1</t>
  </si>
  <si>
    <t>标的券-4.2</t>
  </si>
  <si>
    <t>标的券-4.3</t>
  </si>
  <si>
    <t>回购品种</t>
  </si>
  <si>
    <t xml:space="preserve">repo rate回购利率 </t>
  </si>
  <si>
    <t>回购利息</t>
  </si>
  <si>
    <t>回购折算比例</t>
  </si>
  <si>
    <t>正回购融入金额</t>
  </si>
  <si>
    <t>正回购还款额</t>
  </si>
  <si>
    <t>标的券-4.1-R</t>
  </si>
  <si>
    <t>正回购方</t>
  </si>
  <si>
    <t>銀行11R</t>
  </si>
  <si>
    <t>R007</t>
  </si>
  <si>
    <t>平均成本净价</t>
  </si>
  <si>
    <t>平均成本收益率</t>
  </si>
  <si>
    <t>未到期</t>
  </si>
  <si>
    <t>预期均衡点收益率</t>
  </si>
  <si>
    <t>预期均衡点市场全价</t>
  </si>
  <si>
    <t>当前收益率%</t>
  </si>
  <si>
    <t>当前净价(元)</t>
  </si>
  <si>
    <t>当前全价(元)</t>
  </si>
  <si>
    <t>买入债券数量</t>
  </si>
  <si>
    <t>买入债券</t>
  </si>
  <si>
    <t>2400001.IB</t>
  </si>
  <si>
    <t>借入债券</t>
  </si>
  <si>
    <t>24特别国债01</t>
  </si>
  <si>
    <t>29.21Y</t>
  </si>
  <si>
    <t>3/24/2025 收益率</t>
  </si>
  <si>
    <t>3/11/2025 收益率</t>
  </si>
  <si>
    <t>4/14/2025 收益率</t>
  </si>
  <si>
    <t>2/20/2025 收益率</t>
  </si>
  <si>
    <t>收益率变化</t>
  </si>
  <si>
    <t>sum 借贷费用</t>
  </si>
  <si>
    <t xml:space="preserve">PnL </t>
  </si>
  <si>
    <t>利息</t>
  </si>
  <si>
    <t>Sum MtM</t>
  </si>
  <si>
    <t xml:space="preserve">Sum PNL </t>
  </si>
  <si>
    <t xml:space="preserve">pnl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</si>
</sst>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2" formatCode="_(&quot;$&quot;* #,##0_);_(&quot;$&quot;* \(#,##0\);_(&quot;$&quot;* &quot;-&quot;_);_(@_)"/>
    <numFmt numFmtId="43" formatCode="_(* #,##0.00_);_(* \(#,##0.00\);_(* &quot;-&quot;??_);_(@_)"/>
    <numFmt numFmtId="44" formatCode="_(&quot;$&quot;* #,##0.00_);_(&quot;$&quot;* \(#,##0.00\);_(&quot;$&quot;* &quot;-&quot;??_);_(@_)"/>
    <numFmt numFmtId="176" formatCode="_ * #,##0_ ;_ * \-#,##0_ ;_ * &quot;-&quot;_ ;_ @_ "/>
    <numFmt numFmtId="177" formatCode="0.0000%"/>
    <numFmt numFmtId="178" formatCode="0.00000000%"/>
    <numFmt numFmtId="179" formatCode="#,##0.0000"/>
    <numFmt numFmtId="180" formatCode="00000"/>
    <numFmt numFmtId="181" formatCode="m/d/yyyy;@"/>
    <numFmt numFmtId="182" formatCode="0.0000"/>
    <numFmt numFmtId="183" formatCode="0.0000000000%"/>
  </numFmts>
  <fonts count="34">
    <font>
      <sz val="11"/>
      <color theme="1"/>
      <name val="Calibri"/>
      <charset val="134"/>
      <scheme val="minor"/>
    </font>
    <font>
      <strike/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rgb="FF9C0006"/>
      <name val="Calibri"/>
      <charset val="134"/>
      <scheme val="minor"/>
    </font>
    <font>
      <b/>
      <sz val="11.25"/>
      <color theme="1" tint="0.15"/>
      <name val="Microsoft YaHei UI"/>
      <charset val="134"/>
    </font>
    <font>
      <b/>
      <sz val="11.25"/>
      <color rgb="FF00B050"/>
      <name val="Microsoft YaHei UI"/>
      <charset val="134"/>
    </font>
    <font>
      <strike/>
      <sz val="11"/>
      <color rgb="FFFF0000"/>
      <name val="Calibri"/>
      <charset val="134"/>
      <scheme val="minor"/>
    </font>
    <font>
      <sz val="11"/>
      <color rgb="FF00B050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1"/>
      <color rgb="FF00B050"/>
      <name val="Calibri"/>
      <charset val="134"/>
      <scheme val="minor"/>
    </font>
    <font>
      <b/>
      <strike/>
      <sz val="11"/>
      <color theme="0"/>
      <name val="Calibri"/>
      <charset val="134"/>
      <scheme val="minor"/>
    </font>
    <font>
      <b/>
      <sz val="11"/>
      <color rgb="FF9C0006"/>
      <name val="Calibri"/>
      <charset val="134"/>
      <scheme val="minor"/>
    </font>
    <font>
      <b/>
      <sz val="8"/>
      <color rgb="FF333333"/>
      <name val="SimSun"/>
      <charset val="134"/>
    </font>
    <font>
      <b/>
      <sz val="11"/>
      <color rgb="FF3F3F3F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134"/>
      <scheme val="minor"/>
    </font>
    <font>
      <sz val="11"/>
      <color rgb="FF9C5700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134"/>
      <scheme val="minor"/>
    </font>
    <font>
      <b/>
      <sz val="9"/>
      <name val="Tahoma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FFFF00"/>
        <bgColor theme="4" tint="0.799920651875362"/>
      </patternFill>
    </fill>
    <fill>
      <patternFill patternType="solid">
        <fgColor theme="4" tint="0.599993896298105"/>
        <bgColor theme="4" tint="0.599993896298105"/>
      </patternFill>
    </fill>
    <fill>
      <patternFill patternType="solid">
        <fgColor rgb="FFFFFF00"/>
        <bgColor theme="4" tint="0.599993896298105"/>
      </patternFill>
    </fill>
    <fill>
      <patternFill patternType="solid">
        <fgColor rgb="FFE8E8E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medium">
        <color rgb="FFDDDDDD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rgb="FFDDDDDD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rgb="FFDDDDDD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/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2" borderId="13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3" borderId="16" applyNumberFormat="0" applyAlignment="0" applyProtection="0"/>
    <xf numFmtId="0" fontId="13" fillId="10" borderId="10" applyNumberFormat="0" applyAlignment="0" applyProtection="0"/>
    <xf numFmtId="0" fontId="25" fillId="10" borderId="16" applyNumberFormat="0" applyAlignment="0" applyProtection="0">
      <alignment vertical="center"/>
    </xf>
    <xf numFmtId="0" fontId="2" fillId="14" borderId="17" applyNumberFormat="0" applyAlignment="0" applyProtection="0"/>
    <xf numFmtId="0" fontId="26" fillId="0" borderId="18" applyNumberFormat="0" applyFill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8" fillId="15" borderId="0" applyNumberFormat="0" applyBorder="0" applyAlignment="0" applyProtection="0"/>
    <xf numFmtId="0" fontId="3" fillId="4" borderId="0" applyNumberFormat="0" applyBorder="0" applyAlignment="0" applyProtection="0"/>
    <xf numFmtId="0" fontId="29" fillId="16" borderId="0" applyNumberFormat="0" applyBorder="0" applyAlignment="0" applyProtection="0"/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</cellStyleXfs>
  <cellXfs count="112">
    <xf numFmtId="0" fontId="0" fillId="0" borderId="0" xfId="0"/>
    <xf numFmtId="0" fontId="0" fillId="2" borderId="0" xfId="0" applyFill="1"/>
    <xf numFmtId="0" fontId="1" fillId="0" borderId="0" xfId="0" applyFont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3" fillId="4" borderId="4" xfId="23" applyBorder="1" applyAlignment="1">
      <alignment horizontal="center" vertical="center" wrapText="1"/>
    </xf>
    <xf numFmtId="0" fontId="0" fillId="5" borderId="5" xfId="0" applyFill="1" applyBorder="1"/>
    <xf numFmtId="0" fontId="4" fillId="0" borderId="0" xfId="0" applyFont="1"/>
    <xf numFmtId="0" fontId="0" fillId="5" borderId="6" xfId="0" applyFill="1" applyBorder="1"/>
    <xf numFmtId="177" fontId="3" fillId="4" borderId="0" xfId="23" applyNumberFormat="1"/>
    <xf numFmtId="3" fontId="3" fillId="4" borderId="0" xfId="23" applyNumberFormat="1"/>
    <xf numFmtId="10" fontId="0" fillId="5" borderId="6" xfId="0" applyNumberFormat="1" applyFont="1" applyFill="1" applyBorder="1" applyAlignment="1" applyProtection="1"/>
    <xf numFmtId="0" fontId="0" fillId="6" borderId="5" xfId="0" applyFill="1" applyBorder="1"/>
    <xf numFmtId="0" fontId="4" fillId="2" borderId="0" xfId="0" applyFont="1" applyFill="1"/>
    <xf numFmtId="0" fontId="0" fillId="6" borderId="6" xfId="0" applyFill="1" applyBorder="1"/>
    <xf numFmtId="177" fontId="3" fillId="2" borderId="0" xfId="23" applyNumberFormat="1" applyFill="1"/>
    <xf numFmtId="3" fontId="3" fillId="2" borderId="0" xfId="23" applyNumberFormat="1" applyFill="1"/>
    <xf numFmtId="10" fontId="0" fillId="6" borderId="6" xfId="0" applyNumberFormat="1" applyFont="1" applyFill="1" applyBorder="1" applyAlignment="1" applyProtection="1"/>
    <xf numFmtId="0" fontId="0" fillId="6" borderId="0" xfId="0" applyFill="1"/>
    <xf numFmtId="10" fontId="0" fillId="6" borderId="0" xfId="0" applyNumberFormat="1" applyFont="1" applyFill="1" applyAlignment="1" applyProtection="1"/>
    <xf numFmtId="4" fontId="5" fillId="0" borderId="0" xfId="0" applyNumberFormat="1" applyFont="1"/>
    <xf numFmtId="0" fontId="0" fillId="5" borderId="0" xfId="0" applyFill="1"/>
    <xf numFmtId="10" fontId="0" fillId="5" borderId="0" xfId="0" applyNumberFormat="1" applyFont="1" applyFill="1" applyAlignment="1" applyProtection="1"/>
    <xf numFmtId="0" fontId="0" fillId="0" borderId="0" xfId="0" applyAlignment="1">
      <alignment wrapText="1"/>
    </xf>
    <xf numFmtId="10" fontId="0" fillId="0" borderId="0" xfId="0" applyNumberFormat="1"/>
    <xf numFmtId="4" fontId="0" fillId="5" borderId="6" xfId="0" applyNumberFormat="1" applyFill="1" applyBorder="1"/>
    <xf numFmtId="177" fontId="0" fillId="5" borderId="6" xfId="0" applyNumberFormat="1" applyFill="1" applyBorder="1"/>
    <xf numFmtId="3" fontId="0" fillId="0" borderId="0" xfId="0" applyNumberFormat="1"/>
    <xf numFmtId="178" fontId="0" fillId="0" borderId="0" xfId="0" applyNumberFormat="1"/>
    <xf numFmtId="0" fontId="6" fillId="0" borderId="0" xfId="0" applyFont="1"/>
    <xf numFmtId="10" fontId="1" fillId="5" borderId="6" xfId="0" applyNumberFormat="1" applyFont="1" applyFill="1" applyBorder="1" applyAlignment="1" applyProtection="1"/>
    <xf numFmtId="4" fontId="0" fillId="0" borderId="0" xfId="0" applyNumberFormat="1"/>
    <xf numFmtId="0" fontId="0" fillId="0" borderId="0" xfId="0" applyNumberFormat="1"/>
    <xf numFmtId="177" fontId="0" fillId="0" borderId="0" xfId="0" applyNumberFormat="1"/>
    <xf numFmtId="4" fontId="7" fillId="0" borderId="0" xfId="0" applyNumberFormat="1" applyFont="1"/>
    <xf numFmtId="4" fontId="8" fillId="0" borderId="0" xfId="0" applyNumberFormat="1" applyFont="1"/>
    <xf numFmtId="4" fontId="9" fillId="0" borderId="0" xfId="0" applyNumberFormat="1" applyFont="1"/>
    <xf numFmtId="0" fontId="10" fillId="3" borderId="3" xfId="0" applyFont="1" applyFill="1" applyBorder="1"/>
    <xf numFmtId="3" fontId="0" fillId="5" borderId="6" xfId="0" applyNumberFormat="1" applyFill="1" applyBorder="1"/>
    <xf numFmtId="58" fontId="0" fillId="7" borderId="7" xfId="0" applyNumberFormat="1" applyFill="1" applyBorder="1"/>
    <xf numFmtId="177" fontId="0" fillId="7" borderId="7" xfId="0" applyNumberFormat="1" applyFill="1" applyBorder="1"/>
    <xf numFmtId="179" fontId="1" fillId="5" borderId="6" xfId="0" applyNumberFormat="1" applyFont="1" applyFill="1" applyBorder="1"/>
    <xf numFmtId="3" fontId="0" fillId="6" borderId="6" xfId="0" applyNumberFormat="1" applyFill="1" applyBorder="1"/>
    <xf numFmtId="58" fontId="0" fillId="8" borderId="7" xfId="0" applyNumberFormat="1" applyFill="1" applyBorder="1"/>
    <xf numFmtId="177" fontId="0" fillId="8" borderId="7" xfId="0" applyNumberFormat="1" applyFill="1" applyBorder="1"/>
    <xf numFmtId="179" fontId="1" fillId="6" borderId="6" xfId="0" applyNumberFormat="1" applyFont="1" applyFill="1" applyBorder="1"/>
    <xf numFmtId="4" fontId="0" fillId="6" borderId="6" xfId="0" applyNumberFormat="1" applyFill="1" applyBorder="1"/>
    <xf numFmtId="3" fontId="0" fillId="6" borderId="0" xfId="0" applyNumberFormat="1" applyFill="1"/>
    <xf numFmtId="58" fontId="0" fillId="8" borderId="0" xfId="0" applyNumberFormat="1" applyFill="1"/>
    <xf numFmtId="177" fontId="0" fillId="8" borderId="0" xfId="0" applyNumberFormat="1" applyFill="1"/>
    <xf numFmtId="179" fontId="1" fillId="6" borderId="0" xfId="0" applyNumberFormat="1" applyFont="1" applyFill="1"/>
    <xf numFmtId="4" fontId="0" fillId="6" borderId="0" xfId="0" applyNumberFormat="1" applyFill="1"/>
    <xf numFmtId="3" fontId="0" fillId="5" borderId="0" xfId="0" applyNumberFormat="1" applyFill="1"/>
    <xf numFmtId="58" fontId="0" fillId="7" borderId="0" xfId="0" applyNumberFormat="1" applyFill="1"/>
    <xf numFmtId="177" fontId="0" fillId="7" borderId="0" xfId="0" applyNumberFormat="1" applyFill="1"/>
    <xf numFmtId="179" fontId="1" fillId="5" borderId="0" xfId="0" applyNumberFormat="1" applyFont="1" applyFill="1"/>
    <xf numFmtId="4" fontId="0" fillId="5" borderId="0" xfId="0" applyNumberFormat="1" applyFill="1"/>
    <xf numFmtId="179" fontId="0" fillId="5" borderId="0" xfId="0" applyNumberFormat="1" applyFill="1"/>
    <xf numFmtId="58" fontId="1" fillId="7" borderId="7" xfId="0" applyNumberFormat="1" applyFont="1" applyFill="1" applyBorder="1"/>
    <xf numFmtId="177" fontId="1" fillId="7" borderId="7" xfId="0" applyNumberFormat="1" applyFont="1" applyFill="1" applyBorder="1"/>
    <xf numFmtId="0" fontId="1" fillId="5" borderId="6" xfId="0" applyFont="1" applyFill="1" applyBorder="1" applyAlignment="1">
      <alignment horizontal="right"/>
    </xf>
    <xf numFmtId="180" fontId="10" fillId="3" borderId="3" xfId="0" applyNumberFormat="1" applyFont="1" applyFill="1" applyBorder="1"/>
    <xf numFmtId="180" fontId="1" fillId="5" borderId="6" xfId="0" applyNumberFormat="1" applyFont="1" applyFill="1" applyBorder="1"/>
    <xf numFmtId="180" fontId="1" fillId="6" borderId="6" xfId="0" applyNumberFormat="1" applyFont="1" applyFill="1" applyBorder="1"/>
    <xf numFmtId="10" fontId="0" fillId="2" borderId="0" xfId="0" applyNumberFormat="1" applyFill="1"/>
    <xf numFmtId="4" fontId="0" fillId="2" borderId="0" xfId="0" applyNumberFormat="1" applyFill="1"/>
    <xf numFmtId="180" fontId="1" fillId="6" borderId="0" xfId="0" applyNumberFormat="1" applyFont="1" applyFill="1"/>
    <xf numFmtId="3" fontId="8" fillId="0" borderId="0" xfId="0" applyNumberFormat="1" applyFont="1"/>
    <xf numFmtId="9" fontId="0" fillId="6" borderId="6" xfId="0" applyNumberFormat="1" applyFill="1" applyBorder="1"/>
    <xf numFmtId="0" fontId="1" fillId="5" borderId="6" xfId="0" applyFont="1" applyFill="1" applyBorder="1"/>
    <xf numFmtId="177" fontId="1" fillId="5" borderId="6" xfId="0" applyNumberFormat="1" applyFont="1" applyFill="1" applyBorder="1"/>
    <xf numFmtId="181" fontId="0" fillId="0" borderId="0" xfId="0" applyNumberFormat="1"/>
    <xf numFmtId="0" fontId="2" fillId="3" borderId="8" xfId="0" applyFont="1" applyFill="1" applyBorder="1"/>
    <xf numFmtId="10" fontId="0" fillId="5" borderId="6" xfId="0" applyNumberFormat="1" applyFill="1" applyBorder="1"/>
    <xf numFmtId="58" fontId="0" fillId="5" borderId="6" xfId="0" applyNumberFormat="1" applyFill="1" applyBorder="1"/>
    <xf numFmtId="0" fontId="0" fillId="5" borderId="5" xfId="0" applyFill="1" applyBorder="1" applyAlignment="1">
      <alignment horizontal="right"/>
    </xf>
    <xf numFmtId="0" fontId="0" fillId="7" borderId="6" xfId="0" applyFill="1" applyBorder="1"/>
    <xf numFmtId="10" fontId="0" fillId="7" borderId="6" xfId="0" applyNumberFormat="1" applyFill="1" applyBorder="1"/>
    <xf numFmtId="58" fontId="0" fillId="7" borderId="6" xfId="0" applyNumberFormat="1" applyFill="1" applyBorder="1"/>
    <xf numFmtId="0" fontId="0" fillId="7" borderId="5" xfId="0" applyFill="1" applyBorder="1"/>
    <xf numFmtId="0" fontId="0" fillId="7" borderId="5" xfId="0" applyFill="1" applyBorder="1" applyAlignment="1">
      <alignment horizontal="right"/>
    </xf>
    <xf numFmtId="0" fontId="3" fillId="4" borderId="0" xfId="23" applyAlignment="1">
      <alignment horizontal="center" vertical="center" wrapText="1"/>
    </xf>
    <xf numFmtId="0" fontId="0" fillId="5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177" fontId="0" fillId="7" borderId="6" xfId="0" applyNumberFormat="1" applyFill="1" applyBorder="1"/>
    <xf numFmtId="179" fontId="0" fillId="7" borderId="6" xfId="0" applyNumberFormat="1" applyFill="1" applyBorder="1" applyAlignment="1">
      <alignment horizontal="right" wrapText="1"/>
    </xf>
    <xf numFmtId="0" fontId="11" fillId="4" borderId="3" xfId="23" applyFont="1" applyBorder="1" applyAlignment="1">
      <alignment horizontal="center"/>
    </xf>
    <xf numFmtId="0" fontId="11" fillId="4" borderId="3" xfId="23" applyFont="1" applyBorder="1" applyAlignment="1">
      <alignment horizontal="center" wrapText="1"/>
    </xf>
    <xf numFmtId="0" fontId="3" fillId="4" borderId="0" xfId="23"/>
    <xf numFmtId="0" fontId="2" fillId="3" borderId="0" xfId="0" applyFont="1" applyFill="1"/>
    <xf numFmtId="0" fontId="2" fillId="3" borderId="9" xfId="0" applyFont="1" applyFill="1" applyBorder="1"/>
    <xf numFmtId="0" fontId="12" fillId="9" borderId="0" xfId="0" applyFont="1" applyFill="1" applyAlignment="1">
      <alignment horizontal="center" vertical="center" wrapText="1"/>
    </xf>
    <xf numFmtId="182" fontId="3" fillId="4" borderId="0" xfId="23" applyNumberFormat="1"/>
    <xf numFmtId="10" fontId="13" fillId="10" borderId="10" xfId="17" applyNumberFormat="1"/>
    <xf numFmtId="4" fontId="13" fillId="10" borderId="10" xfId="17" applyNumberFormat="1"/>
    <xf numFmtId="4" fontId="14" fillId="10" borderId="10" xfId="17" applyNumberFormat="1" applyFont="1"/>
    <xf numFmtId="177" fontId="13" fillId="10" borderId="10" xfId="17" applyNumberFormat="1"/>
    <xf numFmtId="3" fontId="0" fillId="7" borderId="6" xfId="0" applyNumberFormat="1" applyFill="1" applyBorder="1"/>
    <xf numFmtId="177" fontId="0" fillId="0" borderId="0" xfId="0" applyNumberFormat="1" applyFont="1"/>
    <xf numFmtId="4" fontId="15" fillId="10" borderId="10" xfId="17" applyNumberFormat="1" applyFont="1"/>
    <xf numFmtId="3" fontId="7" fillId="0" borderId="0" xfId="0" applyNumberFormat="1" applyFont="1"/>
    <xf numFmtId="0" fontId="0" fillId="5" borderId="11" xfId="0" applyFill="1" applyBorder="1" applyAlignment="1">
      <alignment horizontal="right"/>
    </xf>
    <xf numFmtId="0" fontId="0" fillId="11" borderId="0" xfId="0" applyFill="1"/>
    <xf numFmtId="0" fontId="15" fillId="0" borderId="0" xfId="0" applyFont="1" applyAlignment="1">
      <alignment wrapText="1"/>
    </xf>
    <xf numFmtId="183" fontId="0" fillId="0" borderId="0" xfId="0" applyNumberFormat="1"/>
    <xf numFmtId="179" fontId="0" fillId="5" borderId="6" xfId="0" applyNumberFormat="1" applyFill="1" applyBorder="1"/>
    <xf numFmtId="0" fontId="0" fillId="7" borderId="0" xfId="0" applyFill="1"/>
    <xf numFmtId="58" fontId="0" fillId="7" borderId="12" xfId="0" applyNumberFormat="1" applyFill="1" applyBorder="1"/>
    <xf numFmtId="0" fontId="10" fillId="3" borderId="8" xfId="0" applyFont="1" applyFill="1" applyBorder="1"/>
    <xf numFmtId="58" fontId="1" fillId="5" borderId="6" xfId="0" applyNumberFormat="1" applyFont="1" applyFill="1" applyBorder="1"/>
    <xf numFmtId="58" fontId="1" fillId="7" borderId="6" xfId="0" applyNumberFormat="1" applyFont="1" applyFill="1" applyBorder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sheetMetadata" Target="metadata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5" Type="http://schemas.openxmlformats.org/officeDocument/2006/relationships/image" Target="../media/image9.png"/><Relationship Id="rId4" Type="http://schemas.openxmlformats.org/officeDocument/2006/relationships/image" Target="../media/image8.png"/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15</xdr:col>
      <xdr:colOff>542925</xdr:colOff>
      <xdr:row>15</xdr:row>
      <xdr:rowOff>85725</xdr:rowOff>
    </xdr:from>
    <xdr:to>
      <xdr:col>21</xdr:col>
      <xdr:colOff>419100</xdr:colOff>
      <xdr:row>40</xdr:row>
      <xdr:rowOff>85725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2553950" y="3448050"/>
          <a:ext cx="5000625" cy="47625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15</xdr:col>
      <xdr:colOff>657225</xdr:colOff>
      <xdr:row>29</xdr:row>
      <xdr:rowOff>104775</xdr:rowOff>
    </xdr:from>
    <xdr:to>
      <xdr:col>21</xdr:col>
      <xdr:colOff>85725</xdr:colOff>
      <xdr:row>32</xdr:row>
      <xdr:rowOff>66675</xdr:rowOff>
    </xdr:to>
    <xdr:sp>
      <xdr:nvSpPr>
        <xdr:cNvPr id="3" name="Rectangles 2"/>
        <xdr:cNvSpPr/>
      </xdr:nvSpPr>
      <xdr:spPr>
        <a:xfrm>
          <a:off x="12668250" y="6134100"/>
          <a:ext cx="4552950" cy="533400"/>
        </a:xfrm>
        <a:prstGeom prst="rect">
          <a:avLst/>
        </a:prstGeom>
        <a:noFill/>
        <a:ln w="28575" cmpd="sng">
          <a:solidFill>
            <a:srgbClr val="FF000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172720</xdr:colOff>
      <xdr:row>36</xdr:row>
      <xdr:rowOff>114300</xdr:rowOff>
    </xdr:from>
    <xdr:to>
      <xdr:col>19</xdr:col>
      <xdr:colOff>677545</xdr:colOff>
      <xdr:row>60</xdr:row>
      <xdr:rowOff>142875</xdr:rowOff>
    </xdr:to>
    <xdr:pic>
      <xdr:nvPicPr>
        <xdr:cNvPr id="4" name="Picture 3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72720" y="7477125"/>
          <a:ext cx="15659100" cy="46005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1724025</xdr:colOff>
      <xdr:row>26</xdr:row>
      <xdr:rowOff>104775</xdr:rowOff>
    </xdr:from>
    <xdr:to>
      <xdr:col>3</xdr:col>
      <xdr:colOff>514350</xdr:colOff>
      <xdr:row>33</xdr:row>
      <xdr:rowOff>85725</xdr:rowOff>
    </xdr:to>
    <xdr:sp>
      <xdr:nvSpPr>
        <xdr:cNvPr id="5" name="Rectangles 4"/>
        <xdr:cNvSpPr/>
      </xdr:nvSpPr>
      <xdr:spPr>
        <a:xfrm>
          <a:off x="1724025" y="5562600"/>
          <a:ext cx="2809875" cy="1314450"/>
        </a:xfrm>
        <a:prstGeom prst="rect">
          <a:avLst/>
        </a:prstGeom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r>
            <a:rPr lang="en-US" sz="1100"/>
            <a:t>220011.IB</a:t>
          </a:r>
          <a:r>
            <a:rPr lang="zh-CN" altLang="en-US" sz="1100"/>
            <a:t>剩余期限是</a:t>
          </a:r>
          <a:r>
            <a:rPr lang="en-US" altLang="zh-CN" sz="1100"/>
            <a:t>1.6</a:t>
          </a:r>
          <a:r>
            <a:rPr lang="zh-CN" altLang="en-US" sz="1100"/>
            <a:t>，</a:t>
          </a:r>
          <a:r>
            <a:rPr lang="en-US" altLang="zh-CN" sz="1100"/>
            <a:t> </a:t>
          </a:r>
          <a:r>
            <a:rPr lang="zh-CN" altLang="en-US" sz="1100"/>
            <a:t>选取剩余期限在</a:t>
          </a:r>
          <a:r>
            <a:rPr lang="en-US" altLang="zh-CN" sz="1100"/>
            <a:t>1</a:t>
          </a:r>
          <a:r>
            <a:rPr lang="zh-CN" altLang="en-US" sz="1100"/>
            <a:t>年到</a:t>
          </a:r>
          <a:r>
            <a:rPr lang="en-US" altLang="zh-CN" sz="1100"/>
            <a:t>2</a:t>
          </a:r>
          <a:r>
            <a:rPr lang="zh-CN" altLang="en-US" sz="1100"/>
            <a:t>年，流动性打分最高的债群的零息收益率。</a:t>
          </a:r>
          <a:endParaRPr lang="en-US" altLang="zh-CN" sz="1100"/>
        </a:p>
      </xdr:txBody>
    </xdr:sp>
    <xdr:clientData/>
  </xdr:twoCellAnchor>
  <xdr:twoCellAnchor>
    <xdr:from>
      <xdr:col>0</xdr:col>
      <xdr:colOff>695325</xdr:colOff>
      <xdr:row>24</xdr:row>
      <xdr:rowOff>28575</xdr:rowOff>
    </xdr:from>
    <xdr:to>
      <xdr:col>0</xdr:col>
      <xdr:colOff>1666875</xdr:colOff>
      <xdr:row>26</xdr:row>
      <xdr:rowOff>114300</xdr:rowOff>
    </xdr:to>
    <xdr:cxnSp>
      <xdr:nvCxnSpPr>
        <xdr:cNvPr id="6" name="Straight Arrow Connector 5"/>
        <xdr:cNvCxnSpPr/>
      </xdr:nvCxnSpPr>
      <xdr:spPr>
        <a:xfrm flipH="1" flipV="1">
          <a:off x="695325" y="5105400"/>
          <a:ext cx="971550" cy="466725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22</xdr:row>
      <xdr:rowOff>0</xdr:rowOff>
    </xdr:from>
    <xdr:to>
      <xdr:col>17</xdr:col>
      <xdr:colOff>428625</xdr:colOff>
      <xdr:row>47</xdr:row>
      <xdr:rowOff>133350</xdr:rowOff>
    </xdr:to>
    <xdr:pic>
      <xdr:nvPicPr>
        <xdr:cNvPr id="7" name="Picture 6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7905750" y="4695825"/>
          <a:ext cx="5257800" cy="4895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13</xdr:col>
      <xdr:colOff>666750</xdr:colOff>
      <xdr:row>99</xdr:row>
      <xdr:rowOff>180975</xdr:rowOff>
    </xdr:to>
    <xdr:pic>
      <xdr:nvPicPr>
        <xdr:cNvPr id="8" name="Picture 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0" y="13077825"/>
          <a:ext cx="11191875" cy="64674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17</xdr:col>
      <xdr:colOff>419100</xdr:colOff>
      <xdr:row>13</xdr:row>
      <xdr:rowOff>10795</xdr:rowOff>
    </xdr:from>
    <xdr:to>
      <xdr:col>27</xdr:col>
      <xdr:colOff>552450</xdr:colOff>
      <xdr:row>55</xdr:row>
      <xdr:rowOff>182245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478250" y="2982595"/>
          <a:ext cx="6076950" cy="8172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229870</xdr:colOff>
      <xdr:row>47</xdr:row>
      <xdr:rowOff>0</xdr:rowOff>
    </xdr:from>
    <xdr:to>
      <xdr:col>26</xdr:col>
      <xdr:colOff>86995</xdr:colOff>
      <xdr:row>75</xdr:row>
      <xdr:rowOff>19050</xdr:rowOff>
    </xdr:to>
    <xdr:pic>
      <xdr:nvPicPr>
        <xdr:cNvPr id="4" name="Picture 3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2831445" y="9448800"/>
          <a:ext cx="8648700" cy="53530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790575</xdr:colOff>
      <xdr:row>56</xdr:row>
      <xdr:rowOff>66675</xdr:rowOff>
    </xdr:to>
    <xdr:pic>
      <xdr:nvPicPr>
        <xdr:cNvPr id="6" name="Picture 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0" y="6210300"/>
          <a:ext cx="8220075" cy="50196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15</xdr:col>
      <xdr:colOff>542925</xdr:colOff>
      <xdr:row>15</xdr:row>
      <xdr:rowOff>85725</xdr:rowOff>
    </xdr:from>
    <xdr:to>
      <xdr:col>21</xdr:col>
      <xdr:colOff>419100</xdr:colOff>
      <xdr:row>40</xdr:row>
      <xdr:rowOff>85725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1668125" y="3467100"/>
          <a:ext cx="5000625" cy="47625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15</xdr:col>
      <xdr:colOff>657225</xdr:colOff>
      <xdr:row>29</xdr:row>
      <xdr:rowOff>104775</xdr:rowOff>
    </xdr:from>
    <xdr:to>
      <xdr:col>21</xdr:col>
      <xdr:colOff>85725</xdr:colOff>
      <xdr:row>32</xdr:row>
      <xdr:rowOff>66675</xdr:rowOff>
    </xdr:to>
    <xdr:sp>
      <xdr:nvSpPr>
        <xdr:cNvPr id="3" name="Rectangles 2"/>
        <xdr:cNvSpPr/>
      </xdr:nvSpPr>
      <xdr:spPr>
        <a:xfrm>
          <a:off x="11782425" y="6153150"/>
          <a:ext cx="4552950" cy="533400"/>
        </a:xfrm>
        <a:prstGeom prst="rect">
          <a:avLst/>
        </a:prstGeom>
        <a:noFill/>
        <a:ln w="28575" cmpd="sng">
          <a:solidFill>
            <a:srgbClr val="FF000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172720</xdr:colOff>
      <xdr:row>36</xdr:row>
      <xdr:rowOff>114300</xdr:rowOff>
    </xdr:from>
    <xdr:to>
      <xdr:col>20</xdr:col>
      <xdr:colOff>572770</xdr:colOff>
      <xdr:row>60</xdr:row>
      <xdr:rowOff>142875</xdr:rowOff>
    </xdr:to>
    <xdr:pic>
      <xdr:nvPicPr>
        <xdr:cNvPr id="4" name="Picture 3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72720" y="7496175"/>
          <a:ext cx="15659100" cy="46005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1724025</xdr:colOff>
      <xdr:row>26</xdr:row>
      <xdr:rowOff>104775</xdr:rowOff>
    </xdr:from>
    <xdr:to>
      <xdr:col>3</xdr:col>
      <xdr:colOff>514350</xdr:colOff>
      <xdr:row>33</xdr:row>
      <xdr:rowOff>85725</xdr:rowOff>
    </xdr:to>
    <xdr:sp>
      <xdr:nvSpPr>
        <xdr:cNvPr id="5" name="Rectangles 4"/>
        <xdr:cNvSpPr/>
      </xdr:nvSpPr>
      <xdr:spPr>
        <a:xfrm>
          <a:off x="1724025" y="5581650"/>
          <a:ext cx="2686050" cy="1314450"/>
        </a:xfrm>
        <a:prstGeom prst="rect">
          <a:avLst/>
        </a:prstGeom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/>
            <a:t>220011.IB</a:t>
          </a:r>
          <a:r>
            <a:rPr lang="zh-CN" altLang="en-US" sz="1100"/>
            <a:t>剩余期限是</a:t>
          </a:r>
          <a:r>
            <a:rPr lang="en-US" altLang="zh-CN" sz="1100"/>
            <a:t>1.6</a:t>
          </a:r>
          <a:r>
            <a:rPr lang="zh-CN" altLang="en-US" sz="1100"/>
            <a:t>，</a:t>
          </a:r>
          <a:r>
            <a:rPr lang="en-US" altLang="zh-CN" sz="1100"/>
            <a:t> </a:t>
          </a:r>
          <a:r>
            <a:rPr lang="zh-CN" altLang="en-US" sz="1100"/>
            <a:t>选取剩余期限在</a:t>
          </a:r>
          <a:r>
            <a:rPr lang="en-US" altLang="zh-CN" sz="1100"/>
            <a:t>1</a:t>
          </a:r>
          <a:r>
            <a:rPr lang="zh-CN" altLang="en-US" sz="1100"/>
            <a:t>年到</a:t>
          </a:r>
          <a:r>
            <a:rPr lang="en-US" altLang="zh-CN" sz="1100"/>
            <a:t>2</a:t>
          </a:r>
          <a:r>
            <a:rPr lang="zh-CN" altLang="en-US" sz="1100"/>
            <a:t>年，流动性打分最高的债群的零息收益率。</a:t>
          </a:r>
          <a:endParaRPr lang="en-US" altLang="zh-CN" sz="1100"/>
        </a:p>
      </xdr:txBody>
    </xdr:sp>
    <xdr:clientData/>
  </xdr:twoCellAnchor>
  <xdr:twoCellAnchor>
    <xdr:from>
      <xdr:col>0</xdr:col>
      <xdr:colOff>695325</xdr:colOff>
      <xdr:row>24</xdr:row>
      <xdr:rowOff>28575</xdr:rowOff>
    </xdr:from>
    <xdr:to>
      <xdr:col>0</xdr:col>
      <xdr:colOff>1666875</xdr:colOff>
      <xdr:row>26</xdr:row>
      <xdr:rowOff>114300</xdr:rowOff>
    </xdr:to>
    <xdr:cxnSp>
      <xdr:nvCxnSpPr>
        <xdr:cNvPr id="6" name="Straight Arrow Connector 5"/>
        <xdr:cNvCxnSpPr/>
      </xdr:nvCxnSpPr>
      <xdr:spPr>
        <a:xfrm flipH="1" flipV="1">
          <a:off x="695325" y="5124450"/>
          <a:ext cx="971550" cy="466725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22</xdr:row>
      <xdr:rowOff>0</xdr:rowOff>
    </xdr:from>
    <xdr:to>
      <xdr:col>17</xdr:col>
      <xdr:colOff>428625</xdr:colOff>
      <xdr:row>47</xdr:row>
      <xdr:rowOff>133350</xdr:rowOff>
    </xdr:to>
    <xdr:pic>
      <xdr:nvPicPr>
        <xdr:cNvPr id="7" name="Picture 6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7019925" y="4714875"/>
          <a:ext cx="5257800" cy="4895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15</xdr:col>
      <xdr:colOff>66675</xdr:colOff>
      <xdr:row>99</xdr:row>
      <xdr:rowOff>180975</xdr:rowOff>
    </xdr:to>
    <xdr:pic>
      <xdr:nvPicPr>
        <xdr:cNvPr id="8" name="Picture 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0" y="13096875"/>
          <a:ext cx="11191875" cy="64674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15</xdr:col>
      <xdr:colOff>1400175</xdr:colOff>
      <xdr:row>84</xdr:row>
      <xdr:rowOff>19050</xdr:rowOff>
    </xdr:from>
    <xdr:to>
      <xdr:col>20</xdr:col>
      <xdr:colOff>1524000</xdr:colOff>
      <xdr:row>127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0612100" y="16802100"/>
          <a:ext cx="6076950" cy="8172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458470</xdr:colOff>
      <xdr:row>70</xdr:row>
      <xdr:rowOff>57150</xdr:rowOff>
    </xdr:from>
    <xdr:to>
      <xdr:col>15</xdr:col>
      <xdr:colOff>487045</xdr:colOff>
      <xdr:row>98</xdr:row>
      <xdr:rowOff>76200</xdr:rowOff>
    </xdr:to>
    <xdr:pic>
      <xdr:nvPicPr>
        <xdr:cNvPr id="3" name="Picture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1050270" y="14173200"/>
          <a:ext cx="8648700" cy="53530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635</xdr:colOff>
      <xdr:row>49</xdr:row>
      <xdr:rowOff>57150</xdr:rowOff>
    </xdr:from>
    <xdr:to>
      <xdr:col>7</xdr:col>
      <xdr:colOff>543560</xdr:colOff>
      <xdr:row>75</xdr:row>
      <xdr:rowOff>123825</xdr:rowOff>
    </xdr:to>
    <xdr:pic>
      <xdr:nvPicPr>
        <xdr:cNvPr id="4" name="Picture 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635" y="10172700"/>
          <a:ext cx="8220075" cy="50196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1057275</xdr:colOff>
      <xdr:row>62</xdr:row>
      <xdr:rowOff>38100</xdr:rowOff>
    </xdr:from>
    <xdr:to>
      <xdr:col>22</xdr:col>
      <xdr:colOff>962025</xdr:colOff>
      <xdr:row>101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0269200" y="12630150"/>
          <a:ext cx="8582025" cy="75342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95250</xdr:colOff>
      <xdr:row>31</xdr:row>
      <xdr:rowOff>123825</xdr:rowOff>
    </xdr:from>
    <xdr:to>
      <xdr:col>18</xdr:col>
      <xdr:colOff>581025</xdr:colOff>
      <xdr:row>58</xdr:row>
      <xdr:rowOff>133350</xdr:rowOff>
    </xdr:to>
    <xdr:pic>
      <xdr:nvPicPr>
        <xdr:cNvPr id="6" name="Picture 5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5144750" y="6753225"/>
          <a:ext cx="8439150" cy="52101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B34"/>
  <sheetViews>
    <sheetView tabSelected="1" workbookViewId="0">
      <selection activeCell="A1" sqref="$A1:$XFD24"/>
    </sheetView>
  </sheetViews>
  <sheetFormatPr defaultColWidth="9.14285714285714" defaultRowHeight="15"/>
  <cols>
    <col min="1" max="1" width="29.7142857142857" customWidth="1"/>
    <col min="2" max="2" width="15" customWidth="1"/>
    <col min="3" max="3" width="15.5714285714286" customWidth="1"/>
    <col min="4" max="4" width="12.5714285714286" customWidth="1"/>
    <col min="5" max="5" width="9.14285714285714" customWidth="1"/>
    <col min="6" max="7" width="12.5714285714286" customWidth="1"/>
    <col min="8" max="8" width="11.4285714285714" customWidth="1"/>
    <col min="9" max="9" width="15" customWidth="1"/>
    <col min="10" max="11" width="7.57142857142857" customWidth="1"/>
    <col min="12" max="12" width="9.14285714285714" customWidth="1"/>
    <col min="13" max="13" width="8.71428571428571" hidden="1" customWidth="1"/>
    <col min="14" max="14" width="12.7142857142857" customWidth="1"/>
    <col min="15" max="15" width="9.57142857142857" customWidth="1"/>
    <col min="16" max="16" width="10.8571428571429" customWidth="1"/>
    <col min="17" max="17" width="12.4285714285714" hidden="1" customWidth="1"/>
    <col min="18" max="18" width="20.1428571428571" customWidth="1"/>
    <col min="19" max="19" width="16.1428571428571" customWidth="1"/>
    <col min="20" max="21" width="14.8571428571429"/>
    <col min="22" max="22" width="16.5714285714286" customWidth="1"/>
    <col min="23" max="23" width="31.8571428571429" customWidth="1"/>
    <col min="24" max="24" width="30" customWidth="1"/>
    <col min="25" max="25" width="35" customWidth="1"/>
    <col min="26" max="26" width="16.7142857142857" customWidth="1"/>
    <col min="27" max="27" width="23" customWidth="1"/>
    <col min="28" max="28" width="12.5714285714286" hidden="1" customWidth="1"/>
  </cols>
  <sheetData>
    <row r="1" spans="1:2">
      <c r="A1" t="s">
        <v>0</v>
      </c>
      <c r="B1" s="72">
        <f>融出方向逐笔利润已实现!K2</f>
        <v>45722</v>
      </c>
    </row>
    <row r="2" ht="54.75" spans="1:28">
      <c r="A2" s="3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4</v>
      </c>
      <c r="G2" s="5" t="s">
        <v>6</v>
      </c>
      <c r="H2" s="38" t="s">
        <v>7</v>
      </c>
      <c r="I2" s="5" t="s">
        <v>8</v>
      </c>
      <c r="J2" s="5" t="s">
        <v>9</v>
      </c>
      <c r="K2" s="5" t="s">
        <v>10</v>
      </c>
      <c r="L2" s="5" t="s">
        <v>11</v>
      </c>
      <c r="M2" s="6" t="s">
        <v>12</v>
      </c>
      <c r="N2" s="5" t="s">
        <v>13</v>
      </c>
      <c r="O2" s="5" t="s">
        <v>14</v>
      </c>
      <c r="P2" s="5" t="s">
        <v>15</v>
      </c>
      <c r="Q2" s="87" t="s">
        <v>16</v>
      </c>
      <c r="R2" s="5" t="s">
        <v>17</v>
      </c>
      <c r="S2" s="87" t="s">
        <v>18</v>
      </c>
      <c r="T2" s="5" t="s">
        <v>19</v>
      </c>
      <c r="U2" s="87" t="s">
        <v>20</v>
      </c>
      <c r="V2" s="88" t="s">
        <v>21</v>
      </c>
      <c r="W2" s="88" t="s">
        <v>22</v>
      </c>
      <c r="X2" s="88" t="s">
        <v>23</v>
      </c>
      <c r="Y2" s="87" t="s">
        <v>24</v>
      </c>
      <c r="Z2" s="5" t="s">
        <v>25</v>
      </c>
      <c r="AA2" s="88" t="s">
        <v>26</v>
      </c>
      <c r="AB2" t="s">
        <v>27</v>
      </c>
    </row>
    <row r="3" spans="1:25">
      <c r="A3" s="8" t="s">
        <v>28</v>
      </c>
      <c r="B3" s="73"/>
      <c r="C3" s="73"/>
      <c r="D3" s="73"/>
      <c r="E3" s="73"/>
      <c r="F3" s="73"/>
      <c r="G3" s="73"/>
      <c r="H3" s="109"/>
      <c r="I3" s="73"/>
      <c r="J3" s="73"/>
      <c r="K3" s="73"/>
      <c r="L3" s="73"/>
      <c r="M3" s="82"/>
      <c r="N3" s="73"/>
      <c r="O3" s="73"/>
      <c r="P3" s="73"/>
      <c r="Q3" s="89"/>
      <c r="R3" s="73"/>
      <c r="S3" s="90"/>
      <c r="T3" s="90"/>
      <c r="U3" s="90"/>
      <c r="V3" s="91"/>
      <c r="W3" s="92"/>
      <c r="X3" s="92"/>
      <c r="Y3" s="92"/>
    </row>
    <row r="4" spans="1:28">
      <c r="A4" s="7">
        <v>1</v>
      </c>
      <c r="B4" s="9" t="s">
        <v>29</v>
      </c>
      <c r="C4" s="9" t="s">
        <v>30</v>
      </c>
      <c r="D4" s="9" t="s">
        <v>31</v>
      </c>
      <c r="E4" s="9">
        <v>100</v>
      </c>
      <c r="F4" s="9" t="s">
        <v>31</v>
      </c>
      <c r="G4" s="74">
        <f>2.24/100</f>
        <v>0.0224</v>
      </c>
      <c r="H4" s="110">
        <v>45212</v>
      </c>
      <c r="I4" s="83">
        <v>1.6164</v>
      </c>
      <c r="J4" s="9">
        <v>1.558</v>
      </c>
      <c r="K4" s="9">
        <v>3.9702</v>
      </c>
      <c r="L4" s="9">
        <v>1.57</v>
      </c>
      <c r="M4" s="10">
        <v>0.0219961191339953</v>
      </c>
      <c r="N4" s="12">
        <v>0.0155</v>
      </c>
      <c r="O4" s="9">
        <v>99.8372</v>
      </c>
      <c r="P4" s="9">
        <v>100.7001</v>
      </c>
      <c r="Q4" s="93" t="s">
        <v>32</v>
      </c>
      <c r="R4" s="39">
        <f>融出方向逐笔利润已实现!J2+融出方向逐笔利润已实现!J5+融出方向逐笔利润已实现!J8</f>
        <v>400000000</v>
      </c>
      <c r="S4" s="94">
        <f>SUM(R6)/R4</f>
        <v>1</v>
      </c>
      <c r="T4" s="95">
        <f>O4*R4/E4</f>
        <v>399348800</v>
      </c>
      <c r="U4" s="94">
        <f>SUM(T6)/T4</f>
        <v>0.992944513668252</v>
      </c>
      <c r="V4" s="96">
        <f>IF(SUM(T6)-T4&lt;0,SUM(T6)-T4,0)</f>
        <v>-2817600</v>
      </c>
      <c r="W4" s="97">
        <f>融出方向逐笔利润已实现!B13</f>
        <v>0.00811111111111111</v>
      </c>
      <c r="X4" s="97">
        <f>B20*J4</f>
        <v>0.000447146000000001</v>
      </c>
      <c r="Y4" s="97">
        <f>X4+B21/10000+B22</f>
        <v>0.000747146000000001</v>
      </c>
      <c r="Z4" s="32">
        <f>融出方向逐笔利润已实现!Q2+融出方向逐笔利润已实现!Q5+融出方向逐笔利润已实现!Q8</f>
        <v>17534.2465753425</v>
      </c>
      <c r="AA4" s="96">
        <f>IF(SUM(T6)+Z4-T4&lt;0,SUM(T6)+Z4-T4,0)</f>
        <v>-2800065.75342464</v>
      </c>
      <c r="AB4" s="32">
        <f>R4*G4/365</f>
        <v>24547.9452054795</v>
      </c>
    </row>
    <row r="5" spans="1:27">
      <c r="A5" s="8" t="s">
        <v>33</v>
      </c>
      <c r="B5" s="9"/>
      <c r="C5" s="9"/>
      <c r="D5" s="9"/>
      <c r="E5" s="9"/>
      <c r="F5" s="9"/>
      <c r="G5" s="74"/>
      <c r="H5" s="110"/>
      <c r="I5" s="83"/>
      <c r="J5" s="9"/>
      <c r="K5" s="9"/>
      <c r="L5" s="9"/>
      <c r="M5" s="10"/>
      <c r="N5" s="27"/>
      <c r="O5" s="9"/>
      <c r="P5" s="9"/>
      <c r="Q5" s="93"/>
      <c r="R5" s="39"/>
      <c r="S5" s="94" t="s">
        <v>34</v>
      </c>
      <c r="T5" s="95" t="s">
        <v>34</v>
      </c>
      <c r="U5" s="94"/>
      <c r="V5" s="40"/>
      <c r="W5" s="93"/>
      <c r="X5" s="93"/>
      <c r="Y5" s="93"/>
      <c r="Z5" s="32"/>
      <c r="AA5" s="96"/>
    </row>
    <row r="6" spans="1:27">
      <c r="A6" s="76" t="s">
        <v>35</v>
      </c>
      <c r="B6" s="77" t="s">
        <v>36</v>
      </c>
      <c r="C6" s="77" t="s">
        <v>37</v>
      </c>
      <c r="D6" s="77" t="s">
        <v>38</v>
      </c>
      <c r="E6" s="77">
        <v>100</v>
      </c>
      <c r="F6" s="77" t="s">
        <v>38</v>
      </c>
      <c r="G6" s="78">
        <f>2.7/100</f>
        <v>0.027</v>
      </c>
      <c r="H6" s="111">
        <v>45212</v>
      </c>
      <c r="I6" s="84">
        <v>1.6219</v>
      </c>
      <c r="J6" s="77">
        <v>1.555</v>
      </c>
      <c r="K6" s="77">
        <v>3.9578</v>
      </c>
      <c r="L6" s="77">
        <v>1.57</v>
      </c>
      <c r="M6" s="10">
        <v>0.021995</v>
      </c>
      <c r="N6" s="85">
        <v>0.0198</v>
      </c>
      <c r="O6" s="77">
        <v>99.1328</v>
      </c>
      <c r="P6" s="77">
        <v>100.1582</v>
      </c>
      <c r="Q6" s="93">
        <f>40.1701720858151</f>
        <v>40.1701720858151</v>
      </c>
      <c r="R6" s="98">
        <f>融出方向逐笔利润已实现!J3+融出方向逐笔利润已实现!J6+融出方向逐笔利润已实现!J9</f>
        <v>400000000</v>
      </c>
      <c r="S6" s="94" t="s">
        <v>39</v>
      </c>
      <c r="T6" s="95">
        <f t="shared" ref="T5:T11" si="0">O6*R6/E6</f>
        <v>396531200</v>
      </c>
      <c r="U6" s="94" t="s">
        <v>39</v>
      </c>
      <c r="V6" s="94" t="s">
        <v>39</v>
      </c>
      <c r="W6" s="93" t="s">
        <v>32</v>
      </c>
      <c r="X6" s="93"/>
      <c r="Y6" s="93"/>
      <c r="Z6" s="32"/>
      <c r="AA6" s="96"/>
    </row>
    <row r="7" spans="1:27">
      <c r="A7" s="8" t="s">
        <v>28</v>
      </c>
      <c r="B7" s="77"/>
      <c r="C7" s="77"/>
      <c r="D7" s="77"/>
      <c r="E7" s="77"/>
      <c r="F7" s="77"/>
      <c r="G7" s="78"/>
      <c r="H7" s="111"/>
      <c r="I7" s="86"/>
      <c r="J7" s="77"/>
      <c r="K7" s="77"/>
      <c r="L7" s="77"/>
      <c r="M7" s="10"/>
      <c r="N7" s="85"/>
      <c r="O7" s="77"/>
      <c r="P7" s="77"/>
      <c r="Q7" s="93"/>
      <c r="R7" s="98"/>
      <c r="S7" s="94" t="s">
        <v>34</v>
      </c>
      <c r="T7" s="95" t="s">
        <v>34</v>
      </c>
      <c r="U7" s="94"/>
      <c r="V7" s="40"/>
      <c r="W7" s="99"/>
      <c r="X7" s="99"/>
      <c r="Y7" s="99"/>
      <c r="Z7" s="32"/>
      <c r="AA7" s="96"/>
    </row>
    <row r="8" spans="1:27">
      <c r="A8" s="80">
        <v>2</v>
      </c>
      <c r="B8" s="77" t="s">
        <v>40</v>
      </c>
      <c r="C8" s="77" t="s">
        <v>41</v>
      </c>
      <c r="D8" s="77" t="s">
        <v>42</v>
      </c>
      <c r="E8" s="77">
        <v>100</v>
      </c>
      <c r="F8" s="77" t="s">
        <v>42</v>
      </c>
      <c r="G8" s="78">
        <f>2.22/100</f>
        <v>0.0222</v>
      </c>
      <c r="H8" s="111">
        <v>45212</v>
      </c>
      <c r="I8" s="86">
        <v>1.8685</v>
      </c>
      <c r="J8" s="77">
        <v>1.8023</v>
      </c>
      <c r="K8" s="77">
        <v>5.0276</v>
      </c>
      <c r="L8" s="77">
        <v>1.8</v>
      </c>
      <c r="M8" s="10">
        <v>0.0223791688323821</v>
      </c>
      <c r="N8" s="85">
        <v>0.0164</v>
      </c>
      <c r="O8" s="77">
        <v>99.5649</v>
      </c>
      <c r="P8" s="77">
        <v>99.8621</v>
      </c>
      <c r="Q8" s="93">
        <f>22.3182155334321</f>
        <v>22.3182155334321</v>
      </c>
      <c r="R8" s="98">
        <v>100000000</v>
      </c>
      <c r="S8" s="94">
        <f>SUM(R10:R11,)/R8</f>
        <v>4</v>
      </c>
      <c r="T8" s="95">
        <f t="shared" si="0"/>
        <v>99564900</v>
      </c>
      <c r="U8" s="94">
        <f>SUM(T10:T11)/T8</f>
        <v>4.01670267333167</v>
      </c>
      <c r="V8" s="100">
        <f>IF(SUM(T10:T11)-T8&lt;0,SUM(T10:T11)-T8,0)</f>
        <v>0</v>
      </c>
      <c r="W8" s="94">
        <v>0.0065</v>
      </c>
      <c r="X8" s="97">
        <f>J8*C20</f>
        <v>0.0012489939</v>
      </c>
      <c r="Y8" s="97">
        <f>X8+C22</f>
        <v>0.000748993900000005</v>
      </c>
      <c r="Z8" s="32">
        <f>R8*W8*1/365</f>
        <v>1780.82191780822</v>
      </c>
      <c r="AA8" s="96">
        <f>IF(SUM(T10)+Z8-T8&lt;0,SUM(T10)+Z8-T8,0)</f>
        <v>-38919.1780821979</v>
      </c>
    </row>
    <row r="9" spans="1:25">
      <c r="A9" s="8" t="s">
        <v>33</v>
      </c>
      <c r="B9" s="77"/>
      <c r="C9" s="77"/>
      <c r="D9" s="77"/>
      <c r="E9" s="77"/>
      <c r="F9" s="77"/>
      <c r="G9" s="78"/>
      <c r="H9" s="111"/>
      <c r="I9" s="86"/>
      <c r="J9" s="77"/>
      <c r="K9" s="77"/>
      <c r="L9" s="77"/>
      <c r="M9" s="10"/>
      <c r="N9" s="85"/>
      <c r="O9" s="77"/>
      <c r="P9" s="77"/>
      <c r="Q9" s="93"/>
      <c r="R9" s="98"/>
      <c r="S9" s="94"/>
      <c r="T9" s="95" t="s">
        <v>34</v>
      </c>
      <c r="U9" s="95"/>
      <c r="V9" s="40"/>
      <c r="W9" s="99"/>
      <c r="X9" s="99"/>
      <c r="Y9" s="99"/>
    </row>
    <row r="10" spans="1:25">
      <c r="A10" s="76" t="s">
        <v>43</v>
      </c>
      <c r="B10" s="9" t="s">
        <v>44</v>
      </c>
      <c r="C10" s="9" t="s">
        <v>45</v>
      </c>
      <c r="D10" s="9" t="s">
        <v>46</v>
      </c>
      <c r="E10" s="9">
        <v>100</v>
      </c>
      <c r="F10" s="9" t="s">
        <v>46</v>
      </c>
      <c r="G10" s="74">
        <f>2.47/100</f>
        <v>0.0247</v>
      </c>
      <c r="H10" s="110">
        <v>45212</v>
      </c>
      <c r="I10" s="83">
        <v>2.0192</v>
      </c>
      <c r="J10" s="9">
        <v>1.8982</v>
      </c>
      <c r="K10" s="9">
        <v>5.5606</v>
      </c>
      <c r="L10" s="9">
        <v>1.93</v>
      </c>
      <c r="M10" s="10">
        <v>0.021078742992534</v>
      </c>
      <c r="N10" s="27">
        <v>0.0197</v>
      </c>
      <c r="O10" s="9">
        <v>99.5242</v>
      </c>
      <c r="P10" s="9">
        <v>101.9469</v>
      </c>
      <c r="Q10" s="93">
        <f>46.0494069591174</f>
        <v>46.0494069591174</v>
      </c>
      <c r="R10" s="39">
        <v>100000000</v>
      </c>
      <c r="S10" s="94" t="s">
        <v>39</v>
      </c>
      <c r="T10" s="95">
        <f t="shared" si="0"/>
        <v>99524200</v>
      </c>
      <c r="U10" s="94" t="s">
        <v>39</v>
      </c>
      <c r="V10" s="94" t="s">
        <v>39</v>
      </c>
      <c r="W10" s="93" t="s">
        <v>32</v>
      </c>
      <c r="X10" s="93"/>
      <c r="Y10" s="93"/>
    </row>
    <row r="11" spans="1:25">
      <c r="A11" s="81" t="s">
        <v>47</v>
      </c>
      <c r="B11" s="77" t="s">
        <v>36</v>
      </c>
      <c r="C11" s="77" t="s">
        <v>37</v>
      </c>
      <c r="D11" s="77" t="s">
        <v>38</v>
      </c>
      <c r="E11" s="77">
        <v>100</v>
      </c>
      <c r="F11" s="77" t="s">
        <v>38</v>
      </c>
      <c r="G11" s="78">
        <f>2.7/100</f>
        <v>0.027</v>
      </c>
      <c r="H11" s="111">
        <v>45212</v>
      </c>
      <c r="I11" s="84">
        <v>1.6219</v>
      </c>
      <c r="J11" s="77">
        <v>1.555</v>
      </c>
      <c r="K11" s="77">
        <v>3.9578</v>
      </c>
      <c r="L11" s="77">
        <v>1.57</v>
      </c>
      <c r="M11" s="10">
        <v>0.021995</v>
      </c>
      <c r="N11" s="85">
        <f>N6</f>
        <v>0.0198</v>
      </c>
      <c r="O11" s="77">
        <v>100.1328</v>
      </c>
      <c r="P11" s="77">
        <v>101.1582</v>
      </c>
      <c r="Q11" s="93">
        <f>40.1701720858151</f>
        <v>40.1701720858151</v>
      </c>
      <c r="R11" s="98">
        <v>300000000</v>
      </c>
      <c r="S11" s="94" t="s">
        <v>39</v>
      </c>
      <c r="T11" s="95">
        <f t="shared" si="0"/>
        <v>300398400</v>
      </c>
      <c r="U11" s="94" t="s">
        <v>39</v>
      </c>
      <c r="V11" s="94" t="s">
        <v>39</v>
      </c>
      <c r="W11" s="93" t="s">
        <v>32</v>
      </c>
      <c r="X11" s="93"/>
      <c r="Y11" s="93"/>
    </row>
    <row r="17" spans="1:3">
      <c r="A17" t="s">
        <v>48</v>
      </c>
      <c r="C17" t="s">
        <v>49</v>
      </c>
    </row>
    <row r="18" spans="1:3">
      <c r="A18" t="s">
        <v>50</v>
      </c>
      <c r="B18" s="34">
        <v>0.014411</v>
      </c>
      <c r="C18" s="34">
        <v>0.015938</v>
      </c>
    </row>
    <row r="19" spans="1:3">
      <c r="A19" t="s">
        <v>51</v>
      </c>
      <c r="B19" s="34">
        <v>0.014124</v>
      </c>
      <c r="C19" s="34">
        <v>0.015245</v>
      </c>
    </row>
    <row r="20" spans="1:3">
      <c r="A20" t="s">
        <v>52</v>
      </c>
      <c r="B20" s="34">
        <f>B18-B19</f>
        <v>0.000287000000000001</v>
      </c>
      <c r="C20" s="34">
        <f>C18-C19</f>
        <v>0.000693000000000001</v>
      </c>
    </row>
    <row r="21" spans="1:2">
      <c r="A21" t="s">
        <v>53</v>
      </c>
      <c r="B21">
        <v>0</v>
      </c>
    </row>
    <row r="22" spans="1:3">
      <c r="A22" t="s">
        <v>54</v>
      </c>
      <c r="B22" s="34">
        <f>N4-B24</f>
        <v>0.0003</v>
      </c>
      <c r="C22" s="34">
        <f>N8-C24</f>
        <v>-0.000499999999999997</v>
      </c>
    </row>
    <row r="23" spans="3:3">
      <c r="C23" t="s">
        <v>55</v>
      </c>
    </row>
    <row r="24" spans="1:3">
      <c r="A24" t="s">
        <v>56</v>
      </c>
      <c r="B24" s="34">
        <v>0.0152</v>
      </c>
      <c r="C24" s="34">
        <v>0.0169</v>
      </c>
    </row>
    <row r="34" spans="22:22">
      <c r="V34" t="s">
        <v>57</v>
      </c>
    </row>
  </sheetData>
  <pageMargins left="0.75" right="0.75" top="1" bottom="1" header="0.5" footer="0.5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21"/>
  <sheetViews>
    <sheetView topLeftCell="G1" workbookViewId="0">
      <selection activeCell="K21" sqref="K21"/>
    </sheetView>
  </sheetViews>
  <sheetFormatPr defaultColWidth="9.14285714285714" defaultRowHeight="15"/>
  <cols>
    <col min="1" max="1" width="33.7142857142857" customWidth="1"/>
    <col min="2" max="2" width="24.4285714285714" customWidth="1"/>
    <col min="3" max="3" width="8.42857142857143" customWidth="1"/>
    <col min="4" max="4" width="13.1428571428571" customWidth="1"/>
    <col min="5" max="5" width="15.5714285714286" customWidth="1"/>
    <col min="6" max="7" width="16.1428571428571" customWidth="1"/>
    <col min="8" max="8" width="12.5714285714286" customWidth="1"/>
    <col min="9" max="9" width="25.5714285714286" customWidth="1"/>
    <col min="10" max="10" width="23.2857142857143" customWidth="1"/>
    <col min="11" max="11" width="16.8571428571429" customWidth="1"/>
    <col min="12" max="13" width="26.2857142857143" hidden="1" customWidth="1"/>
    <col min="14" max="14" width="13.4285714285714" customWidth="1"/>
    <col min="15" max="15" width="26.2857142857143" hidden="1" customWidth="1"/>
    <col min="16" max="16" width="23.7142857142857" hidden="1" customWidth="1"/>
    <col min="17" max="17" width="21.5714285714286" customWidth="1"/>
    <col min="18" max="18" width="16" customWidth="1"/>
    <col min="19" max="19" width="10.1428571428571" hidden="1" customWidth="1"/>
  </cols>
  <sheetData>
    <row r="1" ht="15.75" spans="1:34">
      <c r="A1" s="3" t="s">
        <v>1</v>
      </c>
      <c r="B1" s="4" t="s">
        <v>58</v>
      </c>
      <c r="C1" s="4" t="s">
        <v>59</v>
      </c>
      <c r="D1" s="5" t="s">
        <v>2</v>
      </c>
      <c r="E1" s="5" t="s">
        <v>3</v>
      </c>
      <c r="F1" s="5" t="s">
        <v>60</v>
      </c>
      <c r="G1" s="5" t="s">
        <v>61</v>
      </c>
      <c r="H1" s="5" t="s">
        <v>62</v>
      </c>
      <c r="I1" s="6" t="s">
        <v>63</v>
      </c>
      <c r="J1" s="5" t="s">
        <v>64</v>
      </c>
      <c r="K1" s="5" t="s">
        <v>65</v>
      </c>
      <c r="L1" s="5" t="s">
        <v>66</v>
      </c>
      <c r="M1" s="5" t="s">
        <v>67</v>
      </c>
      <c r="N1" s="5" t="s">
        <v>68</v>
      </c>
      <c r="O1" s="5" t="s">
        <v>66</v>
      </c>
      <c r="P1" s="5" t="s">
        <v>67</v>
      </c>
      <c r="Q1" s="5" t="s">
        <v>69</v>
      </c>
      <c r="R1" s="5" t="s">
        <v>70</v>
      </c>
      <c r="S1" t="s">
        <v>71</v>
      </c>
      <c r="AG1" s="10" t="s">
        <v>72</v>
      </c>
      <c r="AH1">
        <v>1</v>
      </c>
    </row>
    <row r="2" ht="16.5" spans="1:34">
      <c r="A2" s="7" t="s">
        <v>73</v>
      </c>
      <c r="B2" s="8" t="s">
        <v>74</v>
      </c>
      <c r="C2" s="8" t="s">
        <v>75</v>
      </c>
      <c r="D2" s="9" t="s">
        <v>29</v>
      </c>
      <c r="E2" s="9" t="s">
        <v>76</v>
      </c>
      <c r="F2" s="5" t="s">
        <v>72</v>
      </c>
      <c r="G2" s="5">
        <v>1</v>
      </c>
      <c r="H2" s="12">
        <v>0.0078</v>
      </c>
      <c r="I2" s="6">
        <v>0.0001</v>
      </c>
      <c r="J2" s="39">
        <v>100000000</v>
      </c>
      <c r="K2" s="40">
        <v>45722</v>
      </c>
      <c r="L2" s="41">
        <v>0.0216</v>
      </c>
      <c r="M2" s="106">
        <v>100.0092</v>
      </c>
      <c r="N2" s="40">
        <f>K2+G2</f>
        <v>45723</v>
      </c>
      <c r="O2" s="41">
        <v>0.021594</v>
      </c>
      <c r="P2" s="106">
        <v>100.0092</v>
      </c>
      <c r="Q2" s="26">
        <f>J2*H2*G2/365</f>
        <v>2136.98630136986</v>
      </c>
      <c r="R2" s="26">
        <v>6136.9863</v>
      </c>
      <c r="S2" s="25">
        <f>(O2-L2)*100</f>
        <v>-0.000600000000000253</v>
      </c>
      <c r="AG2" s="10" t="s">
        <v>77</v>
      </c>
      <c r="AH2">
        <v>14</v>
      </c>
    </row>
    <row r="3" ht="16.5" spans="1:34">
      <c r="A3" s="76" t="s">
        <v>78</v>
      </c>
      <c r="B3" s="102"/>
      <c r="C3" s="102"/>
      <c r="D3" s="77" t="s">
        <v>36</v>
      </c>
      <c r="E3" s="77" t="s">
        <v>37</v>
      </c>
      <c r="F3" s="5"/>
      <c r="G3" s="5"/>
      <c r="H3" s="85" t="s">
        <v>34</v>
      </c>
      <c r="I3" s="6"/>
      <c r="J3" s="39">
        <v>100000000</v>
      </c>
      <c r="K3" s="77" t="s">
        <v>34</v>
      </c>
      <c r="L3" s="107"/>
      <c r="M3" s="107"/>
      <c r="AG3" s="10" t="s">
        <v>79</v>
      </c>
      <c r="AH3">
        <v>30</v>
      </c>
    </row>
    <row r="4" ht="16.5" spans="1:34">
      <c r="A4" s="103"/>
      <c r="B4" s="103"/>
      <c r="C4" s="103"/>
      <c r="D4" s="103"/>
      <c r="E4" s="103"/>
      <c r="F4" s="5"/>
      <c r="G4" s="5"/>
      <c r="H4" s="103"/>
      <c r="I4" s="6"/>
      <c r="J4" s="103"/>
      <c r="K4" s="103"/>
      <c r="L4" s="103"/>
      <c r="M4" s="103"/>
      <c r="N4" s="103"/>
      <c r="O4" s="103"/>
      <c r="P4" s="103"/>
      <c r="Q4" s="103"/>
      <c r="R4" s="103"/>
      <c r="AG4" s="10" t="s">
        <v>80</v>
      </c>
      <c r="AH4">
        <v>60</v>
      </c>
    </row>
    <row r="5" ht="16.5" spans="1:34">
      <c r="A5" s="7" t="s">
        <v>81</v>
      </c>
      <c r="B5" s="8" t="s">
        <v>74</v>
      </c>
      <c r="C5" s="8" t="s">
        <v>82</v>
      </c>
      <c r="D5" s="9" t="s">
        <v>29</v>
      </c>
      <c r="E5" s="9" t="s">
        <v>76</v>
      </c>
      <c r="F5" s="5" t="s">
        <v>83</v>
      </c>
      <c r="G5" s="5">
        <v>5</v>
      </c>
      <c r="H5" s="12">
        <v>0.0082</v>
      </c>
      <c r="I5" s="6">
        <v>0.0005</v>
      </c>
      <c r="J5" s="39">
        <v>100000000</v>
      </c>
      <c r="K5" s="40">
        <v>45722</v>
      </c>
      <c r="L5" s="40"/>
      <c r="M5" s="40"/>
      <c r="N5" s="40">
        <f>K5+G5</f>
        <v>45727</v>
      </c>
      <c r="O5" s="108"/>
      <c r="P5" s="108"/>
      <c r="Q5" s="26">
        <f>J5*H5*G5/365</f>
        <v>11232.8767123288</v>
      </c>
      <c r="R5" s="26">
        <v>30684.9315</v>
      </c>
      <c r="AG5" s="10" t="s">
        <v>84</v>
      </c>
      <c r="AH5">
        <v>120</v>
      </c>
    </row>
    <row r="6" ht="16.5" spans="1:34">
      <c r="A6" s="76" t="s">
        <v>85</v>
      </c>
      <c r="B6" s="102"/>
      <c r="C6" s="102"/>
      <c r="D6" s="77" t="s">
        <v>36</v>
      </c>
      <c r="E6" s="77" t="s">
        <v>37</v>
      </c>
      <c r="F6" s="5"/>
      <c r="G6" s="5"/>
      <c r="H6" s="85" t="s">
        <v>34</v>
      </c>
      <c r="I6" s="6"/>
      <c r="J6" s="39">
        <v>100000000</v>
      </c>
      <c r="K6" s="77" t="s">
        <v>34</v>
      </c>
      <c r="L6" s="107"/>
      <c r="M6" s="107"/>
      <c r="AG6" s="10" t="s">
        <v>86</v>
      </c>
      <c r="AH6">
        <v>365</v>
      </c>
    </row>
    <row r="7" ht="16.5" spans="1:33">
      <c r="A7" s="103"/>
      <c r="B7" s="103" t="s">
        <v>34</v>
      </c>
      <c r="C7" s="103" t="s">
        <v>34</v>
      </c>
      <c r="D7" s="103"/>
      <c r="E7" s="103"/>
      <c r="F7" s="5"/>
      <c r="G7" s="5"/>
      <c r="H7" s="103"/>
      <c r="I7" s="6"/>
      <c r="J7" s="103"/>
      <c r="K7" s="103"/>
      <c r="L7" s="103"/>
      <c r="M7" s="103"/>
      <c r="N7" s="103"/>
      <c r="O7" s="103"/>
      <c r="P7" s="103"/>
      <c r="Q7" s="103"/>
      <c r="R7" s="103"/>
      <c r="AG7" s="10"/>
    </row>
    <row r="8" ht="16.5" spans="1:33">
      <c r="A8" s="7" t="s">
        <v>87</v>
      </c>
      <c r="B8" s="8" t="s">
        <v>74</v>
      </c>
      <c r="C8" s="8" t="s">
        <v>88</v>
      </c>
      <c r="D8" s="9" t="s">
        <v>29</v>
      </c>
      <c r="E8" s="9" t="s">
        <v>76</v>
      </c>
      <c r="F8" s="5" t="s">
        <v>72</v>
      </c>
      <c r="G8" s="5">
        <v>1</v>
      </c>
      <c r="H8" s="12">
        <v>0.0076</v>
      </c>
      <c r="I8" s="6">
        <v>0.0001</v>
      </c>
      <c r="J8" s="39">
        <v>200000000</v>
      </c>
      <c r="K8" s="40">
        <v>45722</v>
      </c>
      <c r="L8" s="40"/>
      <c r="M8" s="40"/>
      <c r="N8" s="40">
        <f>K8+G8</f>
        <v>45723</v>
      </c>
      <c r="O8" s="108"/>
      <c r="P8" s="108"/>
      <c r="Q8" s="26">
        <f>J8*H8*G8/365</f>
        <v>4164.38356164384</v>
      </c>
      <c r="R8" s="26">
        <f>6136.9863*2</f>
        <v>12273.9726</v>
      </c>
      <c r="AG8" s="10"/>
    </row>
    <row r="9" ht="16.5" spans="1:33">
      <c r="A9" s="76" t="s">
        <v>89</v>
      </c>
      <c r="B9" s="102"/>
      <c r="C9" s="102"/>
      <c r="D9" s="77" t="s">
        <v>36</v>
      </c>
      <c r="E9" s="77" t="s">
        <v>37</v>
      </c>
      <c r="F9" s="5"/>
      <c r="G9" s="5"/>
      <c r="H9" s="85" t="s">
        <v>34</v>
      </c>
      <c r="I9" s="85"/>
      <c r="J9" s="39">
        <v>200000000</v>
      </c>
      <c r="K9" s="77" t="s">
        <v>34</v>
      </c>
      <c r="L9" s="107"/>
      <c r="M9" s="107"/>
      <c r="AG9" s="10"/>
    </row>
    <row r="10" ht="15.75" spans="33:33">
      <c r="AG10" s="10"/>
    </row>
    <row r="11" spans="1:33">
      <c r="A11" t="str">
        <f>D2</f>
        <v>220011.IB</v>
      </c>
      <c r="AG11" s="10"/>
    </row>
    <row r="12" ht="28.5" spans="1:33">
      <c r="A12" s="104" t="s">
        <v>90</v>
      </c>
      <c r="B12" s="25">
        <f>(H2*J2+H8*J8)/(J2+J8)</f>
        <v>0.00766666666666667</v>
      </c>
      <c r="AG12" s="10"/>
    </row>
    <row r="13" ht="27" spans="1:2">
      <c r="A13" s="104" t="s">
        <v>91</v>
      </c>
      <c r="B13" s="25">
        <f>(G2*B12+G5*H5)/(G2+G5)</f>
        <v>0.00811111111111111</v>
      </c>
    </row>
    <row r="14" spans="1:2">
      <c r="A14" t="s">
        <v>92</v>
      </c>
      <c r="B14" s="32">
        <f>SUM(Q2:Q8)</f>
        <v>17534.2465753425</v>
      </c>
    </row>
    <row r="15" spans="1:2">
      <c r="A15" t="s">
        <v>93</v>
      </c>
      <c r="B15" s="28">
        <f>G5</f>
        <v>5</v>
      </c>
    </row>
    <row r="16" spans="1:2">
      <c r="A16" t="s">
        <v>94</v>
      </c>
      <c r="B16" s="105">
        <f>B14*5/365/SUM(J3,J5,J8)</f>
        <v>6.00487896415838e-7</v>
      </c>
    </row>
    <row r="19" spans="6:6">
      <c r="F19" t="s">
        <v>95</v>
      </c>
    </row>
    <row r="20" spans="2:2">
      <c r="B20" t="s">
        <v>34</v>
      </c>
    </row>
    <row r="21" spans="2:2">
      <c r="B21" t="s">
        <v>34</v>
      </c>
    </row>
  </sheetData>
  <dataValidations count="1">
    <dataValidation type="list" allowBlank="1" showInputMessage="1" showErrorMessage="1" sqref="F2 F5 F8">
      <formula1>$AG$1:$AG$7</formula1>
    </dataValidation>
  </dataValidation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E34"/>
  <sheetViews>
    <sheetView topLeftCell="R1" workbookViewId="0">
      <selection activeCell="W21" sqref="W21"/>
    </sheetView>
  </sheetViews>
  <sheetFormatPr defaultColWidth="9.14285714285714" defaultRowHeight="15"/>
  <cols>
    <col min="1" max="1" width="29.7142857142857" customWidth="1"/>
    <col min="2" max="2" width="13.1428571428571" customWidth="1"/>
    <col min="3" max="3" width="15.5714285714286" customWidth="1"/>
    <col min="4" max="4" width="12.5714285714286" customWidth="1"/>
    <col min="5" max="5" width="9.14285714285714" customWidth="1"/>
    <col min="6" max="7" width="12.5714285714286" customWidth="1"/>
    <col min="8" max="8" width="11.4285714285714" hidden="1" customWidth="1"/>
    <col min="9" max="9" width="15" customWidth="1"/>
    <col min="10" max="11" width="7.57142857142857" customWidth="1"/>
    <col min="12" max="12" width="9.14285714285714" customWidth="1"/>
    <col min="13" max="13" width="8.71428571428571" hidden="1" customWidth="1"/>
    <col min="14" max="14" width="12.7142857142857" customWidth="1"/>
    <col min="15" max="15" width="9.57142857142857" customWidth="1"/>
    <col min="16" max="16" width="10.8571428571429" customWidth="1"/>
    <col min="17" max="17" width="12.4285714285714" hidden="1" customWidth="1"/>
    <col min="18" max="18" width="20.1428571428571" customWidth="1"/>
    <col min="19" max="19" width="16.1428571428571" customWidth="1"/>
    <col min="20" max="21" width="14.8571428571429"/>
    <col min="22" max="22" width="16.5714285714286" customWidth="1"/>
    <col min="23" max="23" width="31.8571428571429" customWidth="1"/>
    <col min="24" max="24" width="30" customWidth="1"/>
    <col min="25" max="25" width="35" customWidth="1"/>
    <col min="26" max="26" width="16.7142857142857" customWidth="1"/>
    <col min="27" max="27" width="23" customWidth="1"/>
    <col min="28" max="28" width="12.5714285714286" hidden="1" customWidth="1"/>
    <col min="29" max="29" width="12.5714285714286" customWidth="1"/>
    <col min="30" max="30" width="11.8571428571429" customWidth="1"/>
    <col min="31" max="31" width="21.4285714285714" customWidth="1"/>
  </cols>
  <sheetData>
    <row r="1" ht="15.75" spans="1:5">
      <c r="A1" t="s">
        <v>0</v>
      </c>
      <c r="B1" s="72">
        <f>'融入方向逐笔利润已实现-做空-借短买长'!J2+1</f>
        <v>45723</v>
      </c>
      <c r="D1" t="s">
        <v>34</v>
      </c>
      <c r="E1" s="72" t="s">
        <v>34</v>
      </c>
    </row>
    <row r="2" ht="54.75" spans="1:31">
      <c r="A2" s="3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4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5" t="s">
        <v>11</v>
      </c>
      <c r="M2" s="6" t="s">
        <v>12</v>
      </c>
      <c r="N2" s="5" t="s">
        <v>13</v>
      </c>
      <c r="O2" s="5" t="s">
        <v>14</v>
      </c>
      <c r="P2" s="5" t="s">
        <v>15</v>
      </c>
      <c r="Q2" s="87" t="s">
        <v>16</v>
      </c>
      <c r="R2" s="5" t="s">
        <v>96</v>
      </c>
      <c r="S2" s="87" t="s">
        <v>18</v>
      </c>
      <c r="T2" s="5" t="s">
        <v>19</v>
      </c>
      <c r="U2" s="87" t="s">
        <v>20</v>
      </c>
      <c r="V2" s="88" t="s">
        <v>21</v>
      </c>
      <c r="W2" s="88" t="s">
        <v>22</v>
      </c>
      <c r="X2" s="88" t="s">
        <v>23</v>
      </c>
      <c r="Y2" s="87" t="s">
        <v>24</v>
      </c>
      <c r="Z2" s="5" t="s">
        <v>69</v>
      </c>
      <c r="AA2" s="88" t="s">
        <v>26</v>
      </c>
      <c r="AB2" t="s">
        <v>27</v>
      </c>
      <c r="AC2" t="s">
        <v>71</v>
      </c>
      <c r="AD2" t="s">
        <v>97</v>
      </c>
      <c r="AE2" t="s">
        <v>98</v>
      </c>
    </row>
    <row r="3" ht="15.75" spans="1:25">
      <c r="A3" s="8" t="s">
        <v>28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82"/>
      <c r="N3" s="73"/>
      <c r="O3" s="73"/>
      <c r="P3" s="73"/>
      <c r="Q3" s="89"/>
      <c r="R3" s="73"/>
      <c r="S3" s="90"/>
      <c r="T3" s="90"/>
      <c r="U3" s="90"/>
      <c r="V3" s="91"/>
      <c r="W3" s="92"/>
      <c r="X3" s="92"/>
      <c r="Y3" s="92"/>
    </row>
    <row r="4" spans="1:31">
      <c r="A4" s="7">
        <v>1</v>
      </c>
      <c r="B4" s="9" t="s">
        <v>29</v>
      </c>
      <c r="C4" s="9" t="s">
        <v>30</v>
      </c>
      <c r="D4" s="9" t="s">
        <v>31</v>
      </c>
      <c r="E4" s="9">
        <v>100</v>
      </c>
      <c r="F4" s="9" t="s">
        <v>31</v>
      </c>
      <c r="G4" s="74">
        <f>2.24/100</f>
        <v>0.0224</v>
      </c>
      <c r="H4" s="75">
        <v>45212</v>
      </c>
      <c r="I4" s="83">
        <v>1.6164</v>
      </c>
      <c r="J4" s="9">
        <v>1.558</v>
      </c>
      <c r="K4" s="9">
        <v>3.9702</v>
      </c>
      <c r="L4" s="9">
        <v>1.57</v>
      </c>
      <c r="M4" s="10">
        <v>0.0219961191339953</v>
      </c>
      <c r="N4" s="12">
        <v>0.0155</v>
      </c>
      <c r="O4" s="9">
        <v>99.8372</v>
      </c>
      <c r="P4" s="9">
        <v>100.7001</v>
      </c>
      <c r="Q4" s="93" t="s">
        <v>32</v>
      </c>
      <c r="R4" s="39">
        <f>'融入方向逐笔利润已实现-做空-借短买长'!I2+'融入方向逐笔利润已实现-做空-借短买长'!I3+'融入方向逐笔利润已实现-做空-借短买长'!I4</f>
        <v>400000000</v>
      </c>
      <c r="S4" s="94">
        <f>SUM(R6)/R4</f>
        <v>1</v>
      </c>
      <c r="T4" s="95">
        <f>O4*R4/E4</f>
        <v>399348800</v>
      </c>
      <c r="U4" s="94">
        <f>SUM(T6)/T4</f>
        <v>0.992944513668252</v>
      </c>
      <c r="V4" s="96">
        <f>IF(SUM(T6)-T4&lt;0,SUM(T6)-T4,0)</f>
        <v>-2817600</v>
      </c>
      <c r="W4" s="97">
        <f>'融入方向逐笔利润已实现-做空-借短买长'!B17</f>
        <v>0.00783888888888889</v>
      </c>
      <c r="X4" s="97">
        <f>B20*J4</f>
        <v>0.000447146000000001</v>
      </c>
      <c r="Y4" s="97">
        <f>X4+B21/10000+B22</f>
        <v>0.000747146000000001</v>
      </c>
      <c r="Z4" s="32">
        <f>'融入方向逐笔利润已实现-做空-借短买长'!P2+'融入方向逐笔利润已实现-做空-借短买长'!P3+'融入方向逐笔利润已实现-做空-借短买长'!P4</f>
        <v>17013.698630137</v>
      </c>
      <c r="AA4" s="96">
        <f>IF(SUM(T6)+Z4-T4&lt;0,SUM(T6)+Z4-T4,0)</f>
        <v>-2800586.30136985</v>
      </c>
      <c r="AB4" s="32">
        <f>R4*G4/365</f>
        <v>24547.9452054795</v>
      </c>
      <c r="AC4" s="97">
        <f>N4-'融入方向逐笔利润已实现-做空-借短买长'!H17</f>
        <v>0.000550999999999999</v>
      </c>
      <c r="AD4" s="28">
        <f>R4*J4*(N4-'融入方向逐笔利润已实现-做空-借短买长'!H17)</f>
        <v>343383.2</v>
      </c>
      <c r="AE4" s="101">
        <f>AD4-Z4</f>
        <v>326369.501369863</v>
      </c>
    </row>
    <row r="5" spans="1:31">
      <c r="A5" s="8" t="s">
        <v>33</v>
      </c>
      <c r="B5" s="9"/>
      <c r="C5" s="9"/>
      <c r="D5" s="9"/>
      <c r="E5" s="9"/>
      <c r="F5" s="9"/>
      <c r="G5" s="74"/>
      <c r="H5" s="75"/>
      <c r="I5" s="83"/>
      <c r="J5" s="9"/>
      <c r="K5" s="9"/>
      <c r="L5" s="9"/>
      <c r="M5" s="10"/>
      <c r="N5" s="27"/>
      <c r="O5" s="9"/>
      <c r="P5" s="9"/>
      <c r="Q5" s="93"/>
      <c r="R5" s="39"/>
      <c r="S5" s="94" t="s">
        <v>34</v>
      </c>
      <c r="T5" s="95" t="s">
        <v>34</v>
      </c>
      <c r="U5" s="94"/>
      <c r="V5" s="40"/>
      <c r="W5" s="93"/>
      <c r="X5" s="93"/>
      <c r="Y5" s="93"/>
      <c r="Z5" s="32"/>
      <c r="AA5" s="96"/>
      <c r="AD5" s="28"/>
      <c r="AE5" s="28" t="s">
        <v>34</v>
      </c>
    </row>
    <row r="6" spans="1:31">
      <c r="A6" s="76" t="s">
        <v>35</v>
      </c>
      <c r="B6" s="77" t="s">
        <v>36</v>
      </c>
      <c r="C6" s="77" t="s">
        <v>37</v>
      </c>
      <c r="D6" s="77" t="s">
        <v>38</v>
      </c>
      <c r="E6" s="77">
        <v>100</v>
      </c>
      <c r="F6" s="77" t="s">
        <v>38</v>
      </c>
      <c r="G6" s="78">
        <f>2.7/100</f>
        <v>0.027</v>
      </c>
      <c r="H6" s="79">
        <v>45212</v>
      </c>
      <c r="I6" s="84">
        <v>1.6219</v>
      </c>
      <c r="J6" s="77">
        <v>1.555</v>
      </c>
      <c r="K6" s="77">
        <v>3.9578</v>
      </c>
      <c r="L6" s="77">
        <v>1.57</v>
      </c>
      <c r="M6" s="10">
        <v>0.021995</v>
      </c>
      <c r="N6" s="85">
        <v>0.0198</v>
      </c>
      <c r="O6" s="77">
        <v>99.1328</v>
      </c>
      <c r="P6" s="77">
        <v>100.1582</v>
      </c>
      <c r="Q6" s="93">
        <f>40.1701720858151</f>
        <v>40.1701720858151</v>
      </c>
      <c r="R6" s="98">
        <f>融出方向逐笔利润已实现!J3+融出方向逐笔利润已实现!J6+融出方向逐笔利润已实现!J9</f>
        <v>400000000</v>
      </c>
      <c r="S6" s="94" t="s">
        <v>39</v>
      </c>
      <c r="T6" s="95">
        <f t="shared" ref="T4:T8" si="0">O6*R6/E6</f>
        <v>396531200</v>
      </c>
      <c r="U6" s="94" t="s">
        <v>39</v>
      </c>
      <c r="V6" s="94" t="s">
        <v>39</v>
      </c>
      <c r="W6" s="93" t="s">
        <v>32</v>
      </c>
      <c r="X6" s="93"/>
      <c r="Y6" s="93"/>
      <c r="Z6" s="32"/>
      <c r="AA6" s="96"/>
      <c r="AD6" s="28"/>
      <c r="AE6" s="28" t="s">
        <v>34</v>
      </c>
    </row>
    <row r="7" spans="1:31">
      <c r="A7" s="8" t="s">
        <v>28</v>
      </c>
      <c r="B7" s="77"/>
      <c r="C7" s="77"/>
      <c r="D7" s="77"/>
      <c r="E7" s="77"/>
      <c r="F7" s="77"/>
      <c r="G7" s="78"/>
      <c r="H7" s="79"/>
      <c r="I7" s="86"/>
      <c r="J7" s="77"/>
      <c r="K7" s="77"/>
      <c r="L7" s="77"/>
      <c r="M7" s="10"/>
      <c r="N7" s="85"/>
      <c r="O7" s="77"/>
      <c r="P7" s="77"/>
      <c r="Q7" s="93"/>
      <c r="R7" s="98"/>
      <c r="S7" s="94" t="s">
        <v>34</v>
      </c>
      <c r="T7" s="95" t="s">
        <v>34</v>
      </c>
      <c r="U7" s="94"/>
      <c r="V7" s="40"/>
      <c r="W7" s="99"/>
      <c r="X7" s="99"/>
      <c r="Y7" s="99"/>
      <c r="Z7" s="32"/>
      <c r="AA7" s="96"/>
      <c r="AD7" s="28"/>
      <c r="AE7" s="28" t="s">
        <v>34</v>
      </c>
    </row>
    <row r="8" spans="1:31">
      <c r="A8" s="80">
        <v>2</v>
      </c>
      <c r="B8" s="77" t="s">
        <v>40</v>
      </c>
      <c r="C8" s="77" t="s">
        <v>41</v>
      </c>
      <c r="D8" s="77" t="s">
        <v>42</v>
      </c>
      <c r="E8" s="77">
        <v>100</v>
      </c>
      <c r="F8" s="77" t="s">
        <v>42</v>
      </c>
      <c r="G8" s="78">
        <f>2.22/100</f>
        <v>0.0222</v>
      </c>
      <c r="H8" s="79">
        <v>45212</v>
      </c>
      <c r="I8" s="86">
        <v>1.8685</v>
      </c>
      <c r="J8" s="77">
        <v>1.8023</v>
      </c>
      <c r="K8" s="77">
        <v>5.0276</v>
      </c>
      <c r="L8" s="77">
        <v>1.8</v>
      </c>
      <c r="M8" s="10">
        <v>0.0223791688323821</v>
      </c>
      <c r="N8" s="85">
        <v>0.0164</v>
      </c>
      <c r="O8" s="77">
        <v>99.5649</v>
      </c>
      <c r="P8" s="77">
        <v>99.8621</v>
      </c>
      <c r="Q8" s="93">
        <f>22.3182155334321</f>
        <v>22.3182155334321</v>
      </c>
      <c r="R8" s="98">
        <v>100000000</v>
      </c>
      <c r="S8" s="94">
        <f>SUM(R10:R11,)/R8</f>
        <v>4</v>
      </c>
      <c r="T8" s="95">
        <f t="shared" si="0"/>
        <v>99564900</v>
      </c>
      <c r="U8" s="94">
        <f>SUM(T10:T11)/T8</f>
        <v>4.01670267333167</v>
      </c>
      <c r="V8" s="100">
        <f>IF(SUM(T10:T11)-T8&lt;0,SUM(T10:T11)-T8,0)</f>
        <v>0</v>
      </c>
      <c r="W8" s="94">
        <v>0.0065</v>
      </c>
      <c r="X8" s="97">
        <f>J8*C20</f>
        <v>0.0012489939</v>
      </c>
      <c r="Y8" s="97">
        <f>X8+C22</f>
        <v>0.000748993900000005</v>
      </c>
      <c r="Z8" s="32">
        <f>R8*W8*1/365</f>
        <v>1780.82191780822</v>
      </c>
      <c r="AA8" s="96">
        <f>IF(SUM(T10)+Z8-T8&lt;0,SUM(T10)+Z8-T8,0)</f>
        <v>-38919.1780821979</v>
      </c>
      <c r="AC8" s="25">
        <v>0.0001</v>
      </c>
      <c r="AD8" s="28">
        <f>L8*R8/10000</f>
        <v>18000</v>
      </c>
      <c r="AE8" s="101">
        <f>AD8-Z8</f>
        <v>16219.1780821918</v>
      </c>
    </row>
    <row r="9" spans="1:25">
      <c r="A9" s="8" t="s">
        <v>33</v>
      </c>
      <c r="B9" s="77"/>
      <c r="C9" s="77"/>
      <c r="D9" s="77"/>
      <c r="E9" s="77"/>
      <c r="F9" s="77"/>
      <c r="G9" s="78"/>
      <c r="H9" s="79"/>
      <c r="I9" s="86"/>
      <c r="J9" s="77"/>
      <c r="K9" s="77"/>
      <c r="L9" s="77"/>
      <c r="M9" s="10"/>
      <c r="N9" s="85"/>
      <c r="O9" s="77"/>
      <c r="P9" s="77"/>
      <c r="Q9" s="93"/>
      <c r="R9" s="98"/>
      <c r="S9" s="94"/>
      <c r="T9" s="95" t="s">
        <v>34</v>
      </c>
      <c r="U9" s="95"/>
      <c r="V9" s="40"/>
      <c r="W9" s="99"/>
      <c r="X9" s="99"/>
      <c r="Y9" s="99"/>
    </row>
    <row r="10" spans="1:25">
      <c r="A10" s="76" t="s">
        <v>43</v>
      </c>
      <c r="B10" s="9" t="s">
        <v>44</v>
      </c>
      <c r="C10" s="9" t="s">
        <v>45</v>
      </c>
      <c r="D10" s="9" t="s">
        <v>46</v>
      </c>
      <c r="E10" s="9">
        <v>100</v>
      </c>
      <c r="F10" s="9" t="s">
        <v>46</v>
      </c>
      <c r="G10" s="74">
        <f>2.47/100</f>
        <v>0.0247</v>
      </c>
      <c r="H10" s="75">
        <v>45212</v>
      </c>
      <c r="I10" s="83">
        <v>2.0192</v>
      </c>
      <c r="J10" s="9">
        <v>1.8982</v>
      </c>
      <c r="K10" s="9">
        <v>5.5606</v>
      </c>
      <c r="L10" s="9">
        <v>1.93</v>
      </c>
      <c r="M10" s="10">
        <v>0.021078742992534</v>
      </c>
      <c r="N10" s="27">
        <v>0.0197</v>
      </c>
      <c r="O10" s="9">
        <v>99.5242</v>
      </c>
      <c r="P10" s="9">
        <v>101.9469</v>
      </c>
      <c r="Q10" s="93">
        <f>46.0494069591174</f>
        <v>46.0494069591174</v>
      </c>
      <c r="R10" s="39">
        <v>100000000</v>
      </c>
      <c r="S10" s="94" t="s">
        <v>39</v>
      </c>
      <c r="T10" s="95">
        <f>O10*R10/E10</f>
        <v>99524200</v>
      </c>
      <c r="U10" s="94" t="s">
        <v>39</v>
      </c>
      <c r="V10" s="94" t="s">
        <v>39</v>
      </c>
      <c r="W10" s="93" t="s">
        <v>32</v>
      </c>
      <c r="X10" s="93"/>
      <c r="Y10" s="93"/>
    </row>
    <row r="11" spans="1:25">
      <c r="A11" s="81" t="s">
        <v>47</v>
      </c>
      <c r="B11" s="77" t="s">
        <v>36</v>
      </c>
      <c r="C11" s="77" t="s">
        <v>37</v>
      </c>
      <c r="D11" s="77" t="s">
        <v>38</v>
      </c>
      <c r="E11" s="77">
        <v>100</v>
      </c>
      <c r="F11" s="77" t="s">
        <v>38</v>
      </c>
      <c r="G11" s="78">
        <f>2.7/100</f>
        <v>0.027</v>
      </c>
      <c r="H11" s="79">
        <v>45212</v>
      </c>
      <c r="I11" s="84">
        <v>1.6219</v>
      </c>
      <c r="J11" s="77">
        <v>1.555</v>
      </c>
      <c r="K11" s="77">
        <v>3.9578</v>
      </c>
      <c r="L11" s="77">
        <v>1.57</v>
      </c>
      <c r="M11" s="10">
        <v>0.021995</v>
      </c>
      <c r="N11" s="85">
        <f>N6</f>
        <v>0.0198</v>
      </c>
      <c r="O11" s="77">
        <v>100.1328</v>
      </c>
      <c r="P11" s="77">
        <v>101.1582</v>
      </c>
      <c r="Q11" s="93">
        <f>40.1701720858151</f>
        <v>40.1701720858151</v>
      </c>
      <c r="R11" s="98">
        <v>300000000</v>
      </c>
      <c r="S11" s="94" t="s">
        <v>39</v>
      </c>
      <c r="T11" s="95">
        <f>O11*R11/E11</f>
        <v>300398400</v>
      </c>
      <c r="U11" s="94" t="s">
        <v>39</v>
      </c>
      <c r="V11" s="94" t="s">
        <v>39</v>
      </c>
      <c r="W11" s="93" t="s">
        <v>32</v>
      </c>
      <c r="X11" s="93"/>
      <c r="Y11" s="93"/>
    </row>
    <row r="17" spans="1:3">
      <c r="A17" t="s">
        <v>48</v>
      </c>
      <c r="C17" t="s">
        <v>49</v>
      </c>
    </row>
    <row r="18" spans="1:3">
      <c r="A18" t="s">
        <v>50</v>
      </c>
      <c r="B18" s="34">
        <v>0.014411</v>
      </c>
      <c r="C18" s="34">
        <v>0.015938</v>
      </c>
    </row>
    <row r="19" spans="1:3">
      <c r="A19" t="s">
        <v>51</v>
      </c>
      <c r="B19" s="34">
        <v>0.014124</v>
      </c>
      <c r="C19" s="34">
        <v>0.015245</v>
      </c>
    </row>
    <row r="20" spans="1:3">
      <c r="A20" t="s">
        <v>52</v>
      </c>
      <c r="B20" s="34">
        <f>B18-B19</f>
        <v>0.000287000000000001</v>
      </c>
      <c r="C20" s="34">
        <f>C18-C19</f>
        <v>0.000693000000000001</v>
      </c>
    </row>
    <row r="21" spans="1:2">
      <c r="A21" t="s">
        <v>53</v>
      </c>
      <c r="B21">
        <v>0</v>
      </c>
    </row>
    <row r="22" spans="1:3">
      <c r="A22" t="s">
        <v>54</v>
      </c>
      <c r="B22" s="34">
        <f>N4-B24</f>
        <v>0.0003</v>
      </c>
      <c r="C22" s="34">
        <f>N8-C24</f>
        <v>-0.000499999999999997</v>
      </c>
    </row>
    <row r="23" spans="3:3">
      <c r="C23" t="s">
        <v>55</v>
      </c>
    </row>
    <row r="24" spans="1:3">
      <c r="A24" t="s">
        <v>56</v>
      </c>
      <c r="B24" s="34">
        <v>0.0152</v>
      </c>
      <c r="C24" s="34">
        <v>0.0169</v>
      </c>
    </row>
    <row r="34" spans="22:22">
      <c r="V34" t="s">
        <v>57</v>
      </c>
    </row>
  </sheetData>
  <pageMargins left="0.75" right="0.75" top="1" bottom="1" header="0.5" footer="0.5"/>
  <headerFooter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G46"/>
  <sheetViews>
    <sheetView workbookViewId="0">
      <selection activeCell="P17" sqref="P17"/>
    </sheetView>
  </sheetViews>
  <sheetFormatPr defaultColWidth="9.14285714285714" defaultRowHeight="15"/>
  <cols>
    <col min="1" max="1" width="16.2857142857143" customWidth="1"/>
    <col min="2" max="2" width="24.4285714285714" customWidth="1"/>
    <col min="3" max="3" width="13.4285714285714" customWidth="1"/>
    <col min="4" max="4" width="13.1428571428571" customWidth="1"/>
    <col min="5" max="5" width="15.5714285714286" customWidth="1"/>
    <col min="6" max="7" width="16.1428571428571" customWidth="1"/>
    <col min="8" max="8" width="20.4285714285714" customWidth="1"/>
    <col min="9" max="9" width="23.2857142857143" customWidth="1"/>
    <col min="10" max="10" width="16.8571428571429" customWidth="1"/>
    <col min="11" max="11" width="26.2857142857143" customWidth="1"/>
    <col min="12" max="12" width="23.7142857142857" customWidth="1"/>
    <col min="13" max="13" width="14" customWidth="1"/>
    <col min="14" max="14" width="24.7142857142857" customWidth="1"/>
    <col min="15" max="15" width="23.7142857142857" customWidth="1"/>
    <col min="16" max="16" width="21.5714285714286" customWidth="1"/>
    <col min="17" max="17" width="16" customWidth="1"/>
    <col min="18" max="18" width="19.2857142857143" customWidth="1"/>
    <col min="19" max="19" width="15" customWidth="1"/>
    <col min="20" max="20" width="17.4285714285714" customWidth="1"/>
    <col min="21" max="21" width="25.8571428571429" customWidth="1"/>
    <col min="22" max="23" width="15" customWidth="1"/>
    <col min="24" max="24" width="15.7142857142857" customWidth="1"/>
    <col min="31" max="31" width="15.7142857142857" customWidth="1"/>
  </cols>
  <sheetData>
    <row r="1" ht="15.75" spans="1:33">
      <c r="A1" s="3" t="s">
        <v>1</v>
      </c>
      <c r="B1" s="4" t="s">
        <v>58</v>
      </c>
      <c r="C1" s="4" t="s">
        <v>59</v>
      </c>
      <c r="D1" s="5" t="s">
        <v>2</v>
      </c>
      <c r="E1" s="5" t="s">
        <v>99</v>
      </c>
      <c r="F1" s="6" t="s">
        <v>60</v>
      </c>
      <c r="G1" s="6" t="s">
        <v>100</v>
      </c>
      <c r="H1" s="5" t="s">
        <v>62</v>
      </c>
      <c r="I1" s="5" t="s">
        <v>64</v>
      </c>
      <c r="J1" s="5" t="s">
        <v>65</v>
      </c>
      <c r="K1" s="5" t="s">
        <v>66</v>
      </c>
      <c r="L1" s="38" t="s">
        <v>67</v>
      </c>
      <c r="M1" s="5" t="s">
        <v>68</v>
      </c>
      <c r="N1" s="5" t="s">
        <v>101</v>
      </c>
      <c r="O1" s="38" t="s">
        <v>102</v>
      </c>
      <c r="P1" s="5" t="s">
        <v>69</v>
      </c>
      <c r="Q1" s="62" t="s">
        <v>70</v>
      </c>
      <c r="R1" t="s">
        <v>71</v>
      </c>
      <c r="S1" s="5" t="s">
        <v>9</v>
      </c>
      <c r="T1" t="s">
        <v>97</v>
      </c>
      <c r="U1" t="s">
        <v>103</v>
      </c>
      <c r="V1" t="s">
        <v>104</v>
      </c>
      <c r="AE1" t="s">
        <v>105</v>
      </c>
      <c r="AF1" s="10" t="s">
        <v>72</v>
      </c>
      <c r="AG1">
        <v>1</v>
      </c>
    </row>
    <row r="2" ht="15.75" spans="1:33">
      <c r="A2" s="7" t="s">
        <v>73</v>
      </c>
      <c r="B2" s="8" t="s">
        <v>106</v>
      </c>
      <c r="C2" s="8" t="s">
        <v>107</v>
      </c>
      <c r="D2" s="9" t="s">
        <v>29</v>
      </c>
      <c r="E2" s="9" t="s">
        <v>30</v>
      </c>
      <c r="F2" s="10" t="s">
        <v>72</v>
      </c>
      <c r="G2" s="11">
        <v>1</v>
      </c>
      <c r="H2" s="12">
        <v>0.0076</v>
      </c>
      <c r="I2" s="39">
        <v>100000000</v>
      </c>
      <c r="J2" s="40">
        <v>45722</v>
      </c>
      <c r="K2" s="41">
        <v>0.014898</v>
      </c>
      <c r="L2" s="42">
        <v>101.7582</v>
      </c>
      <c r="M2" s="40">
        <f t="shared" ref="M2:M6" si="0">J2+G2</f>
        <v>45723</v>
      </c>
      <c r="N2" s="41">
        <v>0.014898</v>
      </c>
      <c r="O2" s="42">
        <v>101.7644</v>
      </c>
      <c r="P2" s="26">
        <f t="shared" ref="P2:P6" si="1">I2*H2*G2/365</f>
        <v>2082.19178082192</v>
      </c>
      <c r="Q2" s="63">
        <v>6136.9863</v>
      </c>
      <c r="R2" s="25">
        <f>(N2-K2)*100</f>
        <v>0</v>
      </c>
      <c r="S2" s="9">
        <v>1.558</v>
      </c>
      <c r="T2" s="32">
        <f>I2*S2*R2/100</f>
        <v>0</v>
      </c>
      <c r="U2" s="36">
        <f>T2-P2</f>
        <v>-2082.19178082192</v>
      </c>
      <c r="V2" t="s">
        <v>105</v>
      </c>
      <c r="AE2" t="s">
        <v>108</v>
      </c>
      <c r="AF2" s="10" t="s">
        <v>77</v>
      </c>
      <c r="AG2">
        <v>14</v>
      </c>
    </row>
    <row r="3" s="1" customFormat="1" spans="1:33">
      <c r="A3" s="13" t="s">
        <v>81</v>
      </c>
      <c r="B3" s="14" t="s">
        <v>106</v>
      </c>
      <c r="C3" s="14" t="s">
        <v>109</v>
      </c>
      <c r="D3" s="15" t="s">
        <v>29</v>
      </c>
      <c r="E3" s="15" t="s">
        <v>30</v>
      </c>
      <c r="F3" s="16" t="s">
        <v>83</v>
      </c>
      <c r="G3" s="17">
        <v>5</v>
      </c>
      <c r="H3" s="18">
        <v>0.0079</v>
      </c>
      <c r="I3" s="43">
        <v>100000000</v>
      </c>
      <c r="J3" s="44">
        <v>45721</v>
      </c>
      <c r="K3" s="45">
        <v>0.015102</v>
      </c>
      <c r="L3" s="46">
        <v>100.1556</v>
      </c>
      <c r="M3" s="44">
        <f t="shared" si="0"/>
        <v>45726</v>
      </c>
      <c r="N3" s="45">
        <v>0.015502</v>
      </c>
      <c r="O3" s="46">
        <v>101.7889</v>
      </c>
      <c r="P3" s="47">
        <f t="shared" si="1"/>
        <v>10821.9178082192</v>
      </c>
      <c r="Q3" s="64">
        <v>30684.9315</v>
      </c>
      <c r="R3" s="65">
        <f t="shared" ref="R2:R6" si="2">(N3-K3)*100</f>
        <v>0.0399999999999999</v>
      </c>
      <c r="S3" s="15">
        <v>1.558</v>
      </c>
      <c r="T3" s="66">
        <f>I3*S3*R3/100</f>
        <v>62319.9999999999</v>
      </c>
      <c r="U3" s="36">
        <f>T3-P3</f>
        <v>51498.0821917807</v>
      </c>
      <c r="V3" s="1" t="s">
        <v>108</v>
      </c>
      <c r="AE3" s="1" t="s">
        <v>110</v>
      </c>
      <c r="AF3" s="16" t="s">
        <v>84</v>
      </c>
      <c r="AG3" s="1">
        <v>120</v>
      </c>
    </row>
    <row r="4" spans="1:32">
      <c r="A4" s="7" t="s">
        <v>87</v>
      </c>
      <c r="B4" s="8" t="s">
        <v>106</v>
      </c>
      <c r="C4" s="8" t="s">
        <v>111</v>
      </c>
      <c r="D4" s="9" t="s">
        <v>29</v>
      </c>
      <c r="E4" s="9" t="s">
        <v>30</v>
      </c>
      <c r="F4" s="10" t="s">
        <v>72</v>
      </c>
      <c r="G4" s="11">
        <v>1</v>
      </c>
      <c r="H4" s="12">
        <v>0.0075</v>
      </c>
      <c r="I4" s="39">
        <v>200000000</v>
      </c>
      <c r="J4" s="40">
        <v>45722</v>
      </c>
      <c r="K4" s="41">
        <v>0.014898</v>
      </c>
      <c r="L4" s="42">
        <v>101.7582</v>
      </c>
      <c r="M4" s="40">
        <f t="shared" si="0"/>
        <v>45723</v>
      </c>
      <c r="N4" s="41">
        <v>0.014898</v>
      </c>
      <c r="O4" s="42">
        <v>101.7644</v>
      </c>
      <c r="P4" s="26">
        <f t="shared" si="1"/>
        <v>4109.58904109589</v>
      </c>
      <c r="Q4" s="63">
        <v>6136.9863</v>
      </c>
      <c r="R4" s="25">
        <f t="shared" si="2"/>
        <v>0</v>
      </c>
      <c r="S4" s="9">
        <v>1.558</v>
      </c>
      <c r="T4" s="32">
        <f>I4*S4*R4/100</f>
        <v>0</v>
      </c>
      <c r="U4" s="36">
        <f>T4-P4</f>
        <v>-4109.58904109589</v>
      </c>
      <c r="V4" t="s">
        <v>105</v>
      </c>
      <c r="AE4" t="s">
        <v>112</v>
      </c>
      <c r="AF4" s="10"/>
    </row>
    <row r="5" s="1" customFormat="1" spans="1:33">
      <c r="A5" s="13" t="s">
        <v>113</v>
      </c>
      <c r="B5" s="14" t="s">
        <v>106</v>
      </c>
      <c r="C5" s="14" t="s">
        <v>109</v>
      </c>
      <c r="D5" s="15" t="s">
        <v>29</v>
      </c>
      <c r="E5" s="15" t="s">
        <v>30</v>
      </c>
      <c r="F5" s="16" t="s">
        <v>83</v>
      </c>
      <c r="G5" s="17">
        <v>7</v>
      </c>
      <c r="H5" s="18">
        <v>0.0079</v>
      </c>
      <c r="I5" s="43">
        <v>100000000</v>
      </c>
      <c r="J5" s="44">
        <v>45715</v>
      </c>
      <c r="K5" s="45">
        <v>0.015201</v>
      </c>
      <c r="L5" s="46">
        <v>101.7582</v>
      </c>
      <c r="M5" s="44">
        <f t="shared" si="0"/>
        <v>45722</v>
      </c>
      <c r="N5" s="45">
        <v>0.014898</v>
      </c>
      <c r="O5" s="46">
        <v>101.7889</v>
      </c>
      <c r="P5" s="47">
        <f t="shared" si="1"/>
        <v>15150.6849315069</v>
      </c>
      <c r="Q5" s="64">
        <v>30684.9315</v>
      </c>
      <c r="R5" s="65">
        <f t="shared" si="2"/>
        <v>-0.0302999999999999</v>
      </c>
      <c r="S5" s="15">
        <v>1.558</v>
      </c>
      <c r="T5" s="66">
        <f>I5*S5*R5/100</f>
        <v>-47207.3999999999</v>
      </c>
      <c r="U5" s="36">
        <f>T5-P5</f>
        <v>-62358.0849315068</v>
      </c>
      <c r="V5" s="1" t="s">
        <v>108</v>
      </c>
      <c r="AE5" s="1" t="s">
        <v>34</v>
      </c>
      <c r="AF5" s="16" t="s">
        <v>84</v>
      </c>
      <c r="AG5" s="1">
        <v>120</v>
      </c>
    </row>
    <row r="6" s="1" customFormat="1" spans="1:33">
      <c r="A6" s="13" t="s">
        <v>114</v>
      </c>
      <c r="B6" s="14" t="s">
        <v>106</v>
      </c>
      <c r="C6" s="14" t="s">
        <v>109</v>
      </c>
      <c r="D6" s="15" t="s">
        <v>29</v>
      </c>
      <c r="E6" s="15" t="s">
        <v>30</v>
      </c>
      <c r="F6" s="16" t="s">
        <v>83</v>
      </c>
      <c r="G6" s="17">
        <v>7</v>
      </c>
      <c r="H6" s="18">
        <v>0.0079</v>
      </c>
      <c r="I6" s="43">
        <v>100000000</v>
      </c>
      <c r="J6" s="44">
        <v>45708</v>
      </c>
      <c r="K6" s="45">
        <v>0.0137</v>
      </c>
      <c r="L6" s="46">
        <v>100.2174</v>
      </c>
      <c r="M6" s="44">
        <f t="shared" si="0"/>
        <v>45715</v>
      </c>
      <c r="N6" s="45">
        <v>0.015206</v>
      </c>
      <c r="O6" s="46">
        <v>100.1648</v>
      </c>
      <c r="P6" s="47">
        <f t="shared" si="1"/>
        <v>15150.6849315069</v>
      </c>
      <c r="Q6" s="64">
        <v>42958.9041</v>
      </c>
      <c r="R6" s="65">
        <f t="shared" si="2"/>
        <v>0.1506</v>
      </c>
      <c r="S6" s="15">
        <v>1.558</v>
      </c>
      <c r="T6" s="66">
        <f>I6*S6*R6/100</f>
        <v>234634.8</v>
      </c>
      <c r="U6" s="36">
        <f>T6-P6</f>
        <v>219484.115068493</v>
      </c>
      <c r="V6" s="1" t="s">
        <v>108</v>
      </c>
      <c r="AE6" s="1" t="s">
        <v>34</v>
      </c>
      <c r="AF6" s="16" t="s">
        <v>84</v>
      </c>
      <c r="AG6" s="1">
        <v>120</v>
      </c>
    </row>
    <row r="7" s="1" customFormat="1" spans="1:32">
      <c r="A7" s="19"/>
      <c r="B7" s="14"/>
      <c r="C7" s="14"/>
      <c r="D7" s="19"/>
      <c r="E7" s="19"/>
      <c r="F7" s="16"/>
      <c r="G7" s="17"/>
      <c r="H7" s="20"/>
      <c r="I7" s="48"/>
      <c r="J7" s="49"/>
      <c r="K7" s="50"/>
      <c r="L7" s="51"/>
      <c r="M7" s="49"/>
      <c r="N7" s="50"/>
      <c r="O7" s="51"/>
      <c r="P7" s="52"/>
      <c r="Q7" s="67"/>
      <c r="R7" s="65"/>
      <c r="S7" s="19"/>
      <c r="T7" s="66"/>
      <c r="U7" s="36"/>
      <c r="AF7" s="16"/>
    </row>
    <row r="8" customFormat="1" spans="1:32">
      <c r="A8" t="s">
        <v>115</v>
      </c>
      <c r="B8" s="21">
        <f>B43</f>
        <v>289612.217319452</v>
      </c>
      <c r="C8" s="8"/>
      <c r="D8" s="22"/>
      <c r="E8" s="22"/>
      <c r="F8" s="10"/>
      <c r="G8" s="11"/>
      <c r="H8" s="23"/>
      <c r="I8" s="53"/>
      <c r="J8" s="54"/>
      <c r="K8" s="55"/>
      <c r="L8" s="56"/>
      <c r="M8" s="54"/>
      <c r="N8" s="55"/>
      <c r="O8" s="56"/>
      <c r="P8" s="57"/>
      <c r="Q8" s="57"/>
      <c r="R8" s="25"/>
      <c r="S8" s="22"/>
      <c r="T8" s="32"/>
      <c r="U8" s="68"/>
      <c r="AF8" s="10"/>
    </row>
    <row r="9" s="1" customFormat="1" spans="1:33">
      <c r="A9" s="13" t="s">
        <v>116</v>
      </c>
      <c r="B9" s="14" t="s">
        <v>106</v>
      </c>
      <c r="C9" s="14" t="s">
        <v>109</v>
      </c>
      <c r="D9" s="15" t="s">
        <v>29</v>
      </c>
      <c r="E9" s="15" t="s">
        <v>30</v>
      </c>
      <c r="F9" s="16" t="s">
        <v>83</v>
      </c>
      <c r="G9" s="17">
        <v>7</v>
      </c>
      <c r="H9" s="18">
        <v>0.0079</v>
      </c>
      <c r="I9" s="43">
        <v>150000000</v>
      </c>
      <c r="J9" s="44">
        <v>45740</v>
      </c>
      <c r="K9" s="45">
        <v>0.015999</v>
      </c>
      <c r="L9" s="46">
        <v>101.7582</v>
      </c>
      <c r="M9" s="44">
        <f>J9+G9</f>
        <v>45747</v>
      </c>
      <c r="N9" s="45">
        <v>0.0152</v>
      </c>
      <c r="O9" s="46">
        <v>101.7889</v>
      </c>
      <c r="P9" s="47">
        <f>I9*H9*G9/365</f>
        <v>22726.0273972603</v>
      </c>
      <c r="Q9" s="64">
        <v>30684.9315</v>
      </c>
      <c r="R9" s="65">
        <f>(N9-K9)*100</f>
        <v>-0.0798999999999999</v>
      </c>
      <c r="S9" s="15">
        <v>1.558</v>
      </c>
      <c r="T9" s="66">
        <f t="shared" ref="T9:T13" si="3">I9*S9*R9/100*-1</f>
        <v>186726.3</v>
      </c>
      <c r="U9" s="36">
        <f>T9-P9</f>
        <v>164000.27260274</v>
      </c>
      <c r="V9" s="1" t="s">
        <v>112</v>
      </c>
      <c r="AE9" s="1" t="s">
        <v>110</v>
      </c>
      <c r="AF9" s="16" t="s">
        <v>84</v>
      </c>
      <c r="AG9" s="1">
        <v>120</v>
      </c>
    </row>
    <row r="10" s="1" customFormat="1" spans="1:33">
      <c r="A10" s="13" t="s">
        <v>117</v>
      </c>
      <c r="B10" s="14" t="s">
        <v>106</v>
      </c>
      <c r="C10" s="14" t="s">
        <v>109</v>
      </c>
      <c r="D10" s="15" t="s">
        <v>29</v>
      </c>
      <c r="E10" s="15" t="s">
        <v>30</v>
      </c>
      <c r="F10" s="16" t="s">
        <v>83</v>
      </c>
      <c r="G10" s="17">
        <v>7</v>
      </c>
      <c r="H10" s="18">
        <v>0.0079</v>
      </c>
      <c r="I10" s="43">
        <v>150000000</v>
      </c>
      <c r="J10" s="44">
        <f>M9</f>
        <v>45747</v>
      </c>
      <c r="K10" s="45">
        <f>N9</f>
        <v>0.0152</v>
      </c>
      <c r="L10" s="46">
        <v>101.7582</v>
      </c>
      <c r="M10" s="44">
        <f>J10+G10</f>
        <v>45754</v>
      </c>
      <c r="N10" s="45">
        <v>0.014302</v>
      </c>
      <c r="O10" s="46">
        <v>101.7889</v>
      </c>
      <c r="P10" s="47">
        <f>I10*H10*G10/365</f>
        <v>22726.0273972603</v>
      </c>
      <c r="Q10" s="64">
        <v>30684.9315</v>
      </c>
      <c r="R10" s="65">
        <f>(N10-K10)*100</f>
        <v>-0.0897999999999999</v>
      </c>
      <c r="S10" s="15">
        <v>1.558</v>
      </c>
      <c r="T10" s="66">
        <f t="shared" si="3"/>
        <v>209862.6</v>
      </c>
      <c r="U10" s="36">
        <f>T10-P10</f>
        <v>187136.57260274</v>
      </c>
      <c r="V10" s="1" t="s">
        <v>112</v>
      </c>
      <c r="AE10" s="1" t="s">
        <v>110</v>
      </c>
      <c r="AF10" s="16" t="s">
        <v>84</v>
      </c>
      <c r="AG10" s="1">
        <v>120</v>
      </c>
    </row>
    <row r="11" s="1" customFormat="1" ht="15.75" spans="1:33">
      <c r="A11" s="13" t="s">
        <v>118</v>
      </c>
      <c r="B11" s="14" t="s">
        <v>106</v>
      </c>
      <c r="C11" s="14" t="s">
        <v>109</v>
      </c>
      <c r="D11" s="15" t="s">
        <v>29</v>
      </c>
      <c r="E11" s="15" t="s">
        <v>30</v>
      </c>
      <c r="F11" s="16" t="s">
        <v>83</v>
      </c>
      <c r="G11" s="17">
        <v>7</v>
      </c>
      <c r="H11" s="18">
        <v>0.0079</v>
      </c>
      <c r="I11" s="43">
        <v>150000000</v>
      </c>
      <c r="J11" s="44">
        <f>M10</f>
        <v>45754</v>
      </c>
      <c r="K11" s="45">
        <f>N10</f>
        <v>0.014302</v>
      </c>
      <c r="L11" s="46">
        <v>101.7582</v>
      </c>
      <c r="M11" s="44">
        <f>J11+G11</f>
        <v>45761</v>
      </c>
      <c r="N11" s="45">
        <v>0.013003</v>
      </c>
      <c r="O11" s="46">
        <v>101.7889</v>
      </c>
      <c r="P11" s="47">
        <f>I11*H11*G11/365</f>
        <v>22726.0273972603</v>
      </c>
      <c r="Q11" s="64">
        <v>30684.9315</v>
      </c>
      <c r="R11" s="65">
        <f>(N11-K11)*100</f>
        <v>-0.1299</v>
      </c>
      <c r="S11" s="15">
        <v>1.558</v>
      </c>
      <c r="T11" s="66">
        <f t="shared" si="3"/>
        <v>303576.3</v>
      </c>
      <c r="U11" s="36">
        <f>T11-P11</f>
        <v>280850.27260274</v>
      </c>
      <c r="V11" s="1" t="s">
        <v>112</v>
      </c>
      <c r="AE11" s="1" t="s">
        <v>110</v>
      </c>
      <c r="AF11" s="16" t="s">
        <v>84</v>
      </c>
      <c r="AG11" s="1">
        <v>120</v>
      </c>
    </row>
    <row r="12" customFormat="1" ht="15.75" spans="1:32">
      <c r="A12" s="22"/>
      <c r="B12" s="8"/>
      <c r="C12" s="8"/>
      <c r="D12" s="22"/>
      <c r="E12" s="22"/>
      <c r="F12" s="6" t="s">
        <v>119</v>
      </c>
      <c r="G12" s="11"/>
      <c r="H12" s="5" t="s">
        <v>120</v>
      </c>
      <c r="I12" s="53"/>
      <c r="J12" s="54"/>
      <c r="K12" s="55"/>
      <c r="L12" s="58"/>
      <c r="M12" s="54"/>
      <c r="N12" s="55"/>
      <c r="O12" s="58"/>
      <c r="P12" s="5" t="s">
        <v>121</v>
      </c>
      <c r="Q12" s="57"/>
      <c r="R12" s="25"/>
      <c r="S12" s="22" t="s">
        <v>122</v>
      </c>
      <c r="T12" s="28" t="s">
        <v>123</v>
      </c>
      <c r="U12" s="28" t="s">
        <v>124</v>
      </c>
      <c r="AF12" s="10"/>
    </row>
    <row r="13" s="1" customFormat="1" spans="1:33">
      <c r="A13" s="13" t="s">
        <v>125</v>
      </c>
      <c r="B13" s="14" t="s">
        <v>126</v>
      </c>
      <c r="C13" s="14" t="s">
        <v>127</v>
      </c>
      <c r="D13" s="15" t="s">
        <v>29</v>
      </c>
      <c r="E13" s="15" t="s">
        <v>30</v>
      </c>
      <c r="F13" s="17" t="s">
        <v>128</v>
      </c>
      <c r="G13" s="17">
        <v>7</v>
      </c>
      <c r="H13" s="18">
        <v>0.0149</v>
      </c>
      <c r="I13" s="43">
        <v>150000000</v>
      </c>
      <c r="J13" s="44">
        <v>45740</v>
      </c>
      <c r="K13" s="45">
        <v>0.015999</v>
      </c>
      <c r="L13" s="46">
        <v>101.7582</v>
      </c>
      <c r="M13" s="44">
        <f>J13+G13</f>
        <v>45747</v>
      </c>
      <c r="N13" s="45">
        <v>0.0152</v>
      </c>
      <c r="O13" s="46">
        <v>101.7889</v>
      </c>
      <c r="P13" s="47">
        <f>T13*H13*G13/365</f>
        <v>38576.7123287671</v>
      </c>
      <c r="Q13" s="64">
        <v>30684.9315</v>
      </c>
      <c r="R13" s="65">
        <f>(N13-K13)*100</f>
        <v>-0.0798999999999999</v>
      </c>
      <c r="S13" s="69">
        <v>0.9</v>
      </c>
      <c r="T13" s="66">
        <f>S13*I13</f>
        <v>135000000</v>
      </c>
      <c r="U13" s="36">
        <f>T13+P13</f>
        <v>135038576.712329</v>
      </c>
      <c r="V13" s="1" t="s">
        <v>112</v>
      </c>
      <c r="AE13" s="1" t="s">
        <v>110</v>
      </c>
      <c r="AF13" s="16" t="s">
        <v>84</v>
      </c>
      <c r="AG13" s="1">
        <v>120</v>
      </c>
    </row>
    <row r="14" customFormat="1" spans="1:32">
      <c r="A14" s="22"/>
      <c r="B14" s="8"/>
      <c r="C14" s="8"/>
      <c r="D14" s="22"/>
      <c r="E14" s="22"/>
      <c r="F14" s="10"/>
      <c r="G14" s="11"/>
      <c r="H14" s="23"/>
      <c r="I14" s="53"/>
      <c r="J14" s="54"/>
      <c r="K14" s="55"/>
      <c r="L14" s="58"/>
      <c r="M14" s="54"/>
      <c r="N14" s="55"/>
      <c r="O14" s="58"/>
      <c r="P14" s="57"/>
      <c r="Q14" s="57"/>
      <c r="R14" s="25"/>
      <c r="S14" s="22"/>
      <c r="T14" s="28"/>
      <c r="U14" s="68"/>
      <c r="AF14" s="10"/>
    </row>
    <row r="15" spans="1:32">
      <c r="A15" t="str">
        <f>D2</f>
        <v>220011.IB</v>
      </c>
      <c r="AF15" s="10"/>
    </row>
    <row r="16" ht="42" spans="1:32">
      <c r="A16" s="24" t="s">
        <v>90</v>
      </c>
      <c r="B16" s="25">
        <f>(H2*I2+H4*I4)/(I2+I4)</f>
        <v>0.00753333333333333</v>
      </c>
      <c r="G16" t="s">
        <v>129</v>
      </c>
      <c r="H16" s="26" cm="1">
        <f t="array" ref="H16">SUMPRODUCT(I2:I4,L2:L4)/SUM(I2:I4)</f>
        <v>101.35755</v>
      </c>
      <c r="AF16" s="10"/>
    </row>
    <row r="17" ht="40.5" spans="1:8">
      <c r="A17" s="24" t="s">
        <v>91</v>
      </c>
      <c r="B17" s="25">
        <f>(G2*B16+G3*H3)/(G2+G3)</f>
        <v>0.00783888888888889</v>
      </c>
      <c r="G17" t="s">
        <v>130</v>
      </c>
      <c r="H17" s="27" cm="1">
        <f t="array" ref="H17">SUMPRODUCT(I2:I4,K2:K4)/SUM(I2:I4)</f>
        <v>0.014949</v>
      </c>
    </row>
    <row r="18" spans="1:2">
      <c r="A18" t="s">
        <v>92</v>
      </c>
      <c r="B18" s="28">
        <f>SUM(U2:U4)</f>
        <v>45306.3013698629</v>
      </c>
    </row>
    <row r="19" spans="1:2">
      <c r="A19" t="s">
        <v>93</v>
      </c>
      <c r="B19" s="28">
        <f>G3</f>
        <v>5</v>
      </c>
    </row>
    <row r="20" spans="1:2">
      <c r="A20" t="s">
        <v>94</v>
      </c>
      <c r="B20" s="29">
        <f>B18*B19/365/SUM(I2:I4)</f>
        <v>1.55158566335147e-6</v>
      </c>
    </row>
    <row r="24" s="2" customFormat="1" spans="1:1">
      <c r="A24" s="30" t="s">
        <v>131</v>
      </c>
    </row>
    <row r="25" s="2" customFormat="1" ht="15.75" spans="1:24">
      <c r="A25" s="2" t="str">
        <f>A1</f>
        <v>序号</v>
      </c>
      <c r="B25" s="2" t="str">
        <f t="shared" ref="B25:M25" si="4">B1</f>
        <v>交易方向</v>
      </c>
      <c r="C25" s="2" t="str">
        <f t="shared" si="4"/>
        <v>对手方</v>
      </c>
      <c r="D25" s="2" t="str">
        <f t="shared" si="4"/>
        <v>债券代码</v>
      </c>
      <c r="E25" s="2" t="str">
        <f t="shared" si="4"/>
        <v>债券简称</v>
      </c>
      <c r="F25" s="2" t="str">
        <f t="shared" si="4"/>
        <v>借贷品种</v>
      </c>
      <c r="G25" s="2" t="str">
        <f t="shared" si="4"/>
        <v>期限</v>
      </c>
      <c r="H25" s="2" t="str">
        <f t="shared" si="4"/>
        <v>借贷费率%</v>
      </c>
      <c r="I25" s="2" t="str">
        <f t="shared" si="4"/>
        <v>券面总额(元)</v>
      </c>
      <c r="J25" s="2" t="str">
        <f t="shared" si="4"/>
        <v>首期结算日</v>
      </c>
      <c r="K25" s="2" t="str">
        <f t="shared" si="4"/>
        <v>首期结算日市场收益率</v>
      </c>
      <c r="L25" s="2" t="str">
        <f t="shared" si="4"/>
        <v>首期结算日市场净价</v>
      </c>
      <c r="M25" s="2" t="str">
        <f t="shared" si="4"/>
        <v>到期结算日</v>
      </c>
      <c r="N25" s="38" t="s">
        <v>132</v>
      </c>
      <c r="O25" s="38" t="s">
        <v>133</v>
      </c>
      <c r="P25" s="38" t="s">
        <v>8</v>
      </c>
      <c r="Q25" s="38" t="s">
        <v>9</v>
      </c>
      <c r="R25" s="38" t="s">
        <v>10</v>
      </c>
      <c r="S25" s="38" t="s">
        <v>11</v>
      </c>
      <c r="T25" s="38" t="s">
        <v>4</v>
      </c>
      <c r="U25" s="38" t="s">
        <v>134</v>
      </c>
      <c r="V25" s="38" t="s">
        <v>135</v>
      </c>
      <c r="W25" s="38" t="s">
        <v>136</v>
      </c>
      <c r="X25" s="2" t="s">
        <v>104</v>
      </c>
    </row>
    <row r="26" s="2" customFormat="1" ht="15.75" spans="1:24">
      <c r="A26" s="2" t="str">
        <f t="shared" ref="A26:M26" si="5">A3</f>
        <v>标的券-2</v>
      </c>
      <c r="B26" s="2" t="str">
        <f t="shared" si="5"/>
        <v>融入</v>
      </c>
      <c r="C26" s="2" t="str">
        <f t="shared" si="5"/>
        <v>銀行11</v>
      </c>
      <c r="D26" s="2" t="str">
        <f t="shared" si="5"/>
        <v>220011.IB</v>
      </c>
      <c r="E26" s="2" t="str">
        <f t="shared" si="5"/>
        <v>22付息国债11</v>
      </c>
      <c r="F26" s="2" t="str">
        <f t="shared" si="5"/>
        <v>L007</v>
      </c>
      <c r="G26" s="2">
        <f t="shared" si="5"/>
        <v>5</v>
      </c>
      <c r="H26" s="31">
        <f t="shared" si="5"/>
        <v>0.0079</v>
      </c>
      <c r="I26" s="2">
        <f t="shared" si="5"/>
        <v>100000000</v>
      </c>
      <c r="J26" s="59">
        <f t="shared" si="5"/>
        <v>45721</v>
      </c>
      <c r="K26" s="31">
        <f t="shared" si="5"/>
        <v>0.015102</v>
      </c>
      <c r="L26" s="2">
        <f t="shared" si="5"/>
        <v>100.1556</v>
      </c>
      <c r="M26" s="59">
        <f t="shared" si="5"/>
        <v>45726</v>
      </c>
      <c r="N26" s="60">
        <f>K26+H26</f>
        <v>0.023002</v>
      </c>
      <c r="O26" s="42">
        <f>L26-(1+H26*G26/365)</f>
        <v>99.1554917808219</v>
      </c>
      <c r="P26" s="61">
        <v>1.6164</v>
      </c>
      <c r="Q26" s="70">
        <v>1.558</v>
      </c>
      <c r="R26" s="70">
        <v>3.9702</v>
      </c>
      <c r="S26" s="70">
        <v>1.57</v>
      </c>
      <c r="T26" s="70" t="s">
        <v>31</v>
      </c>
      <c r="U26" s="71">
        <f>2.34/100</f>
        <v>0.0234</v>
      </c>
      <c r="V26" s="70">
        <v>99.8372</v>
      </c>
      <c r="W26" s="70">
        <v>100.7001</v>
      </c>
      <c r="X26" s="2" t="s">
        <v>112</v>
      </c>
    </row>
    <row r="32" spans="1:1">
      <c r="A32" t="s">
        <v>112</v>
      </c>
    </row>
    <row r="33" spans="1:7">
      <c r="A33" t="s">
        <v>137</v>
      </c>
      <c r="B33" s="32">
        <f>ROUNDDOWN(T13/C38/10,0)*100</f>
        <v>12288000</v>
      </c>
      <c r="G33" t="s">
        <v>108</v>
      </c>
    </row>
    <row r="34" spans="1:8">
      <c r="A34" t="s">
        <v>138</v>
      </c>
      <c r="B34" t="s">
        <v>139</v>
      </c>
      <c r="G34" t="s">
        <v>140</v>
      </c>
      <c r="H34" s="15" t="str">
        <f>D3</f>
        <v>220011.IB</v>
      </c>
    </row>
    <row r="35" ht="15.75" spans="1:8">
      <c r="A35" s="5" t="s">
        <v>99</v>
      </c>
      <c r="B35" t="s">
        <v>141</v>
      </c>
      <c r="G35" s="5" t="s">
        <v>99</v>
      </c>
      <c r="H35" s="33" t="str">
        <f>E3</f>
        <v>22付息国债11</v>
      </c>
    </row>
    <row r="36" ht="16.5" spans="1:8">
      <c r="A36" s="5" t="s">
        <v>8</v>
      </c>
      <c r="B36" t="s">
        <v>142</v>
      </c>
      <c r="G36" s="5" t="s">
        <v>8</v>
      </c>
      <c r="H36">
        <f>P26</f>
        <v>1.6164</v>
      </c>
    </row>
    <row r="37" ht="16.5" spans="1:8">
      <c r="A37" s="5" t="s">
        <v>9</v>
      </c>
      <c r="B37">
        <v>20.8106</v>
      </c>
      <c r="G37" s="5" t="s">
        <v>9</v>
      </c>
      <c r="H37">
        <f>Q26</f>
        <v>1.558</v>
      </c>
    </row>
    <row r="38" ht="15.75" spans="1:10">
      <c r="A38" t="s">
        <v>143</v>
      </c>
      <c r="B38" s="34">
        <v>0.02115</v>
      </c>
      <c r="C38">
        <v>109.8626</v>
      </c>
      <c r="G38" t="s">
        <v>144</v>
      </c>
      <c r="H38" s="34">
        <v>0.015502</v>
      </c>
      <c r="I38">
        <v>100.1356</v>
      </c>
      <c r="J38" t="s">
        <v>34</v>
      </c>
    </row>
    <row r="39" spans="1:10">
      <c r="A39" t="s">
        <v>145</v>
      </c>
      <c r="B39" s="34">
        <v>0.0196</v>
      </c>
      <c r="G39" t="s">
        <v>146</v>
      </c>
      <c r="H39" s="34">
        <v>0.0137</v>
      </c>
      <c r="I39">
        <v>100.2174</v>
      </c>
      <c r="J39" t="s">
        <v>34</v>
      </c>
    </row>
    <row r="40" spans="1:10">
      <c r="A40" t="s">
        <v>147</v>
      </c>
      <c r="B40" s="34">
        <f>B38-B39</f>
        <v>0.00155</v>
      </c>
      <c r="C40" t="s">
        <v>34</v>
      </c>
      <c r="D40" t="s">
        <v>34</v>
      </c>
      <c r="G40" t="s">
        <v>147</v>
      </c>
      <c r="H40" s="34">
        <f>H38-H39</f>
        <v>0.001802</v>
      </c>
      <c r="I40" t="s">
        <v>34</v>
      </c>
      <c r="J40" t="s">
        <v>34</v>
      </c>
    </row>
    <row r="41" spans="1:10">
      <c r="A41" t="s">
        <v>97</v>
      </c>
      <c r="B41" s="35">
        <f>IF(B40&gt;0,B37*B33*B40,B37*B33*B40)</f>
        <v>396367.01184</v>
      </c>
      <c r="C41" s="36" t="s">
        <v>34</v>
      </c>
      <c r="G41" t="s">
        <v>97</v>
      </c>
      <c r="H41" s="37">
        <f>IF(H40&gt;0,H37*I3*H40,H37*I3*H40)</f>
        <v>280751.6</v>
      </c>
      <c r="I41" s="37">
        <f>(I39-I38)*I3/100</f>
        <v>81800.0000000012</v>
      </c>
      <c r="J41" s="37" t="s">
        <v>34</v>
      </c>
    </row>
    <row r="42" spans="1:8">
      <c r="A42" t="s">
        <v>148</v>
      </c>
      <c r="B42" s="32">
        <f>SUM(P9:P11)</f>
        <v>68178.0821917808</v>
      </c>
      <c r="G42" t="s">
        <v>148</v>
      </c>
      <c r="H42" s="32">
        <f>P3+P5+P6</f>
        <v>41123.2876712329</v>
      </c>
    </row>
    <row r="43" spans="1:8">
      <c r="A43" t="s">
        <v>115</v>
      </c>
      <c r="B43" s="35">
        <f>B41-B42-P13</f>
        <v>289612.217319452</v>
      </c>
      <c r="G43" t="s">
        <v>149</v>
      </c>
      <c r="H43" s="35">
        <f>I41-H42</f>
        <v>40676.7123287683</v>
      </c>
    </row>
    <row r="44" spans="1:8">
      <c r="A44" t="s">
        <v>150</v>
      </c>
      <c r="B44" s="32">
        <v>149088.3978</v>
      </c>
      <c r="G44" t="s">
        <v>151</v>
      </c>
      <c r="H44" s="32">
        <f>T3+T5+T6</f>
        <v>249747.4</v>
      </c>
    </row>
    <row r="45" spans="7:8">
      <c r="G45" t="s">
        <v>152</v>
      </c>
      <c r="H45" s="32">
        <f>U3+U5+U6</f>
        <v>208624.112328767</v>
      </c>
    </row>
    <row r="46" spans="7:8">
      <c r="G46" t="s">
        <v>153</v>
      </c>
      <c r="H46" s="32">
        <f>H41-H42</f>
        <v>239628.312328767</v>
      </c>
    </row>
  </sheetData>
  <dataValidations count="2">
    <dataValidation type="list" allowBlank="1" showInputMessage="1" showErrorMessage="1" sqref="F14 F2:F11">
      <formula1>$AF$1:$AF$3</formula1>
    </dataValidation>
    <dataValidation type="list" allowBlank="1" showInputMessage="1" showErrorMessage="1" sqref="V2:V14">
      <formula1>$AE$1:$AE$4</formula1>
    </dataValidation>
  </dataValidation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融出方向头寸持仓市值风险</vt:lpstr>
      <vt:lpstr>融出方向逐笔利润已实现</vt:lpstr>
      <vt:lpstr>融入方向头寸持仓市值风险</vt:lpstr>
      <vt:lpstr>融入方向逐笔利润已实现-做空-借短买长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glen.xin.guo</cp:lastModifiedBy>
  <dcterms:created xsi:type="dcterms:W3CDTF">2015-06-05T18:17:00Z</dcterms:created>
  <dcterms:modified xsi:type="dcterms:W3CDTF">2025-08-31T00:35:18Z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1954AC6B556E431D89B8F3F1937710FA_13</vt:lpwstr>
  </property>
  <property fmtid="{D5CDD505-2E9C-101B-9397-08002B2CF9AE}" pid="3" name="KSOProductBuildVer">
    <vt:lpwstr>1033-12.2.0.22222</vt:lpwstr>
  </property>
  <property fmtid="{D5CDD505-2E9C-101B-9397-08002B2CF9AE}" pid="4" name="EM_Doc_Temp_ID">
    <vt:lpwstr>B0E7C542-F8A2-4E0E-BE55-465F08618E48</vt:lpwstr>
  </property>
</Properties>
</file>