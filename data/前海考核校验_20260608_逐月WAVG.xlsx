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en\Documents\WXWork\1688854748352376\Cache\File\2026-06\"/>
    </mc:Choice>
  </mc:AlternateContent>
  <xr:revisionPtr revIDLastSave="0" documentId="13_ncr:1_{9576A566-B4F3-45A0-AEAB-1C45DFB6A8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逐月汇总(WAVG)" sheetId="1" r:id="rId1"/>
    <sheet name="逐月汇总" sheetId="4" r:id="rId2"/>
    <sheet name="逐券逐月(WAVG)" sheetId="2" r:id="rId3"/>
    <sheet name="逐券汇总" sheetId="5" r:id="rId4"/>
    <sheet name="Sheet3" sheetId="6" r:id="rId5"/>
    <sheet name="逐月核对说明" sheetId="3" r:id="rId6"/>
  </sheets>
  <definedNames>
    <definedName name="_xlnm._FilterDatabase" localSheetId="4" hidden="1">Sheet3!$A$3:$B$59</definedName>
    <definedName name="_xlnm._FilterDatabase" localSheetId="2" hidden="1">'逐券逐月(WAVG)'!$A$3:$Y$60</definedName>
    <definedName name="_xlnm._FilterDatabase" localSheetId="0" hidden="1">'逐月汇总(WAVG)'!$A$1:$A$7</definedName>
  </definedNames>
  <calcPr calcId="191029" iterate="1" iterateCount="1000" iterateDelta="0.01"/>
</workbook>
</file>

<file path=xl/calcChain.xml><?xml version="1.0" encoding="utf-8"?>
<calcChain xmlns="http://schemas.openxmlformats.org/spreadsheetml/2006/main">
  <c r="P59" i="5" l="1"/>
  <c r="O59" i="5"/>
  <c r="N59" i="5"/>
  <c r="M59" i="5"/>
  <c r="L59" i="5"/>
  <c r="K59" i="5"/>
  <c r="J59" i="5"/>
  <c r="I59" i="5"/>
  <c r="H59" i="5"/>
  <c r="G59" i="5"/>
  <c r="F59" i="5"/>
  <c r="E59" i="5"/>
  <c r="P58" i="5"/>
  <c r="O58" i="5"/>
  <c r="N58" i="5"/>
  <c r="M58" i="5"/>
  <c r="L58" i="5"/>
  <c r="K58" i="5"/>
  <c r="J58" i="5"/>
  <c r="I58" i="5"/>
  <c r="H58" i="5"/>
  <c r="G58" i="5"/>
  <c r="F58" i="5"/>
  <c r="E58" i="5"/>
  <c r="P57" i="5"/>
  <c r="O57" i="5"/>
  <c r="N57" i="5"/>
  <c r="M57" i="5"/>
  <c r="L57" i="5"/>
  <c r="K57" i="5"/>
  <c r="J57" i="5"/>
  <c r="I57" i="5"/>
  <c r="H57" i="5"/>
  <c r="G57" i="5"/>
  <c r="F57" i="5"/>
  <c r="E57" i="5"/>
  <c r="P56" i="5"/>
  <c r="O56" i="5"/>
  <c r="N56" i="5"/>
  <c r="M56" i="5"/>
  <c r="L56" i="5"/>
  <c r="K56" i="5"/>
  <c r="J56" i="5"/>
  <c r="I56" i="5"/>
  <c r="H56" i="5"/>
  <c r="G56" i="5"/>
  <c r="F56" i="5"/>
  <c r="E56" i="5"/>
  <c r="P55" i="5"/>
  <c r="O55" i="5"/>
  <c r="N55" i="5"/>
  <c r="M55" i="5"/>
  <c r="L55" i="5"/>
  <c r="K55" i="5"/>
  <c r="J55" i="5"/>
  <c r="I55" i="5"/>
  <c r="H55" i="5"/>
  <c r="G55" i="5"/>
  <c r="F55" i="5"/>
  <c r="E55" i="5"/>
  <c r="P54" i="5"/>
  <c r="O54" i="5"/>
  <c r="N54" i="5"/>
  <c r="M54" i="5"/>
  <c r="L54" i="5"/>
  <c r="K54" i="5"/>
  <c r="J54" i="5"/>
  <c r="I54" i="5"/>
  <c r="H54" i="5"/>
  <c r="G54" i="5"/>
  <c r="F54" i="5"/>
  <c r="E54" i="5"/>
  <c r="P53" i="5"/>
  <c r="O53" i="5"/>
  <c r="N53" i="5"/>
  <c r="M53" i="5"/>
  <c r="L53" i="5"/>
  <c r="K53" i="5"/>
  <c r="J53" i="5"/>
  <c r="I53" i="5"/>
  <c r="H53" i="5"/>
  <c r="G53" i="5"/>
  <c r="F53" i="5"/>
  <c r="E53" i="5"/>
  <c r="P52" i="5"/>
  <c r="O52" i="5"/>
  <c r="N52" i="5"/>
  <c r="M52" i="5"/>
  <c r="L52" i="5"/>
  <c r="K52" i="5"/>
  <c r="J52" i="5"/>
  <c r="I52" i="5"/>
  <c r="H52" i="5"/>
  <c r="G52" i="5"/>
  <c r="F52" i="5"/>
  <c r="E52" i="5"/>
  <c r="P51" i="5"/>
  <c r="O51" i="5"/>
  <c r="N51" i="5"/>
  <c r="M51" i="5"/>
  <c r="L51" i="5"/>
  <c r="K51" i="5"/>
  <c r="J51" i="5"/>
  <c r="I51" i="5"/>
  <c r="H51" i="5"/>
  <c r="G51" i="5"/>
  <c r="F51" i="5"/>
  <c r="E51" i="5"/>
  <c r="P50" i="5"/>
  <c r="O50" i="5"/>
  <c r="N50" i="5"/>
  <c r="M50" i="5"/>
  <c r="L50" i="5"/>
  <c r="K50" i="5"/>
  <c r="J50" i="5"/>
  <c r="I50" i="5"/>
  <c r="H50" i="5"/>
  <c r="G50" i="5"/>
  <c r="F50" i="5"/>
  <c r="E50" i="5"/>
  <c r="P49" i="5"/>
  <c r="O49" i="5"/>
  <c r="N49" i="5"/>
  <c r="M49" i="5"/>
  <c r="L49" i="5"/>
  <c r="K49" i="5"/>
  <c r="J49" i="5"/>
  <c r="I49" i="5"/>
  <c r="H49" i="5"/>
  <c r="G49" i="5"/>
  <c r="F49" i="5"/>
  <c r="E49" i="5"/>
  <c r="P48" i="5"/>
  <c r="O48" i="5"/>
  <c r="N48" i="5"/>
  <c r="M48" i="5"/>
  <c r="L48" i="5"/>
  <c r="K48" i="5"/>
  <c r="J48" i="5"/>
  <c r="I48" i="5"/>
  <c r="H48" i="5"/>
  <c r="G48" i="5"/>
  <c r="F48" i="5"/>
  <c r="E48" i="5"/>
  <c r="P47" i="5"/>
  <c r="O47" i="5"/>
  <c r="N47" i="5"/>
  <c r="M47" i="5"/>
  <c r="L47" i="5"/>
  <c r="K47" i="5"/>
  <c r="J47" i="5"/>
  <c r="I47" i="5"/>
  <c r="H47" i="5"/>
  <c r="G47" i="5"/>
  <c r="F47" i="5"/>
  <c r="E47" i="5"/>
  <c r="P46" i="5"/>
  <c r="O46" i="5"/>
  <c r="N46" i="5"/>
  <c r="M46" i="5"/>
  <c r="L46" i="5"/>
  <c r="K46" i="5"/>
  <c r="J46" i="5"/>
  <c r="I46" i="5"/>
  <c r="H46" i="5"/>
  <c r="G46" i="5"/>
  <c r="F46" i="5"/>
  <c r="E46" i="5"/>
  <c r="P45" i="5"/>
  <c r="O45" i="5"/>
  <c r="N45" i="5"/>
  <c r="M45" i="5"/>
  <c r="L45" i="5"/>
  <c r="K45" i="5"/>
  <c r="J45" i="5"/>
  <c r="I45" i="5"/>
  <c r="H45" i="5"/>
  <c r="G45" i="5"/>
  <c r="F45" i="5"/>
  <c r="E45" i="5"/>
  <c r="P44" i="5"/>
  <c r="O44" i="5"/>
  <c r="N44" i="5"/>
  <c r="M44" i="5"/>
  <c r="L44" i="5"/>
  <c r="K44" i="5"/>
  <c r="J44" i="5"/>
  <c r="I44" i="5"/>
  <c r="H44" i="5"/>
  <c r="G44" i="5"/>
  <c r="F44" i="5"/>
  <c r="E44" i="5"/>
  <c r="P43" i="5"/>
  <c r="O43" i="5"/>
  <c r="N43" i="5"/>
  <c r="M43" i="5"/>
  <c r="L43" i="5"/>
  <c r="K43" i="5"/>
  <c r="J43" i="5"/>
  <c r="I43" i="5"/>
  <c r="H43" i="5"/>
  <c r="G43" i="5"/>
  <c r="F43" i="5"/>
  <c r="E43" i="5"/>
  <c r="P42" i="5"/>
  <c r="O42" i="5"/>
  <c r="N42" i="5"/>
  <c r="M42" i="5"/>
  <c r="L42" i="5"/>
  <c r="K42" i="5"/>
  <c r="J42" i="5"/>
  <c r="I42" i="5"/>
  <c r="H42" i="5"/>
  <c r="G42" i="5"/>
  <c r="F42" i="5"/>
  <c r="E42" i="5"/>
  <c r="P41" i="5"/>
  <c r="O41" i="5"/>
  <c r="N41" i="5"/>
  <c r="M41" i="5"/>
  <c r="L41" i="5"/>
  <c r="K41" i="5"/>
  <c r="J41" i="5"/>
  <c r="I41" i="5"/>
  <c r="H41" i="5"/>
  <c r="G41" i="5"/>
  <c r="F41" i="5"/>
  <c r="E41" i="5"/>
  <c r="P40" i="5"/>
  <c r="O40" i="5"/>
  <c r="N40" i="5"/>
  <c r="M40" i="5"/>
  <c r="L40" i="5"/>
  <c r="K40" i="5"/>
  <c r="J40" i="5"/>
  <c r="I40" i="5"/>
  <c r="H40" i="5"/>
  <c r="G40" i="5"/>
  <c r="F40" i="5"/>
  <c r="E40" i="5"/>
  <c r="P39" i="5"/>
  <c r="O39" i="5"/>
  <c r="N39" i="5"/>
  <c r="M39" i="5"/>
  <c r="L39" i="5"/>
  <c r="K39" i="5"/>
  <c r="J39" i="5"/>
  <c r="I39" i="5"/>
  <c r="H39" i="5"/>
  <c r="G39" i="5"/>
  <c r="F39" i="5"/>
  <c r="E39" i="5"/>
  <c r="P38" i="5"/>
  <c r="O38" i="5"/>
  <c r="N38" i="5"/>
  <c r="M38" i="5"/>
  <c r="L38" i="5"/>
  <c r="K38" i="5"/>
  <c r="J38" i="5"/>
  <c r="I38" i="5"/>
  <c r="H38" i="5"/>
  <c r="G38" i="5"/>
  <c r="F38" i="5"/>
  <c r="E38" i="5"/>
  <c r="P37" i="5"/>
  <c r="O37" i="5"/>
  <c r="N37" i="5"/>
  <c r="M37" i="5"/>
  <c r="L37" i="5"/>
  <c r="K37" i="5"/>
  <c r="J37" i="5"/>
  <c r="I37" i="5"/>
  <c r="H37" i="5"/>
  <c r="G37" i="5"/>
  <c r="F37" i="5"/>
  <c r="E37" i="5"/>
  <c r="P36" i="5"/>
  <c r="O36" i="5"/>
  <c r="N36" i="5"/>
  <c r="M36" i="5"/>
  <c r="L36" i="5"/>
  <c r="K36" i="5"/>
  <c r="J36" i="5"/>
  <c r="I36" i="5"/>
  <c r="H36" i="5"/>
  <c r="G36" i="5"/>
  <c r="F36" i="5"/>
  <c r="E36" i="5"/>
  <c r="P35" i="5"/>
  <c r="O35" i="5"/>
  <c r="N35" i="5"/>
  <c r="M35" i="5"/>
  <c r="L35" i="5"/>
  <c r="K35" i="5"/>
  <c r="J35" i="5"/>
  <c r="I35" i="5"/>
  <c r="H35" i="5"/>
  <c r="G35" i="5"/>
  <c r="F35" i="5"/>
  <c r="E35" i="5"/>
  <c r="P34" i="5"/>
  <c r="O34" i="5"/>
  <c r="N34" i="5"/>
  <c r="M34" i="5"/>
  <c r="L34" i="5"/>
  <c r="K34" i="5"/>
  <c r="J34" i="5"/>
  <c r="I34" i="5"/>
  <c r="H34" i="5"/>
  <c r="G34" i="5"/>
  <c r="F34" i="5"/>
  <c r="E34" i="5"/>
  <c r="P33" i="5"/>
  <c r="O33" i="5"/>
  <c r="N33" i="5"/>
  <c r="M33" i="5"/>
  <c r="L33" i="5"/>
  <c r="K33" i="5"/>
  <c r="J33" i="5"/>
  <c r="I33" i="5"/>
  <c r="H33" i="5"/>
  <c r="G33" i="5"/>
  <c r="F33" i="5"/>
  <c r="E33" i="5"/>
  <c r="P32" i="5"/>
  <c r="O32" i="5"/>
  <c r="N32" i="5"/>
  <c r="M32" i="5"/>
  <c r="L32" i="5"/>
  <c r="K32" i="5"/>
  <c r="J32" i="5"/>
  <c r="I32" i="5"/>
  <c r="H32" i="5"/>
  <c r="G32" i="5"/>
  <c r="F32" i="5"/>
  <c r="E32" i="5"/>
  <c r="P31" i="5"/>
  <c r="O31" i="5"/>
  <c r="N31" i="5"/>
  <c r="M31" i="5"/>
  <c r="L31" i="5"/>
  <c r="K31" i="5"/>
  <c r="J31" i="5"/>
  <c r="I31" i="5"/>
  <c r="H31" i="5"/>
  <c r="G31" i="5"/>
  <c r="F31" i="5"/>
  <c r="E31" i="5"/>
  <c r="P30" i="5"/>
  <c r="O30" i="5"/>
  <c r="N30" i="5"/>
  <c r="M30" i="5"/>
  <c r="L30" i="5"/>
  <c r="K30" i="5"/>
  <c r="J30" i="5"/>
  <c r="I30" i="5"/>
  <c r="H30" i="5"/>
  <c r="G30" i="5"/>
  <c r="F30" i="5"/>
  <c r="E30" i="5"/>
  <c r="P29" i="5"/>
  <c r="O29" i="5"/>
  <c r="N29" i="5"/>
  <c r="M29" i="5"/>
  <c r="L29" i="5"/>
  <c r="K29" i="5"/>
  <c r="J29" i="5"/>
  <c r="I29" i="5"/>
  <c r="H29" i="5"/>
  <c r="G29" i="5"/>
  <c r="F29" i="5"/>
  <c r="E29" i="5"/>
  <c r="P28" i="5"/>
  <c r="O28" i="5"/>
  <c r="N28" i="5"/>
  <c r="M28" i="5"/>
  <c r="L28" i="5"/>
  <c r="K28" i="5"/>
  <c r="J28" i="5"/>
  <c r="I28" i="5"/>
  <c r="H28" i="5"/>
  <c r="G28" i="5"/>
  <c r="F28" i="5"/>
  <c r="E28" i="5"/>
  <c r="P27" i="5"/>
  <c r="O27" i="5"/>
  <c r="N27" i="5"/>
  <c r="M27" i="5"/>
  <c r="L27" i="5"/>
  <c r="K27" i="5"/>
  <c r="J27" i="5"/>
  <c r="I27" i="5"/>
  <c r="H27" i="5"/>
  <c r="G27" i="5"/>
  <c r="F27" i="5"/>
  <c r="E27" i="5"/>
  <c r="P26" i="5"/>
  <c r="O26" i="5"/>
  <c r="N26" i="5"/>
  <c r="M26" i="5"/>
  <c r="L26" i="5"/>
  <c r="K26" i="5"/>
  <c r="J26" i="5"/>
  <c r="I26" i="5"/>
  <c r="H26" i="5"/>
  <c r="G26" i="5"/>
  <c r="F26" i="5"/>
  <c r="E26" i="5"/>
  <c r="P25" i="5"/>
  <c r="O25" i="5"/>
  <c r="N25" i="5"/>
  <c r="M25" i="5"/>
  <c r="L25" i="5"/>
  <c r="K25" i="5"/>
  <c r="J25" i="5"/>
  <c r="I25" i="5"/>
  <c r="H25" i="5"/>
  <c r="G25" i="5"/>
  <c r="F25" i="5"/>
  <c r="E25" i="5"/>
  <c r="P24" i="5"/>
  <c r="O24" i="5"/>
  <c r="N24" i="5"/>
  <c r="M24" i="5"/>
  <c r="L24" i="5"/>
  <c r="K24" i="5"/>
  <c r="J24" i="5"/>
  <c r="I24" i="5"/>
  <c r="H24" i="5"/>
  <c r="G24" i="5"/>
  <c r="F24" i="5"/>
  <c r="E24" i="5"/>
  <c r="P23" i="5"/>
  <c r="O23" i="5"/>
  <c r="N23" i="5"/>
  <c r="M23" i="5"/>
  <c r="L23" i="5"/>
  <c r="K23" i="5"/>
  <c r="J23" i="5"/>
  <c r="I23" i="5"/>
  <c r="H23" i="5"/>
  <c r="G23" i="5"/>
  <c r="F23" i="5"/>
  <c r="E23" i="5"/>
  <c r="P22" i="5"/>
  <c r="O22" i="5"/>
  <c r="N22" i="5"/>
  <c r="M22" i="5"/>
  <c r="L22" i="5"/>
  <c r="K22" i="5"/>
  <c r="J22" i="5"/>
  <c r="I22" i="5"/>
  <c r="H22" i="5"/>
  <c r="G22" i="5"/>
  <c r="F22" i="5"/>
  <c r="E22" i="5"/>
  <c r="P21" i="5"/>
  <c r="O21" i="5"/>
  <c r="N21" i="5"/>
  <c r="M21" i="5"/>
  <c r="L21" i="5"/>
  <c r="K21" i="5"/>
  <c r="J21" i="5"/>
  <c r="I21" i="5"/>
  <c r="H21" i="5"/>
  <c r="G21" i="5"/>
  <c r="F21" i="5"/>
  <c r="E21" i="5"/>
  <c r="P20" i="5"/>
  <c r="O20" i="5"/>
  <c r="N20" i="5"/>
  <c r="M20" i="5"/>
  <c r="L20" i="5"/>
  <c r="K20" i="5"/>
  <c r="J20" i="5"/>
  <c r="I20" i="5"/>
  <c r="H20" i="5"/>
  <c r="G20" i="5"/>
  <c r="F20" i="5"/>
  <c r="E20" i="5"/>
  <c r="P19" i="5"/>
  <c r="O19" i="5"/>
  <c r="N19" i="5"/>
  <c r="M19" i="5"/>
  <c r="L19" i="5"/>
  <c r="K19" i="5"/>
  <c r="J19" i="5"/>
  <c r="I19" i="5"/>
  <c r="H19" i="5"/>
  <c r="G19" i="5"/>
  <c r="F19" i="5"/>
  <c r="E19" i="5"/>
  <c r="P18" i="5"/>
  <c r="O18" i="5"/>
  <c r="N18" i="5"/>
  <c r="M18" i="5"/>
  <c r="L18" i="5"/>
  <c r="K18" i="5"/>
  <c r="J18" i="5"/>
  <c r="I18" i="5"/>
  <c r="H18" i="5"/>
  <c r="G18" i="5"/>
  <c r="F18" i="5"/>
  <c r="E18" i="5"/>
  <c r="P17" i="5"/>
  <c r="O17" i="5"/>
  <c r="N17" i="5"/>
  <c r="M17" i="5"/>
  <c r="L17" i="5"/>
  <c r="K17" i="5"/>
  <c r="J17" i="5"/>
  <c r="I17" i="5"/>
  <c r="H17" i="5"/>
  <c r="G17" i="5"/>
  <c r="F17" i="5"/>
  <c r="E17" i="5"/>
  <c r="P16" i="5"/>
  <c r="O16" i="5"/>
  <c r="N16" i="5"/>
  <c r="M16" i="5"/>
  <c r="L16" i="5"/>
  <c r="K16" i="5"/>
  <c r="J16" i="5"/>
  <c r="I16" i="5"/>
  <c r="H16" i="5"/>
  <c r="G16" i="5"/>
  <c r="F16" i="5"/>
  <c r="E16" i="5"/>
  <c r="P15" i="5"/>
  <c r="O15" i="5"/>
  <c r="N15" i="5"/>
  <c r="M15" i="5"/>
  <c r="L15" i="5"/>
  <c r="K15" i="5"/>
  <c r="J15" i="5"/>
  <c r="I15" i="5"/>
  <c r="H15" i="5"/>
  <c r="G15" i="5"/>
  <c r="F15" i="5"/>
  <c r="E15" i="5"/>
  <c r="P14" i="5"/>
  <c r="O14" i="5"/>
  <c r="N14" i="5"/>
  <c r="M14" i="5"/>
  <c r="L14" i="5"/>
  <c r="K14" i="5"/>
  <c r="J14" i="5"/>
  <c r="I14" i="5"/>
  <c r="H14" i="5"/>
  <c r="G14" i="5"/>
  <c r="F14" i="5"/>
  <c r="E14" i="5"/>
  <c r="P13" i="5"/>
  <c r="O13" i="5"/>
  <c r="N13" i="5"/>
  <c r="M13" i="5"/>
  <c r="L13" i="5"/>
  <c r="K13" i="5"/>
  <c r="J13" i="5"/>
  <c r="I13" i="5"/>
  <c r="H13" i="5"/>
  <c r="G13" i="5"/>
  <c r="F13" i="5"/>
  <c r="E13" i="5"/>
  <c r="P12" i="5"/>
  <c r="O12" i="5"/>
  <c r="N12" i="5"/>
  <c r="M12" i="5"/>
  <c r="L12" i="5"/>
  <c r="K12" i="5"/>
  <c r="J12" i="5"/>
  <c r="I12" i="5"/>
  <c r="H12" i="5"/>
  <c r="G12" i="5"/>
  <c r="F12" i="5"/>
  <c r="E12" i="5"/>
  <c r="P11" i="5"/>
  <c r="O11" i="5"/>
  <c r="N11" i="5"/>
  <c r="M11" i="5"/>
  <c r="L11" i="5"/>
  <c r="K11" i="5"/>
  <c r="J11" i="5"/>
  <c r="I11" i="5"/>
  <c r="H11" i="5"/>
  <c r="G11" i="5"/>
  <c r="F11" i="5"/>
  <c r="E11" i="5"/>
  <c r="P10" i="5"/>
  <c r="O10" i="5"/>
  <c r="N10" i="5"/>
  <c r="M10" i="5"/>
  <c r="L10" i="5"/>
  <c r="K10" i="5"/>
  <c r="J10" i="5"/>
  <c r="I10" i="5"/>
  <c r="H10" i="5"/>
  <c r="G10" i="5"/>
  <c r="F10" i="5"/>
  <c r="E10" i="5"/>
  <c r="P9" i="5"/>
  <c r="O9" i="5"/>
  <c r="N9" i="5"/>
  <c r="M9" i="5"/>
  <c r="L9" i="5"/>
  <c r="K9" i="5"/>
  <c r="J9" i="5"/>
  <c r="I9" i="5"/>
  <c r="H9" i="5"/>
  <c r="G9" i="5"/>
  <c r="F9" i="5"/>
  <c r="E9" i="5"/>
  <c r="P8" i="5"/>
  <c r="O8" i="5"/>
  <c r="N8" i="5"/>
  <c r="M8" i="5"/>
  <c r="L8" i="5"/>
  <c r="K8" i="5"/>
  <c r="J8" i="5"/>
  <c r="I8" i="5"/>
  <c r="H8" i="5"/>
  <c r="G8" i="5"/>
  <c r="F8" i="5"/>
  <c r="E8" i="5"/>
  <c r="P7" i="5"/>
  <c r="O7" i="5"/>
  <c r="N7" i="5"/>
  <c r="M7" i="5"/>
  <c r="L7" i="5"/>
  <c r="K7" i="5"/>
  <c r="J7" i="5"/>
  <c r="I7" i="5"/>
  <c r="H7" i="5"/>
  <c r="G7" i="5"/>
  <c r="F7" i="5"/>
  <c r="E7" i="5"/>
  <c r="P6" i="5"/>
  <c r="O6" i="5"/>
  <c r="N6" i="5"/>
  <c r="M6" i="5"/>
  <c r="L6" i="5"/>
  <c r="K6" i="5"/>
  <c r="J6" i="5"/>
  <c r="I6" i="5"/>
  <c r="H6" i="5"/>
  <c r="G6" i="5"/>
  <c r="F6" i="5"/>
  <c r="E6" i="5"/>
  <c r="P5" i="5"/>
  <c r="O5" i="5"/>
  <c r="N5" i="5"/>
  <c r="M5" i="5"/>
  <c r="L5" i="5"/>
  <c r="K5" i="5"/>
  <c r="J5" i="5"/>
  <c r="I5" i="5"/>
  <c r="H5" i="5"/>
  <c r="G5" i="5"/>
  <c r="F5" i="5"/>
  <c r="E5" i="5"/>
  <c r="P4" i="5"/>
  <c r="O4" i="5"/>
  <c r="N4" i="5"/>
  <c r="M4" i="5"/>
  <c r="L4" i="5"/>
  <c r="K4" i="5"/>
  <c r="J4" i="5"/>
  <c r="I4" i="5"/>
  <c r="H4" i="5"/>
  <c r="G4" i="5"/>
  <c r="F4" i="5"/>
  <c r="E4" i="5"/>
  <c r="D10" i="1"/>
  <c r="P60" i="5"/>
  <c r="O60" i="5"/>
  <c r="N60" i="5"/>
  <c r="M60" i="5"/>
  <c r="L60" i="5"/>
  <c r="K60" i="5"/>
  <c r="J60" i="5"/>
  <c r="I60" i="5"/>
  <c r="H60" i="5"/>
  <c r="G60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N5" i="5"/>
  <c r="AM5" i="5"/>
  <c r="AL5" i="5"/>
  <c r="AK5" i="5"/>
  <c r="AJ5" i="5"/>
  <c r="AI5" i="5"/>
  <c r="AH5" i="5"/>
  <c r="AG5" i="5"/>
  <c r="AF5" i="5"/>
  <c r="AE5" i="5"/>
  <c r="AD5" i="5"/>
  <c r="AC5" i="5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AN56" i="5"/>
  <c r="AM56" i="5"/>
  <c r="AL56" i="5"/>
  <c r="AK56" i="5"/>
  <c r="AJ56" i="5"/>
  <c r="AI56" i="5"/>
  <c r="AH56" i="5"/>
  <c r="AG56" i="5"/>
  <c r="AF56" i="5"/>
  <c r="AE56" i="5"/>
  <c r="AD56" i="5"/>
  <c r="AC56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L9" i="4"/>
  <c r="AN59" i="5"/>
  <c r="AM59" i="5"/>
  <c r="AL59" i="5"/>
  <c r="AK59" i="5"/>
  <c r="AJ59" i="5"/>
  <c r="AI59" i="5"/>
  <c r="AH59" i="5"/>
  <c r="AG59" i="5"/>
  <c r="AF59" i="5"/>
  <c r="AE59" i="5"/>
  <c r="AN58" i="5"/>
  <c r="AM58" i="5"/>
  <c r="AL58" i="5"/>
  <c r="AK58" i="5"/>
  <c r="AJ58" i="5"/>
  <c r="AI58" i="5"/>
  <c r="AH58" i="5"/>
  <c r="AG58" i="5"/>
  <c r="AF58" i="5"/>
  <c r="AE58" i="5"/>
  <c r="AN57" i="5"/>
  <c r="AM57" i="5"/>
  <c r="AL57" i="5"/>
  <c r="AK57" i="5"/>
  <c r="AJ57" i="5"/>
  <c r="AI57" i="5"/>
  <c r="AH57" i="5"/>
  <c r="AG57" i="5"/>
  <c r="AF57" i="5"/>
  <c r="AE57" i="5"/>
  <c r="AN55" i="5"/>
  <c r="AM55" i="5"/>
  <c r="AL55" i="5"/>
  <c r="AK55" i="5"/>
  <c r="AJ55" i="5"/>
  <c r="AI55" i="5"/>
  <c r="AH55" i="5"/>
  <c r="AG55" i="5"/>
  <c r="AF55" i="5"/>
  <c r="AE55" i="5"/>
  <c r="AN54" i="5"/>
  <c r="AM54" i="5"/>
  <c r="AL54" i="5"/>
  <c r="AK54" i="5"/>
  <c r="AJ54" i="5"/>
  <c r="AI54" i="5"/>
  <c r="AH54" i="5"/>
  <c r="AG54" i="5"/>
  <c r="AF54" i="5"/>
  <c r="AE54" i="5"/>
  <c r="AN53" i="5"/>
  <c r="AM53" i="5"/>
  <c r="AL53" i="5"/>
  <c r="AK53" i="5"/>
  <c r="AJ53" i="5"/>
  <c r="AI53" i="5"/>
  <c r="AH53" i="5"/>
  <c r="AG53" i="5"/>
  <c r="AF53" i="5"/>
  <c r="AE53" i="5"/>
  <c r="AN52" i="5"/>
  <c r="AM52" i="5"/>
  <c r="AL52" i="5"/>
  <c r="AK52" i="5"/>
  <c r="AJ52" i="5"/>
  <c r="AI52" i="5"/>
  <c r="AH52" i="5"/>
  <c r="AG52" i="5"/>
  <c r="AF52" i="5"/>
  <c r="AE52" i="5"/>
  <c r="AN51" i="5"/>
  <c r="AM51" i="5"/>
  <c r="AL51" i="5"/>
  <c r="AK51" i="5"/>
  <c r="AJ51" i="5"/>
  <c r="AI51" i="5"/>
  <c r="AH51" i="5"/>
  <c r="AG51" i="5"/>
  <c r="AF51" i="5"/>
  <c r="AE51" i="5"/>
  <c r="AN50" i="5"/>
  <c r="AM50" i="5"/>
  <c r="AL50" i="5"/>
  <c r="AK50" i="5"/>
  <c r="AJ50" i="5"/>
  <c r="AI50" i="5"/>
  <c r="AH50" i="5"/>
  <c r="AG50" i="5"/>
  <c r="AF50" i="5"/>
  <c r="AE50" i="5"/>
  <c r="AN49" i="5"/>
  <c r="AM49" i="5"/>
  <c r="AL49" i="5"/>
  <c r="AK49" i="5"/>
  <c r="AJ49" i="5"/>
  <c r="AI49" i="5"/>
  <c r="AH49" i="5"/>
  <c r="AG49" i="5"/>
  <c r="AF49" i="5"/>
  <c r="AE49" i="5"/>
  <c r="AN48" i="5"/>
  <c r="AM48" i="5"/>
  <c r="AL48" i="5"/>
  <c r="AK48" i="5"/>
  <c r="AJ48" i="5"/>
  <c r="AI48" i="5"/>
  <c r="AH48" i="5"/>
  <c r="AG48" i="5"/>
  <c r="AF48" i="5"/>
  <c r="AE48" i="5"/>
  <c r="AN47" i="5"/>
  <c r="AM47" i="5"/>
  <c r="AL47" i="5"/>
  <c r="AK47" i="5"/>
  <c r="AJ47" i="5"/>
  <c r="AI47" i="5"/>
  <c r="AH47" i="5"/>
  <c r="AG47" i="5"/>
  <c r="AF47" i="5"/>
  <c r="AE47" i="5"/>
  <c r="AN46" i="5"/>
  <c r="AM46" i="5"/>
  <c r="AL46" i="5"/>
  <c r="AK46" i="5"/>
  <c r="AJ46" i="5"/>
  <c r="AI46" i="5"/>
  <c r="AH46" i="5"/>
  <c r="AG46" i="5"/>
  <c r="AF46" i="5"/>
  <c r="AE46" i="5"/>
  <c r="AN45" i="5"/>
  <c r="AM45" i="5"/>
  <c r="AL45" i="5"/>
  <c r="AK45" i="5"/>
  <c r="AJ45" i="5"/>
  <c r="AI45" i="5"/>
  <c r="AH45" i="5"/>
  <c r="AG45" i="5"/>
  <c r="AF45" i="5"/>
  <c r="AE45" i="5"/>
  <c r="AN44" i="5"/>
  <c r="AM44" i="5"/>
  <c r="AL44" i="5"/>
  <c r="AK44" i="5"/>
  <c r="AJ44" i="5"/>
  <c r="AI44" i="5"/>
  <c r="AH44" i="5"/>
  <c r="AG44" i="5"/>
  <c r="AF44" i="5"/>
  <c r="AE44" i="5"/>
  <c r="AN43" i="5"/>
  <c r="AM43" i="5"/>
  <c r="AL43" i="5"/>
  <c r="AK43" i="5"/>
  <c r="AJ43" i="5"/>
  <c r="AI43" i="5"/>
  <c r="AH43" i="5"/>
  <c r="AG43" i="5"/>
  <c r="AF43" i="5"/>
  <c r="AE43" i="5"/>
  <c r="AN42" i="5"/>
  <c r="AM42" i="5"/>
  <c r="AL42" i="5"/>
  <c r="AK42" i="5"/>
  <c r="AJ42" i="5"/>
  <c r="AI42" i="5"/>
  <c r="AH42" i="5"/>
  <c r="AG42" i="5"/>
  <c r="AF42" i="5"/>
  <c r="AE42" i="5"/>
  <c r="AN41" i="5"/>
  <c r="AM41" i="5"/>
  <c r="AL41" i="5"/>
  <c r="AK41" i="5"/>
  <c r="AJ41" i="5"/>
  <c r="AI41" i="5"/>
  <c r="AH41" i="5"/>
  <c r="AG41" i="5"/>
  <c r="AF41" i="5"/>
  <c r="AE41" i="5"/>
  <c r="AN40" i="5"/>
  <c r="AM40" i="5"/>
  <c r="AL40" i="5"/>
  <c r="AK40" i="5"/>
  <c r="AJ40" i="5"/>
  <c r="AI40" i="5"/>
  <c r="AH40" i="5"/>
  <c r="AG40" i="5"/>
  <c r="AF40" i="5"/>
  <c r="AE40" i="5"/>
  <c r="AN39" i="5"/>
  <c r="AM39" i="5"/>
  <c r="AL39" i="5"/>
  <c r="AK39" i="5"/>
  <c r="AJ39" i="5"/>
  <c r="AI39" i="5"/>
  <c r="AH39" i="5"/>
  <c r="AG39" i="5"/>
  <c r="AF39" i="5"/>
  <c r="AE39" i="5"/>
  <c r="AN38" i="5"/>
  <c r="AM38" i="5"/>
  <c r="AL38" i="5"/>
  <c r="AK38" i="5"/>
  <c r="AJ38" i="5"/>
  <c r="AI38" i="5"/>
  <c r="AH38" i="5"/>
  <c r="AG38" i="5"/>
  <c r="AF38" i="5"/>
  <c r="AE38" i="5"/>
  <c r="AN37" i="5"/>
  <c r="AM37" i="5"/>
  <c r="AL37" i="5"/>
  <c r="AK37" i="5"/>
  <c r="AJ37" i="5"/>
  <c r="AI37" i="5"/>
  <c r="AH37" i="5"/>
  <c r="AG37" i="5"/>
  <c r="AF37" i="5"/>
  <c r="AE37" i="5"/>
  <c r="AN36" i="5"/>
  <c r="AM36" i="5"/>
  <c r="AL36" i="5"/>
  <c r="AK36" i="5"/>
  <c r="AJ36" i="5"/>
  <c r="AI36" i="5"/>
  <c r="AH36" i="5"/>
  <c r="AG36" i="5"/>
  <c r="AF36" i="5"/>
  <c r="AE36" i="5"/>
  <c r="AN35" i="5"/>
  <c r="AM35" i="5"/>
  <c r="AL35" i="5"/>
  <c r="AK35" i="5"/>
  <c r="AJ35" i="5"/>
  <c r="AI35" i="5"/>
  <c r="AH35" i="5"/>
  <c r="AG35" i="5"/>
  <c r="AF35" i="5"/>
  <c r="AE35" i="5"/>
  <c r="AN34" i="5"/>
  <c r="AM34" i="5"/>
  <c r="AL34" i="5"/>
  <c r="AK34" i="5"/>
  <c r="AJ34" i="5"/>
  <c r="AI34" i="5"/>
  <c r="AH34" i="5"/>
  <c r="AG34" i="5"/>
  <c r="AF34" i="5"/>
  <c r="AE34" i="5"/>
  <c r="AN33" i="5"/>
  <c r="AM33" i="5"/>
  <c r="AL33" i="5"/>
  <c r="AK33" i="5"/>
  <c r="AJ33" i="5"/>
  <c r="AI33" i="5"/>
  <c r="AH33" i="5"/>
  <c r="AG33" i="5"/>
  <c r="AF33" i="5"/>
  <c r="AE33" i="5"/>
  <c r="AN32" i="5"/>
  <c r="AM32" i="5"/>
  <c r="AL32" i="5"/>
  <c r="AK32" i="5"/>
  <c r="AJ32" i="5"/>
  <c r="AI32" i="5"/>
  <c r="AH32" i="5"/>
  <c r="AG32" i="5"/>
  <c r="AF32" i="5"/>
  <c r="AE32" i="5"/>
  <c r="AN31" i="5"/>
  <c r="AM31" i="5"/>
  <c r="AL31" i="5"/>
  <c r="AK31" i="5"/>
  <c r="AJ31" i="5"/>
  <c r="AI31" i="5"/>
  <c r="AH31" i="5"/>
  <c r="AG31" i="5"/>
  <c r="AF31" i="5"/>
  <c r="AE31" i="5"/>
  <c r="AN30" i="5"/>
  <c r="AM30" i="5"/>
  <c r="AL30" i="5"/>
  <c r="AK30" i="5"/>
  <c r="AJ30" i="5"/>
  <c r="AI30" i="5"/>
  <c r="AH30" i="5"/>
  <c r="AG30" i="5"/>
  <c r="AF30" i="5"/>
  <c r="AE30" i="5"/>
  <c r="AN28" i="5"/>
  <c r="AM28" i="5"/>
  <c r="AL28" i="5"/>
  <c r="AK28" i="5"/>
  <c r="AJ28" i="5"/>
  <c r="AI28" i="5"/>
  <c r="AH28" i="5"/>
  <c r="AG28" i="5"/>
  <c r="AF28" i="5"/>
  <c r="AE28" i="5"/>
  <c r="AN27" i="5"/>
  <c r="AM27" i="5"/>
  <c r="AL27" i="5"/>
  <c r="AK27" i="5"/>
  <c r="AJ27" i="5"/>
  <c r="AI27" i="5"/>
  <c r="AH27" i="5"/>
  <c r="AG27" i="5"/>
  <c r="AF27" i="5"/>
  <c r="AE27" i="5"/>
  <c r="AN26" i="5"/>
  <c r="AM26" i="5"/>
  <c r="AL26" i="5"/>
  <c r="AK26" i="5"/>
  <c r="AJ26" i="5"/>
  <c r="AI26" i="5"/>
  <c r="AH26" i="5"/>
  <c r="AG26" i="5"/>
  <c r="AF26" i="5"/>
  <c r="AE26" i="5"/>
  <c r="AN25" i="5"/>
  <c r="AM25" i="5"/>
  <c r="AL25" i="5"/>
  <c r="AK25" i="5"/>
  <c r="AJ25" i="5"/>
  <c r="AI25" i="5"/>
  <c r="AH25" i="5"/>
  <c r="AG25" i="5"/>
  <c r="AF25" i="5"/>
  <c r="AE25" i="5"/>
  <c r="AN24" i="5"/>
  <c r="AM24" i="5"/>
  <c r="AL24" i="5"/>
  <c r="AK24" i="5"/>
  <c r="AJ24" i="5"/>
  <c r="AI24" i="5"/>
  <c r="AH24" i="5"/>
  <c r="AG24" i="5"/>
  <c r="AF24" i="5"/>
  <c r="AE24" i="5"/>
  <c r="AN23" i="5"/>
  <c r="AM23" i="5"/>
  <c r="AL23" i="5"/>
  <c r="AK23" i="5"/>
  <c r="AJ23" i="5"/>
  <c r="AI23" i="5"/>
  <c r="AH23" i="5"/>
  <c r="AG23" i="5"/>
  <c r="AF23" i="5"/>
  <c r="AE23" i="5"/>
  <c r="AN22" i="5"/>
  <c r="AM22" i="5"/>
  <c r="AL22" i="5"/>
  <c r="AK22" i="5"/>
  <c r="AJ22" i="5"/>
  <c r="AI22" i="5"/>
  <c r="AH22" i="5"/>
  <c r="AG22" i="5"/>
  <c r="AF22" i="5"/>
  <c r="AE22" i="5"/>
  <c r="AN21" i="5"/>
  <c r="AM21" i="5"/>
  <c r="AL21" i="5"/>
  <c r="AK21" i="5"/>
  <c r="AJ21" i="5"/>
  <c r="AI21" i="5"/>
  <c r="AH21" i="5"/>
  <c r="AG21" i="5"/>
  <c r="AF21" i="5"/>
  <c r="AE21" i="5"/>
  <c r="AN20" i="5"/>
  <c r="AM20" i="5"/>
  <c r="AL20" i="5"/>
  <c r="AK20" i="5"/>
  <c r="AJ20" i="5"/>
  <c r="AI20" i="5"/>
  <c r="AH20" i="5"/>
  <c r="AG20" i="5"/>
  <c r="AF20" i="5"/>
  <c r="AE20" i="5"/>
  <c r="AN19" i="5"/>
  <c r="AM19" i="5"/>
  <c r="AL19" i="5"/>
  <c r="AK19" i="5"/>
  <c r="AJ19" i="5"/>
  <c r="AI19" i="5"/>
  <c r="AH19" i="5"/>
  <c r="AG19" i="5"/>
  <c r="AF19" i="5"/>
  <c r="AE19" i="5"/>
  <c r="AN18" i="5"/>
  <c r="AM18" i="5"/>
  <c r="AL18" i="5"/>
  <c r="AK18" i="5"/>
  <c r="AJ18" i="5"/>
  <c r="AI18" i="5"/>
  <c r="AH18" i="5"/>
  <c r="AG18" i="5"/>
  <c r="AF18" i="5"/>
  <c r="AE18" i="5"/>
  <c r="AN17" i="5"/>
  <c r="AM17" i="5"/>
  <c r="AL17" i="5"/>
  <c r="AK17" i="5"/>
  <c r="AJ17" i="5"/>
  <c r="AI17" i="5"/>
  <c r="AH17" i="5"/>
  <c r="AG17" i="5"/>
  <c r="AF17" i="5"/>
  <c r="AE17" i="5"/>
  <c r="AN16" i="5"/>
  <c r="AM16" i="5"/>
  <c r="AL16" i="5"/>
  <c r="AK16" i="5"/>
  <c r="AJ16" i="5"/>
  <c r="AI16" i="5"/>
  <c r="AH16" i="5"/>
  <c r="AG16" i="5"/>
  <c r="AF16" i="5"/>
  <c r="AE16" i="5"/>
  <c r="AN15" i="5"/>
  <c r="AM15" i="5"/>
  <c r="AL15" i="5"/>
  <c r="AK15" i="5"/>
  <c r="AJ15" i="5"/>
  <c r="AI15" i="5"/>
  <c r="AH15" i="5"/>
  <c r="AG15" i="5"/>
  <c r="AF15" i="5"/>
  <c r="AE15" i="5"/>
  <c r="AN14" i="5"/>
  <c r="AM14" i="5"/>
  <c r="AL14" i="5"/>
  <c r="AK14" i="5"/>
  <c r="AJ14" i="5"/>
  <c r="AI14" i="5"/>
  <c r="AH14" i="5"/>
  <c r="AG14" i="5"/>
  <c r="AF14" i="5"/>
  <c r="AE14" i="5"/>
  <c r="AN13" i="5"/>
  <c r="AM13" i="5"/>
  <c r="AL13" i="5"/>
  <c r="AK13" i="5"/>
  <c r="AJ13" i="5"/>
  <c r="AI13" i="5"/>
  <c r="AH13" i="5"/>
  <c r="AG13" i="5"/>
  <c r="AF13" i="5"/>
  <c r="AE13" i="5"/>
  <c r="AN11" i="5"/>
  <c r="AM11" i="5"/>
  <c r="AL11" i="5"/>
  <c r="AK11" i="5"/>
  <c r="AJ11" i="5"/>
  <c r="AI11" i="5"/>
  <c r="AH11" i="5"/>
  <c r="AG11" i="5"/>
  <c r="AF11" i="5"/>
  <c r="AE11" i="5"/>
  <c r="AN10" i="5"/>
  <c r="AM10" i="5"/>
  <c r="AL10" i="5"/>
  <c r="AK10" i="5"/>
  <c r="AJ10" i="5"/>
  <c r="AI10" i="5"/>
  <c r="AH10" i="5"/>
  <c r="AG10" i="5"/>
  <c r="AF10" i="5"/>
  <c r="AE10" i="5"/>
  <c r="AN9" i="5"/>
  <c r="AM9" i="5"/>
  <c r="AL9" i="5"/>
  <c r="AK9" i="5"/>
  <c r="AJ9" i="5"/>
  <c r="AI9" i="5"/>
  <c r="AH9" i="5"/>
  <c r="AG9" i="5"/>
  <c r="AF9" i="5"/>
  <c r="AE9" i="5"/>
  <c r="AN8" i="5"/>
  <c r="AM8" i="5"/>
  <c r="AL8" i="5"/>
  <c r="AK8" i="5"/>
  <c r="AJ8" i="5"/>
  <c r="AI8" i="5"/>
  <c r="AH8" i="5"/>
  <c r="AG8" i="5"/>
  <c r="AF8" i="5"/>
  <c r="AE8" i="5"/>
  <c r="AN7" i="5"/>
  <c r="AM7" i="5"/>
  <c r="AL7" i="5"/>
  <c r="AK7" i="5"/>
  <c r="AJ7" i="5"/>
  <c r="AI7" i="5"/>
  <c r="AH7" i="5"/>
  <c r="AG7" i="5"/>
  <c r="AF7" i="5"/>
  <c r="AE7" i="5"/>
  <c r="AN6" i="5"/>
  <c r="AM6" i="5"/>
  <c r="AL6" i="5"/>
  <c r="AK6" i="5"/>
  <c r="AJ6" i="5"/>
  <c r="AI6" i="5"/>
  <c r="AH6" i="5"/>
  <c r="AG6" i="5"/>
  <c r="AF6" i="5"/>
  <c r="AE6" i="5"/>
  <c r="AN4" i="5"/>
  <c r="AM4" i="5"/>
  <c r="AL4" i="5"/>
  <c r="AK4" i="5"/>
  <c r="AJ4" i="5"/>
  <c r="AI4" i="5"/>
  <c r="AH4" i="5"/>
  <c r="AG4" i="5"/>
  <c r="AF4" i="5"/>
  <c r="AE4" i="5"/>
  <c r="AD59" i="5"/>
  <c r="AC59" i="5"/>
  <c r="AD58" i="5"/>
  <c r="AC58" i="5"/>
  <c r="AD57" i="5"/>
  <c r="AC57" i="5"/>
  <c r="AD55" i="5"/>
  <c r="AC55" i="5"/>
  <c r="AD54" i="5"/>
  <c r="AC54" i="5"/>
  <c r="AD53" i="5"/>
  <c r="AC53" i="5"/>
  <c r="AD52" i="5"/>
  <c r="AC52" i="5"/>
  <c r="AD51" i="5"/>
  <c r="AC51" i="5"/>
  <c r="AD50" i="5"/>
  <c r="AC50" i="5"/>
  <c r="AD49" i="5"/>
  <c r="AC49" i="5"/>
  <c r="AD48" i="5"/>
  <c r="AC48" i="5"/>
  <c r="AD47" i="5"/>
  <c r="AC47" i="5"/>
  <c r="AD46" i="5"/>
  <c r="AC46" i="5"/>
  <c r="AD45" i="5"/>
  <c r="AC45" i="5"/>
  <c r="AD44" i="5"/>
  <c r="AC44" i="5"/>
  <c r="AD43" i="5"/>
  <c r="AC43" i="5"/>
  <c r="AD42" i="5"/>
  <c r="AC42" i="5"/>
  <c r="AD41" i="5"/>
  <c r="AC41" i="5"/>
  <c r="AD40" i="5"/>
  <c r="AC40" i="5"/>
  <c r="AD39" i="5"/>
  <c r="AC39" i="5"/>
  <c r="AD38" i="5"/>
  <c r="AC38" i="5"/>
  <c r="AD37" i="5"/>
  <c r="AC37" i="5"/>
  <c r="AD36" i="5"/>
  <c r="AC36" i="5"/>
  <c r="AD35" i="5"/>
  <c r="AC35" i="5"/>
  <c r="AD34" i="5"/>
  <c r="AC34" i="5"/>
  <c r="AD33" i="5"/>
  <c r="AC33" i="5"/>
  <c r="AD32" i="5"/>
  <c r="AC32" i="5"/>
  <c r="AD31" i="5"/>
  <c r="AC31" i="5"/>
  <c r="AD30" i="5"/>
  <c r="AC30" i="5"/>
  <c r="AD28" i="5"/>
  <c r="AC28" i="5"/>
  <c r="AD27" i="5"/>
  <c r="AC27" i="5"/>
  <c r="AD26" i="5"/>
  <c r="AC26" i="5"/>
  <c r="AD25" i="5"/>
  <c r="AC25" i="5"/>
  <c r="AD24" i="5"/>
  <c r="AC24" i="5"/>
  <c r="AD23" i="5"/>
  <c r="AC23" i="5"/>
  <c r="AD22" i="5"/>
  <c r="AC22" i="5"/>
  <c r="AD21" i="5"/>
  <c r="AC21" i="5"/>
  <c r="AD20" i="5"/>
  <c r="AC20" i="5"/>
  <c r="AD19" i="5"/>
  <c r="AC19" i="5"/>
  <c r="AD18" i="5"/>
  <c r="AC18" i="5"/>
  <c r="AD17" i="5"/>
  <c r="AC17" i="5"/>
  <c r="AD16" i="5"/>
  <c r="AC16" i="5"/>
  <c r="AD15" i="5"/>
  <c r="AC15" i="5"/>
  <c r="AD14" i="5"/>
  <c r="AC14" i="5"/>
  <c r="AD13" i="5"/>
  <c r="AC13" i="5"/>
  <c r="AD11" i="5"/>
  <c r="AC11" i="5"/>
  <c r="AD10" i="5"/>
  <c r="AC10" i="5"/>
  <c r="AD9" i="5"/>
  <c r="AC9" i="5"/>
  <c r="AD8" i="5"/>
  <c r="AC8" i="5"/>
  <c r="AD7" i="5"/>
  <c r="AC7" i="5"/>
  <c r="AD6" i="5"/>
  <c r="AC6" i="5"/>
  <c r="AD4" i="5"/>
  <c r="AC4" i="5"/>
  <c r="O9" i="1"/>
  <c r="N9" i="1"/>
  <c r="M9" i="1"/>
  <c r="K9" i="1"/>
  <c r="I9" i="1"/>
  <c r="G9" i="1"/>
  <c r="L9" i="1"/>
  <c r="J9" i="1"/>
  <c r="H9" i="1"/>
  <c r="F9" i="1"/>
  <c r="E9" i="1"/>
  <c r="O8" i="1"/>
  <c r="O10" i="1" s="1"/>
  <c r="N8" i="1"/>
  <c r="N10" i="1" s="1"/>
  <c r="M8" i="1"/>
  <c r="M10" i="1" s="1"/>
  <c r="L8" i="1"/>
  <c r="L10" i="1" s="1"/>
  <c r="K8" i="1"/>
  <c r="K10" i="1" s="1"/>
  <c r="J8" i="1"/>
  <c r="J10" i="1" s="1"/>
  <c r="I8" i="1"/>
  <c r="I10" i="1" s="1"/>
  <c r="H8" i="1"/>
  <c r="H10" i="1" s="1"/>
  <c r="G8" i="1"/>
  <c r="G10" i="1" s="1"/>
  <c r="F8" i="1"/>
  <c r="F10" i="1" s="1"/>
  <c r="E8" i="1"/>
  <c r="E10" i="1" s="1"/>
  <c r="D8" i="1"/>
  <c r="D9" i="1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F60" i="5" l="1"/>
  <c r="E60" i="5"/>
</calcChain>
</file>

<file path=xl/sharedStrings.xml><?xml version="1.0" encoding="utf-8"?>
<sst xmlns="http://schemas.openxmlformats.org/spreadsheetml/2006/main" count="576" uniqueCount="289">
  <si>
    <t>逐月汇总 · WAVG（第三轨）· 2026-01-01 → 2026-06-08</t>
  </si>
  <si>
    <t>口径</t>
  </si>
  <si>
    <t>期初MTM</t>
  </si>
  <si>
    <t>期初WAVG-持仓成本</t>
  </si>
  <si>
    <t>2026-01 RPNL</t>
  </si>
  <si>
    <t>2026-01 MTM</t>
  </si>
  <si>
    <t>2026-02 RPNL</t>
  </si>
  <si>
    <t>2026-02 MTM</t>
  </si>
  <si>
    <t>2026-03 RPNL</t>
  </si>
  <si>
    <t>2026-03 MTM</t>
  </si>
  <si>
    <t>2026-04 RPNL</t>
  </si>
  <si>
    <t>2026-04 MTM</t>
  </si>
  <si>
    <t>2026-05 RPNL</t>
  </si>
  <si>
    <t>2026-05 MTM</t>
  </si>
  <si>
    <t>2026-06 RPNL</t>
  </si>
  <si>
    <t>2026-06 MTM</t>
  </si>
  <si>
    <t>累计 WAVG-RPNL</t>
  </si>
  <si>
    <t>累计 WAVG-MTM</t>
  </si>
  <si>
    <t>场内</t>
  </si>
  <si>
    <t>深港</t>
  </si>
  <si>
    <t>现货合计</t>
  </si>
  <si>
    <t>累计</t>
  </si>
  <si>
    <t>逐券逐月 · WAVG · 2026-01-01 → 2026-06-08</t>
  </si>
  <si>
    <t>证券名称</t>
  </si>
  <si>
    <t>证券代码</t>
  </si>
  <si>
    <t>标准代码</t>
  </si>
  <si>
    <t>叶子投组</t>
  </si>
  <si>
    <t>市场</t>
  </si>
  <si>
    <t>期初持仓</t>
  </si>
  <si>
    <t>净持仓</t>
  </si>
  <si>
    <t>WAVG-持仓成本</t>
  </si>
  <si>
    <t>累计 WAVG-总浮动(期初→估值日)</t>
  </si>
  <si>
    <t>平安银行</t>
  </si>
  <si>
    <t>000001</t>
  </si>
  <si>
    <t>000001.SZ</t>
  </si>
  <si>
    <t>美的集团</t>
  </si>
  <si>
    <t>000333</t>
  </si>
  <si>
    <t>000333.SZ</t>
  </si>
  <si>
    <t>泸州老窖</t>
  </si>
  <si>
    <t>000568</t>
  </si>
  <si>
    <t>000568.SZ</t>
  </si>
  <si>
    <t>五 粮 液</t>
  </si>
  <si>
    <t>000858</t>
  </si>
  <si>
    <t>000858.SZ</t>
  </si>
  <si>
    <t>江阴银行</t>
  </si>
  <si>
    <t>002807</t>
  </si>
  <si>
    <t>002807.SZ</t>
  </si>
  <si>
    <t>张家港行</t>
  </si>
  <si>
    <t>002839</t>
  </si>
  <si>
    <t>002839.SZ</t>
  </si>
  <si>
    <t>招商银行</t>
  </si>
  <si>
    <t>600036</t>
  </si>
  <si>
    <t>600036.SH</t>
  </si>
  <si>
    <t>贵州茅台</t>
  </si>
  <si>
    <t>600519</t>
  </si>
  <si>
    <t>600519.SH</t>
  </si>
  <si>
    <t>海尔智家</t>
  </si>
  <si>
    <t>600690</t>
  </si>
  <si>
    <t>600690.SH</t>
  </si>
  <si>
    <t>山西汾酒</t>
  </si>
  <si>
    <t>600809</t>
  </si>
  <si>
    <t>600809.SH</t>
  </si>
  <si>
    <t>伊利股份</t>
  </si>
  <si>
    <t>600887</t>
  </si>
  <si>
    <t>600887.SH</t>
  </si>
  <si>
    <t>无锡银行</t>
  </si>
  <si>
    <t>600908</t>
  </si>
  <si>
    <t>600908.SH</t>
  </si>
  <si>
    <t>江苏银行</t>
  </si>
  <si>
    <t>600919</t>
  </si>
  <si>
    <t>600919.SH</t>
  </si>
  <si>
    <t>南京银行</t>
  </si>
  <si>
    <t>601009</t>
  </si>
  <si>
    <t>601009.SH</t>
  </si>
  <si>
    <t>中南传媒</t>
  </si>
  <si>
    <t>601098</t>
  </si>
  <si>
    <t>601098.SH</t>
  </si>
  <si>
    <t>兴业银行</t>
  </si>
  <si>
    <t>601166</t>
  </si>
  <si>
    <t>601166.SH</t>
  </si>
  <si>
    <t>北京银行</t>
  </si>
  <si>
    <t>601169</t>
  </si>
  <si>
    <t>601169.SH</t>
  </si>
  <si>
    <t>长沙银行</t>
  </si>
  <si>
    <t>601577</t>
  </si>
  <si>
    <t>601577.SH</t>
  </si>
  <si>
    <t>光大银行</t>
  </si>
  <si>
    <t>601818</t>
  </si>
  <si>
    <t>601818.SH</t>
  </si>
  <si>
    <t>沪农商行</t>
  </si>
  <si>
    <t>601825</t>
  </si>
  <si>
    <t>601825.SH</t>
  </si>
  <si>
    <t>南方传媒</t>
  </si>
  <si>
    <t>601900</t>
  </si>
  <si>
    <t>601900.SH</t>
  </si>
  <si>
    <t>迎驾贡酒</t>
  </si>
  <si>
    <t>603198</t>
  </si>
  <si>
    <t>603198.SH</t>
  </si>
  <si>
    <t>今世缘</t>
  </si>
  <si>
    <t>603369</t>
  </si>
  <si>
    <t>603369.SH</t>
  </si>
  <si>
    <t>江苏宁沪高速公路</t>
  </si>
  <si>
    <t>177</t>
  </si>
  <si>
    <t>0177.HK</t>
  </si>
  <si>
    <t>300</t>
  </si>
  <si>
    <t>0300.HK</t>
  </si>
  <si>
    <t>康师傅控股</t>
  </si>
  <si>
    <t>322</t>
  </si>
  <si>
    <t>0322.HK</t>
  </si>
  <si>
    <t>北控水务集团</t>
  </si>
  <si>
    <t>371</t>
  </si>
  <si>
    <t>0371.HK</t>
  </si>
  <si>
    <t>浙江沪杭甬</t>
  </si>
  <si>
    <t>576</t>
  </si>
  <si>
    <t>0576.HK</t>
  </si>
  <si>
    <t>中国电信</t>
  </si>
  <si>
    <t>728</t>
  </si>
  <si>
    <t>0728.HK</t>
  </si>
  <si>
    <t>中国联通</t>
  </si>
  <si>
    <t>762</t>
  </si>
  <si>
    <t>0762.HK</t>
  </si>
  <si>
    <t>中国铁塔</t>
  </si>
  <si>
    <t>788</t>
  </si>
  <si>
    <t>0788.HK</t>
  </si>
  <si>
    <t>新华文轩</t>
  </si>
  <si>
    <t>811</t>
  </si>
  <si>
    <t>0811.HK</t>
  </si>
  <si>
    <t>华润电力</t>
  </si>
  <si>
    <t>836</t>
  </si>
  <si>
    <t>0836.HK</t>
  </si>
  <si>
    <t>中国海洋石油</t>
  </si>
  <si>
    <t>883</t>
  </si>
  <si>
    <t>0883.HK</t>
  </si>
  <si>
    <t>建设银行</t>
  </si>
  <si>
    <t>939</t>
  </si>
  <si>
    <t>0939.HK</t>
  </si>
  <si>
    <t>中国移动</t>
  </si>
  <si>
    <t>941</t>
  </si>
  <si>
    <t>0941.HK</t>
  </si>
  <si>
    <t>安徽皖通高速公路</t>
  </si>
  <si>
    <t>995</t>
  </si>
  <si>
    <t>0995.HK</t>
  </si>
  <si>
    <t>中信银行</t>
  </si>
  <si>
    <t>998</t>
  </si>
  <si>
    <t>0998.HK</t>
  </si>
  <si>
    <t>华电国际电力股份</t>
  </si>
  <si>
    <t>1071</t>
  </si>
  <si>
    <t>1071.HK</t>
  </si>
  <si>
    <t>中国神华</t>
  </si>
  <si>
    <t>1088</t>
  </si>
  <si>
    <t>1088.HK</t>
  </si>
  <si>
    <t>特步国际</t>
  </si>
  <si>
    <t>1368</t>
  </si>
  <si>
    <t>1368.HK</t>
  </si>
  <si>
    <t>工商银行</t>
  </si>
  <si>
    <t>1398</t>
  </si>
  <si>
    <t>1398.HK</t>
  </si>
  <si>
    <t>浙商银行</t>
  </si>
  <si>
    <t>2016</t>
  </si>
  <si>
    <t>2016.HK</t>
  </si>
  <si>
    <t>安踏体育</t>
  </si>
  <si>
    <t>2020</t>
  </si>
  <si>
    <t>2020.HK</t>
  </si>
  <si>
    <t>中国平安</t>
  </si>
  <si>
    <t>2318</t>
  </si>
  <si>
    <t>2318.HK</t>
  </si>
  <si>
    <t>蒙牛乳业</t>
  </si>
  <si>
    <t>2319</t>
  </si>
  <si>
    <t>2319.HK</t>
  </si>
  <si>
    <t>上海医药</t>
  </si>
  <si>
    <t>2607</t>
  </si>
  <si>
    <t>2607.HK</t>
  </si>
  <si>
    <t>交通银行</t>
  </si>
  <si>
    <t>3328</t>
  </si>
  <si>
    <t>3328.HK</t>
  </si>
  <si>
    <t>联邦制药</t>
  </si>
  <si>
    <t>3933</t>
  </si>
  <si>
    <t>3933.HK</t>
  </si>
  <si>
    <t>中国银行</t>
  </si>
  <si>
    <t>3988</t>
  </si>
  <si>
    <t>3988.HK</t>
  </si>
  <si>
    <t>波司登</t>
  </si>
  <si>
    <t>3998</t>
  </si>
  <si>
    <t>3998.HK</t>
  </si>
  <si>
    <t>6690</t>
  </si>
  <si>
    <t>6690.HK</t>
  </si>
  <si>
    <t>中国光大银行</t>
  </si>
  <si>
    <t>6818</t>
  </si>
  <si>
    <t>6818.HK</t>
  </si>
  <si>
    <t>海底捞</t>
  </si>
  <si>
    <t>6862</t>
  </si>
  <si>
    <t>6862.HK</t>
  </si>
  <si>
    <t>卫龙美味</t>
  </si>
  <si>
    <t>9985</t>
  </si>
  <si>
    <t>9985.HK</t>
  </si>
  <si>
    <t>合计</t>
  </si>
  <si>
    <t>项</t>
  </si>
  <si>
    <t>值</t>
  </si>
  <si>
    <t>估值日</t>
  </si>
  <si>
    <t>2026-06-08</t>
  </si>
  <si>
    <t>报告起点</t>
  </si>
  <si>
    <t>2026-01-01</t>
  </si>
  <si>
    <t>月份锚点</t>
  </si>
  <si>
    <t>2026-01-31, 2026-02-28, 2026-03-31, 2026-04-30, 2026-05-31, 2026-06-08</t>
  </si>
  <si>
    <t>成本口径</t>
  </si>
  <si>
    <t>WAVG（第三轨）移动加权：期初成本入池，卖出按当时均价结转</t>
  </si>
  <si>
    <t>期初持仓在 2026-01-01 盯市浮动 = qty×市价(CNY) − 期初成本</t>
  </si>
  <si>
    <t>期初持仓成本合计(CNY)，即 WAVG 成本池起点</t>
  </si>
  <si>
    <t>估值日残余 WAVG 成本池（期末）</t>
  </si>
  <si>
    <t>月度 RPNL</t>
  </si>
  <si>
    <t>当月增量 = 累计 WAVG-RPNL(锚点) − 上月累计</t>
  </si>
  <si>
    <t>月度 MTM</t>
  </si>
  <si>
    <t>当月增量 = 累计 WAVG-MTM(锚点) − 上月累计；首月减期初MTM</t>
  </si>
  <si>
    <t>末行「合计」</t>
  </si>
  <si>
    <t>仅逐券表：各列当月增量/期末值的 SUBTOTAL 求和</t>
  </si>
  <si>
    <t>末行「累计」</t>
  </si>
  <si>
    <t>各月 RPNL/MTM 列填截至该月末的组合累计值（非增量）；与右侧累计列末月一致</t>
  </si>
  <si>
    <t>逐月汇总</t>
  </si>
  <si>
    <t>仅展示场内/深港/现货合计三行 + 末行累计；不做合计 SUBTOTAL（避免与现货合计重复加总）</t>
  </si>
  <si>
    <t>行情文件</t>
  </si>
  <si>
    <t>E:\work\mcp\mathema-git\mcp-valuation-engine\docs\customer\QIANHAI\scripts\input\我们准备的市场数据，历史\EQUITY_SPOT_PRICES_HIST.csv</t>
  </si>
  <si>
    <t>说明</t>
  </si>
  <si>
    <t>独立逐月核对簿（仅三 sheet）；不含领导考核 FIFO；可与 Part_II_a_第三轨 合计对账</t>
  </si>
  <si>
    <t>2026年1月.xlsx（客户），持仓公允:</t>
  </si>
  <si>
    <t>，1月底，差了5502元</t>
  </si>
  <si>
    <t>已实现</t>
  </si>
  <si>
    <t>浮动</t>
  </si>
  <si>
    <t>绩效归因产品口径一级分类</t>
  </si>
  <si>
    <t>绩效归因产品口径二级分类</t>
  </si>
  <si>
    <t>绩效归因科目口径</t>
  </si>
  <si>
    <t>2026年初</t>
  </si>
  <si>
    <t>2026-01</t>
  </si>
  <si>
    <t>2026-02</t>
  </si>
  <si>
    <t>2026-03</t>
  </si>
  <si>
    <t>2026-04</t>
  </si>
  <si>
    <t>2026-05</t>
  </si>
  <si>
    <t>2026-06</t>
  </si>
  <si>
    <t>其他</t>
  </si>
  <si>
    <t>买入返售</t>
  </si>
  <si>
    <t>利息盈亏</t>
  </si>
  <si>
    <t>资金</t>
  </si>
  <si>
    <t>权益类产品</t>
  </si>
  <si>
    <t>股票</t>
  </si>
  <si>
    <t>浮动盈亏</t>
  </si>
  <si>
    <t>股利盈亏</t>
  </si>
  <si>
    <t>价差盈亏</t>
  </si>
  <si>
    <t>交易费用</t>
  </si>
  <si>
    <t>OCI公允</t>
  </si>
  <si>
    <t>OCI价差</t>
  </si>
  <si>
    <t>估值</t>
  </si>
  <si>
    <t>当月发生</t>
  </si>
  <si>
    <t>差异</t>
  </si>
  <si>
    <t>六级科目名称</t>
  </si>
  <si>
    <t>XD伊利股</t>
  </si>
  <si>
    <t>H00177</t>
  </si>
  <si>
    <t>H00300</t>
  </si>
  <si>
    <t>H00322</t>
  </si>
  <si>
    <t>H00371</t>
  </si>
  <si>
    <t>H00576</t>
  </si>
  <si>
    <t>H00728</t>
  </si>
  <si>
    <t>H00762</t>
  </si>
  <si>
    <t>H00788</t>
  </si>
  <si>
    <t>H00811</t>
  </si>
  <si>
    <t>H00836</t>
  </si>
  <si>
    <t>H00883</t>
  </si>
  <si>
    <t>H00939</t>
  </si>
  <si>
    <t>H00941</t>
  </si>
  <si>
    <t>H00995</t>
  </si>
  <si>
    <t>H00998</t>
  </si>
  <si>
    <t>H01071</t>
  </si>
  <si>
    <t>H01088</t>
  </si>
  <si>
    <t>H01368</t>
  </si>
  <si>
    <t>H01398</t>
  </si>
  <si>
    <t>H02016</t>
  </si>
  <si>
    <t>H02020</t>
  </si>
  <si>
    <t>H02318</t>
  </si>
  <si>
    <t>H02319</t>
  </si>
  <si>
    <t>H02607</t>
  </si>
  <si>
    <t>H03328</t>
  </si>
  <si>
    <t>H03933</t>
  </si>
  <si>
    <t>H03988</t>
  </si>
  <si>
    <t>H03998</t>
  </si>
  <si>
    <t>H06690</t>
  </si>
  <si>
    <t>H06818</t>
  </si>
  <si>
    <t>H06862</t>
  </si>
  <si>
    <t>H09985</t>
  </si>
  <si>
    <t>RPNL</t>
  </si>
  <si>
    <t>MTM</t>
  </si>
  <si>
    <t>报告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</si>
</sst>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</font>
    <font>
      <sz val="6"/>
      <color rgb="FF79809A"/>
      <name val="微软雅黑"/>
      <family val="2"/>
      <charset val="134"/>
    </font>
    <font>
      <sz val="6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2">
    <xf numFmtId="0" fontId="0" fillId="0" borderId="0" xfId="0"/>
    <xf numFmtId="0" fontId="2" fillId="3" borderId="0" xfId="0" applyFont="1" applyFill="1"/>
    <xf numFmtId="164" fontId="2" fillId="2" borderId="0" xfId="1" applyFont="1" applyFill="1"/>
    <xf numFmtId="164" fontId="0" fillId="0" borderId="0" xfId="1" applyFont="1"/>
    <xf numFmtId="164" fontId="2" fillId="3" borderId="0" xfId="1" applyFont="1" applyFill="1"/>
    <xf numFmtId="164" fontId="0" fillId="0" borderId="0" xfId="1" applyFont="1" applyAlignment="1">
      <alignment horizontal="right"/>
    </xf>
    <xf numFmtId="164" fontId="4" fillId="0" borderId="0" xfId="1" applyFont="1"/>
    <xf numFmtId="164" fontId="5" fillId="2" borderId="0" xfId="1" applyFont="1" applyFill="1"/>
    <xf numFmtId="164" fontId="6" fillId="0" borderId="0" xfId="1" applyFont="1"/>
    <xf numFmtId="164" fontId="5" fillId="3" borderId="0" xfId="1" applyFont="1" applyFill="1"/>
    <xf numFmtId="164" fontId="1" fillId="0" borderId="0" xfId="1" applyFont="1"/>
    <xf numFmtId="164" fontId="0" fillId="0" borderId="0" xfId="1" applyFont="1"/>
    <xf numFmtId="0" fontId="1" fillId="0" borderId="0" xfId="0" applyFont="1"/>
    <xf numFmtId="0" fontId="0" fillId="0" borderId="0" xfId="0"/>
    <xf numFmtId="43" fontId="0" fillId="0" borderId="0" xfId="0" applyNumberFormat="1"/>
    <xf numFmtId="0" fontId="7" fillId="3" borderId="0" xfId="0" applyFont="1" applyFill="1"/>
    <xf numFmtId="164" fontId="7" fillId="2" borderId="0" xfId="1" applyFont="1" applyFill="1"/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1" applyFont="1" applyBorder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4" fontId="9" fillId="4" borderId="1" xfId="1" applyFont="1" applyFill="1" applyBorder="1"/>
    <xf numFmtId="164" fontId="0" fillId="0" borderId="2" xfId="1" applyFont="1" applyBorder="1" applyAlignment="1">
      <alignment horizontal="center"/>
    </xf>
    <xf numFmtId="164" fontId="0" fillId="0" borderId="0" xfId="0" applyNumberFormat="1"/>
    <xf numFmtId="164" fontId="0" fillId="4" borderId="1" xfId="1" applyFont="1" applyFill="1" applyBorder="1"/>
    <xf numFmtId="164" fontId="0" fillId="5" borderId="1" xfId="1" applyFont="1" applyFill="1" applyBorder="1"/>
    <xf numFmtId="0" fontId="0" fillId="0" borderId="0" xfId="0" applyFont="1"/>
    <xf numFmtId="0" fontId="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17" fontId="10" fillId="4" borderId="1" xfId="0" applyNumberFormat="1" applyFont="1" applyFill="1" applyBorder="1" applyAlignment="1">
      <alignment horizontal="center" vertical="center" wrapText="1"/>
    </xf>
    <xf numFmtId="17" fontId="10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0" fontId="0" fillId="5" borderId="1" xfId="0" applyFont="1" applyFill="1" applyBorder="1" applyAlignment="1">
      <alignment horizontal="center"/>
    </xf>
    <xf numFmtId="164" fontId="7" fillId="5" borderId="0" xfId="1" applyFont="1" applyFill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1221786</xdr:colOff>
      <xdr:row>64</xdr:row>
      <xdr:rowOff>85725</xdr:rowOff>
    </xdr:from>
    <xdr:to>
      <xdr:col>14</xdr:col>
      <xdr:colOff>771524</xdr:colOff>
      <xdr:row>77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F9FED-77C7-545B-D08F-D98EEB812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4886" y="12325350"/>
          <a:ext cx="5664788" cy="2552700"/>
        </a:xfrm>
        <a:prstGeom prst="rect">
          <a:avLst/>
        </a:prstGeom>
      </xdr:spPr>
    </xdr:pic>
    <xdr:clientData/>
  </xdr:twoCellAnchor>
  <xdr:twoCellAnchor>
    <xdr:from>
      <xdr:col>10</xdr:col>
      <xdr:colOff>409575</xdr:colOff>
      <xdr:row>63</xdr:row>
      <xdr:rowOff>95250</xdr:rowOff>
    </xdr:from>
    <xdr:to>
      <xdr:col>12</xdr:col>
      <xdr:colOff>466725</xdr:colOff>
      <xdr:row>66</xdr:row>
      <xdr:rowOff>19050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3770E69-624A-40CD-4832-4B4F65C9B7D8}"/>
            </a:ext>
          </a:extLst>
        </xdr:cNvPr>
        <xdr:cNvSpPr/>
      </xdr:nvSpPr>
      <xdr:spPr>
        <a:xfrm>
          <a:off x="8667750" y="12144375"/>
          <a:ext cx="1847850" cy="4953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400" b="1">
              <a:solidFill>
                <a:schemeClr val="bg1">
                  <a:lumMod val="95000"/>
                </a:schemeClr>
              </a:solidFill>
            </a:rPr>
            <a:t>分解</a:t>
          </a:r>
          <a:endParaRPr lang="en-US" sz="14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70" zoomScaleNormal="70" workbookViewId="0">
      <pane xSplit="5" ySplit="3" topLeftCell="F4" activePane="bottomRight" state="frozen"/>
      <selection pane="topRight"/>
      <selection pane="bottomLeft"/>
      <selection pane="bottomRight" activeCell="D15" sqref="D15"/>
    </sheetView>
  </sheetViews>
  <sheetFormatPr defaultRowHeight="14.5" x14ac:dyDescent="0.35"/>
  <cols>
    <col min="1" max="1" width="14.1796875" customWidth="1"/>
    <col min="2" max="2" width="14" bestFit="1" customWidth="1"/>
    <col min="3" max="3" width="21" bestFit="1" customWidth="1"/>
    <col min="4" max="5" width="14" bestFit="1" customWidth="1"/>
    <col min="6" max="6" width="12.81640625" bestFit="1" customWidth="1"/>
    <col min="7" max="12" width="14" bestFit="1" customWidth="1"/>
    <col min="13" max="13" width="15" bestFit="1" customWidth="1"/>
    <col min="14" max="14" width="14" bestFit="1" customWidth="1"/>
    <col min="15" max="15" width="15" bestFit="1" customWidth="1"/>
    <col min="16" max="16" width="17.453125" bestFit="1" customWidth="1"/>
    <col min="17" max="17" width="17.54296875" bestFit="1" customWidth="1"/>
  </cols>
  <sheetData>
    <row r="1" spans="1:17" ht="18.5" x14ac:dyDescent="0.4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7" x14ac:dyDescent="0.35">
      <c r="D2" t="s">
        <v>225</v>
      </c>
      <c r="E2" t="s">
        <v>226</v>
      </c>
    </row>
    <row r="3" spans="1:17" x14ac:dyDescent="0.35">
      <c r="A3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35">
      <c r="A4" t="s">
        <v>18</v>
      </c>
      <c r="B4" s="3">
        <v>-3345326.89</v>
      </c>
      <c r="C4" s="3">
        <v>63466944.890000001</v>
      </c>
      <c r="D4" s="3">
        <v>-1102755.6599999999</v>
      </c>
      <c r="E4" s="3">
        <v>-1152243.3400000001</v>
      </c>
      <c r="F4" s="3">
        <v>-221258.25</v>
      </c>
      <c r="G4" s="3">
        <v>-68658.75</v>
      </c>
      <c r="H4" s="3">
        <v>0</v>
      </c>
      <c r="I4" s="3">
        <v>633359</v>
      </c>
      <c r="J4" s="3">
        <v>42820</v>
      </c>
      <c r="K4" s="3">
        <v>-108030</v>
      </c>
      <c r="L4" s="3">
        <v>61939</v>
      </c>
      <c r="M4" s="3">
        <v>-1247939</v>
      </c>
      <c r="N4" s="3">
        <v>0</v>
      </c>
      <c r="O4" s="3">
        <v>-77000</v>
      </c>
      <c r="P4" s="3">
        <v>-1219254.9099999999</v>
      </c>
      <c r="Q4" s="3">
        <v>-5365838.9800000004</v>
      </c>
    </row>
    <row r="5" spans="1:17" x14ac:dyDescent="0.35">
      <c r="A5" t="s">
        <v>19</v>
      </c>
      <c r="B5" s="3">
        <v>-3402773.8</v>
      </c>
      <c r="C5" s="3">
        <v>144850602.84</v>
      </c>
      <c r="D5" s="3">
        <v>306077.82</v>
      </c>
      <c r="E5" s="3">
        <v>2613866.9</v>
      </c>
      <c r="F5" s="3">
        <v>526224.44999999995</v>
      </c>
      <c r="G5" s="3">
        <v>-1342543.71</v>
      </c>
      <c r="H5" s="3">
        <v>-747568.3</v>
      </c>
      <c r="I5" s="3">
        <v>-2861178.8</v>
      </c>
      <c r="J5" s="3">
        <v>-437458.17</v>
      </c>
      <c r="K5" s="3">
        <v>3044790.74</v>
      </c>
      <c r="L5" s="3">
        <v>-723779.31</v>
      </c>
      <c r="M5" s="3">
        <v>-5938666.46</v>
      </c>
      <c r="N5" s="3">
        <v>0</v>
      </c>
      <c r="O5" s="3">
        <v>19040.45</v>
      </c>
      <c r="P5" s="3">
        <v>-1076503.51</v>
      </c>
      <c r="Q5" s="3">
        <v>-7867464.6799999997</v>
      </c>
    </row>
    <row r="6" spans="1:17" x14ac:dyDescent="0.35">
      <c r="A6" t="s">
        <v>20</v>
      </c>
      <c r="B6" s="3">
        <v>-6748100.6900000004</v>
      </c>
      <c r="C6" s="3">
        <v>208317547.72999999</v>
      </c>
      <c r="D6" s="3">
        <v>-796677.84</v>
      </c>
      <c r="E6" s="3">
        <v>1461623.56</v>
      </c>
      <c r="F6" s="3">
        <v>304966.2</v>
      </c>
      <c r="G6" s="3">
        <v>-1411202.46</v>
      </c>
      <c r="H6" s="3">
        <v>-747568.3</v>
      </c>
      <c r="I6" s="3">
        <v>-2227819.7999999998</v>
      </c>
      <c r="J6" s="3">
        <v>-394638.17</v>
      </c>
      <c r="K6" s="3">
        <v>2936760.74</v>
      </c>
      <c r="L6" s="3">
        <v>-661840.31000000006</v>
      </c>
      <c r="M6" s="3">
        <v>-7186605.46</v>
      </c>
      <c r="N6" s="3">
        <v>0</v>
      </c>
      <c r="O6" s="3">
        <v>-57959.55</v>
      </c>
      <c r="P6" s="3">
        <v>-2295758.42</v>
      </c>
      <c r="Q6" s="3">
        <v>-13233303.66</v>
      </c>
    </row>
    <row r="7" spans="1:17" x14ac:dyDescent="0.35">
      <c r="A7" s="1" t="s">
        <v>21</v>
      </c>
      <c r="B7" s="2">
        <v>-6748100.6900000004</v>
      </c>
      <c r="C7" s="2">
        <v>208317547.72999999</v>
      </c>
      <c r="D7" s="2">
        <v>-796677.84</v>
      </c>
      <c r="E7" s="2">
        <v>-5286477.13</v>
      </c>
      <c r="F7" s="2">
        <v>-491711.64</v>
      </c>
      <c r="G7" s="2">
        <v>-6697679.5899999999</v>
      </c>
      <c r="H7" s="2">
        <v>-1239279.94</v>
      </c>
      <c r="I7" s="2">
        <v>-8925499.3900000006</v>
      </c>
      <c r="J7" s="2">
        <v>-1633918.11</v>
      </c>
      <c r="K7" s="2">
        <v>-5988738.6500000004</v>
      </c>
      <c r="L7" s="2">
        <v>-2295758.42</v>
      </c>
      <c r="M7" s="2">
        <v>-13175344.109999999</v>
      </c>
      <c r="N7" s="2">
        <v>-2295758.42</v>
      </c>
      <c r="O7" s="2">
        <v>-13233303.66</v>
      </c>
      <c r="P7" s="2">
        <v>-2295758.42</v>
      </c>
      <c r="Q7" s="2">
        <v>-13233303.66</v>
      </c>
    </row>
    <row r="8" spans="1:17" x14ac:dyDescent="0.35">
      <c r="A8" s="1" t="s">
        <v>250</v>
      </c>
      <c r="B8" s="2"/>
      <c r="C8" s="2"/>
      <c r="D8" s="2">
        <f>D7</f>
        <v>-796677.84</v>
      </c>
      <c r="E8" s="2">
        <f>E7-B7</f>
        <v>1461623.5600000005</v>
      </c>
      <c r="F8" s="2">
        <f>F7-D7</f>
        <v>304966.19999999995</v>
      </c>
      <c r="G8" s="2">
        <f>G7-E7</f>
        <v>-1411202.46</v>
      </c>
      <c r="H8" s="2">
        <f>H7-F7</f>
        <v>-747568.29999999993</v>
      </c>
      <c r="I8" s="2">
        <f>I7-G7</f>
        <v>-2227819.8000000007</v>
      </c>
      <c r="J8" s="2">
        <f>J7-H7</f>
        <v>-394638.17000000016</v>
      </c>
      <c r="K8" s="2">
        <f>K7-I7</f>
        <v>2936760.74</v>
      </c>
      <c r="L8" s="2">
        <f>L7-J7</f>
        <v>-661840.30999999982</v>
      </c>
      <c r="M8" s="2">
        <f>M7-K7</f>
        <v>-7186605.459999999</v>
      </c>
      <c r="N8" s="2">
        <f>N7-L7</f>
        <v>0</v>
      </c>
      <c r="O8" s="2">
        <f>O7-M7</f>
        <v>-57959.550000000745</v>
      </c>
      <c r="P8" s="2"/>
      <c r="Q8" s="2"/>
    </row>
    <row r="9" spans="1:17" x14ac:dyDescent="0.35">
      <c r="A9" s="1" t="s">
        <v>249</v>
      </c>
      <c r="B9" s="2"/>
      <c r="C9" s="2"/>
      <c r="D9" s="2">
        <f>逐月汇总!E9*10000</f>
        <v>-804837.90999999992</v>
      </c>
      <c r="E9" s="2">
        <f>逐月汇总!E8*10000</f>
        <v>1456121.56</v>
      </c>
      <c r="F9" s="2">
        <f>逐月汇总!F9*10000</f>
        <v>274667.3</v>
      </c>
      <c r="G9" s="2">
        <f>逐月汇总!F8*10000</f>
        <v>-1427420.66</v>
      </c>
      <c r="H9" s="2">
        <f>逐月汇总!G9*10000</f>
        <v>-757002.75</v>
      </c>
      <c r="I9" s="2">
        <f>逐月汇总!G8*10000</f>
        <v>-2234096.3199999998</v>
      </c>
      <c r="J9" s="2">
        <f>逐月汇总!H9*10000</f>
        <v>-422718.39999999997</v>
      </c>
      <c r="K9" s="2">
        <f>逐月汇总!H8*10000</f>
        <v>2915643.3800000004</v>
      </c>
      <c r="L9" s="2">
        <f>逐月汇总!I9*10000</f>
        <v>-717983.43</v>
      </c>
      <c r="M9" s="2">
        <f>逐月汇总!I8*10000</f>
        <v>-7181440.2199999997</v>
      </c>
      <c r="N9" s="2">
        <f>逐月汇总!J9*10000</f>
        <v>-250690.359999999</v>
      </c>
      <c r="O9" s="2">
        <f>逐月汇总!J8*10000</f>
        <v>402887.67</v>
      </c>
      <c r="P9" s="2"/>
      <c r="Q9" s="2"/>
    </row>
    <row r="10" spans="1:17" s="17" customFormat="1" x14ac:dyDescent="0.35">
      <c r="A10" s="15" t="s">
        <v>251</v>
      </c>
      <c r="B10" s="16"/>
      <c r="C10" s="16"/>
      <c r="D10" s="41">
        <f>D8-D9</f>
        <v>8160.0699999999488</v>
      </c>
      <c r="E10" s="41">
        <f>E8-E9</f>
        <v>5502.0000000004657</v>
      </c>
      <c r="F10" s="41">
        <f>F8-F9</f>
        <v>30298.899999999965</v>
      </c>
      <c r="G10" s="41">
        <f>G8-G9</f>
        <v>16218.199999999953</v>
      </c>
      <c r="H10" s="41">
        <f>H8-H9</f>
        <v>9434.4500000000698</v>
      </c>
      <c r="I10" s="41">
        <f>I8-I9</f>
        <v>6276.5199999990873</v>
      </c>
      <c r="J10" s="41">
        <f>J8-J9</f>
        <v>28080.229999999807</v>
      </c>
      <c r="K10" s="41">
        <f>K8-K9</f>
        <v>21117.35999999987</v>
      </c>
      <c r="L10" s="41">
        <f>L8-L9</f>
        <v>56143.120000000228</v>
      </c>
      <c r="M10" s="41">
        <f>M8-M9</f>
        <v>-5165.2399999992922</v>
      </c>
      <c r="N10" s="41">
        <f>N8-N9</f>
        <v>250690.359999999</v>
      </c>
      <c r="O10" s="41">
        <f>O8-O9</f>
        <v>-460847.22000000073</v>
      </c>
      <c r="P10" s="16"/>
      <c r="Q10" s="16"/>
    </row>
    <row r="11" spans="1:17" x14ac:dyDescent="0.35">
      <c r="E11" s="14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CE0F-224C-4026-A22A-3F67E7FF0226}">
  <sheetPr>
    <tabColor rgb="FFFFFF00"/>
  </sheetPr>
  <dimension ref="A1:L9"/>
  <sheetViews>
    <sheetView workbookViewId="0">
      <selection activeCell="E10" sqref="E10"/>
    </sheetView>
  </sheetViews>
  <sheetFormatPr defaultRowHeight="14.5" x14ac:dyDescent="0.35"/>
  <sheetData>
    <row r="1" spans="1:12" x14ac:dyDescent="0.35">
      <c r="A1" s="18" t="s">
        <v>227</v>
      </c>
      <c r="B1" s="18" t="s">
        <v>228</v>
      </c>
      <c r="C1" s="18" t="s">
        <v>229</v>
      </c>
      <c r="D1" s="18" t="s">
        <v>230</v>
      </c>
      <c r="E1" s="18" t="s">
        <v>231</v>
      </c>
      <c r="F1" s="18" t="s">
        <v>232</v>
      </c>
      <c r="G1" s="18" t="s">
        <v>233</v>
      </c>
      <c r="H1" s="18" t="s">
        <v>234</v>
      </c>
      <c r="I1" s="18" t="s">
        <v>235</v>
      </c>
      <c r="J1" s="18" t="s">
        <v>236</v>
      </c>
    </row>
    <row r="2" spans="1:12" x14ac:dyDescent="0.35">
      <c r="A2" s="19" t="s">
        <v>237</v>
      </c>
      <c r="B2" s="20" t="s">
        <v>238</v>
      </c>
      <c r="C2" s="18" t="s">
        <v>239</v>
      </c>
      <c r="D2" s="21">
        <v>3.5527136788005001E-15</v>
      </c>
      <c r="E2" s="21"/>
      <c r="F2" s="21"/>
      <c r="G2" s="21"/>
      <c r="H2" s="21"/>
      <c r="I2" s="21"/>
      <c r="J2" s="21"/>
    </row>
    <row r="3" spans="1:12" x14ac:dyDescent="0.35">
      <c r="A3" s="19"/>
      <c r="B3" s="20" t="s">
        <v>240</v>
      </c>
      <c r="C3" s="18" t="s">
        <v>239</v>
      </c>
      <c r="D3" s="21">
        <v>1.29452004671293E-13</v>
      </c>
      <c r="E3" s="21">
        <v>2.0805000000000001E-2</v>
      </c>
      <c r="F3" s="21">
        <v>2.0594999999999902E-2</v>
      </c>
      <c r="G3" s="21">
        <v>-0.140267</v>
      </c>
      <c r="H3" s="21">
        <v>4.3830000000000197E-3</v>
      </c>
      <c r="I3" s="21">
        <v>0.632907</v>
      </c>
      <c r="J3" s="21">
        <v>3.5891999999999903E-2</v>
      </c>
    </row>
    <row r="4" spans="1:12" x14ac:dyDescent="0.35">
      <c r="A4" s="19" t="s">
        <v>241</v>
      </c>
      <c r="B4" s="19" t="s">
        <v>242</v>
      </c>
      <c r="C4" s="18" t="s">
        <v>243</v>
      </c>
      <c r="D4" s="21">
        <v>1.6342482922482299E-13</v>
      </c>
      <c r="E4" s="21"/>
      <c r="F4" s="21"/>
      <c r="G4" s="21"/>
      <c r="H4" s="21"/>
      <c r="I4" s="21"/>
      <c r="J4" s="21"/>
    </row>
    <row r="5" spans="1:12" x14ac:dyDescent="0.35">
      <c r="A5" s="19"/>
      <c r="B5" s="19"/>
      <c r="C5" s="18" t="s">
        <v>244</v>
      </c>
      <c r="D5" s="21">
        <v>1.7053025658242399E-13</v>
      </c>
      <c r="E5" s="21">
        <v>18.59</v>
      </c>
      <c r="F5" s="21">
        <v>50.95</v>
      </c>
      <c r="G5" s="21"/>
      <c r="H5" s="21"/>
      <c r="I5" s="21">
        <v>145.94324900000001</v>
      </c>
      <c r="J5" s="21">
        <v>78.798081999999994</v>
      </c>
    </row>
    <row r="6" spans="1:12" x14ac:dyDescent="0.35">
      <c r="A6" s="19"/>
      <c r="B6" s="19"/>
      <c r="C6" s="18" t="s">
        <v>245</v>
      </c>
      <c r="D6" s="21">
        <v>9.59232693276135E-14</v>
      </c>
      <c r="E6" s="21"/>
      <c r="F6" s="21"/>
      <c r="G6" s="21"/>
      <c r="H6" s="21"/>
      <c r="I6" s="21"/>
      <c r="J6" s="21"/>
    </row>
    <row r="7" spans="1:12" x14ac:dyDescent="0.35">
      <c r="A7" s="19"/>
      <c r="B7" s="19"/>
      <c r="C7" s="18" t="s">
        <v>246</v>
      </c>
      <c r="D7" s="21">
        <v>6.1062266354383602E-15</v>
      </c>
      <c r="E7" s="21">
        <v>-9.3644000000000005E-2</v>
      </c>
      <c r="F7" s="21">
        <v>-8.9639999999999997E-2</v>
      </c>
      <c r="G7" s="21">
        <v>-9.3524999999999997E-2</v>
      </c>
      <c r="H7" s="21">
        <v>-8.7553000000000006E-2</v>
      </c>
      <c r="I7" s="21">
        <v>-8.2279000000000005E-2</v>
      </c>
      <c r="J7" s="21">
        <v>-2.2692999999999901E-2</v>
      </c>
    </row>
    <row r="8" spans="1:12" x14ac:dyDescent="0.35">
      <c r="A8" s="19"/>
      <c r="B8" s="19"/>
      <c r="C8" s="18" t="s">
        <v>247</v>
      </c>
      <c r="D8" s="21">
        <v>-674.81006899999898</v>
      </c>
      <c r="E8" s="27">
        <v>145.612156</v>
      </c>
      <c r="F8" s="27">
        <v>-142.74206599999999</v>
      </c>
      <c r="G8" s="27">
        <v>-223.40963199999999</v>
      </c>
      <c r="H8" s="27">
        <v>291.56433800000002</v>
      </c>
      <c r="I8" s="27">
        <v>-718.14402199999995</v>
      </c>
      <c r="J8" s="27">
        <v>40.288767</v>
      </c>
    </row>
    <row r="9" spans="1:12" x14ac:dyDescent="0.35">
      <c r="A9" s="19"/>
      <c r="B9" s="19"/>
      <c r="C9" s="18" t="s">
        <v>248</v>
      </c>
      <c r="D9" s="21">
        <v>1463.2580929999999</v>
      </c>
      <c r="E9" s="27">
        <v>-80.483790999999997</v>
      </c>
      <c r="F9" s="27">
        <v>27.466729999999998</v>
      </c>
      <c r="G9" s="27">
        <v>-75.700275000000005</v>
      </c>
      <c r="H9" s="27">
        <v>-42.271839999999997</v>
      </c>
      <c r="I9" s="27">
        <v>-71.798343000000003</v>
      </c>
      <c r="J9" s="27">
        <v>-25.069035999999901</v>
      </c>
      <c r="L9" s="26">
        <f>SUM(E8:J9)</f>
        <v>-874.68701399999986</v>
      </c>
    </row>
  </sheetData>
  <mergeCells count="3">
    <mergeCell ref="A2:A3"/>
    <mergeCell ref="A4:A9"/>
    <mergeCell ref="B4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63"/>
  <sheetViews>
    <sheetView zoomScale="85" zoomScaleNormal="85" workbookViewId="0">
      <pane xSplit="5" ySplit="3" topLeftCell="I4" activePane="bottomRight" state="frozen"/>
      <selection pane="topRight"/>
      <selection pane="bottomLeft"/>
      <selection pane="bottomRight" activeCell="A3" sqref="A3:XFD3"/>
    </sheetView>
  </sheetViews>
  <sheetFormatPr defaultColWidth="9.1796875" defaultRowHeight="14.5" x14ac:dyDescent="0.35"/>
  <cols>
    <col min="1" max="1" width="18.26953125" style="3" customWidth="1"/>
    <col min="2" max="5" width="9.1796875" style="3"/>
    <col min="6" max="7" width="13.26953125" style="3" bestFit="1" customWidth="1"/>
    <col min="8" max="8" width="14" style="3" bestFit="1" customWidth="1"/>
    <col min="9" max="9" width="21" style="3" bestFit="1" customWidth="1"/>
    <col min="10" max="10" width="16.54296875" style="3" bestFit="1" customWidth="1"/>
    <col min="11" max="11" width="12.81640625" style="3" bestFit="1" customWidth="1"/>
    <col min="12" max="12" width="14" style="3" bestFit="1" customWidth="1"/>
    <col min="13" max="13" width="13.26953125" style="3" bestFit="1" customWidth="1"/>
    <col min="14" max="19" width="14" style="3" bestFit="1" customWidth="1"/>
    <col min="20" max="20" width="15" style="3" bestFit="1" customWidth="1"/>
    <col min="21" max="21" width="14" style="3" bestFit="1" customWidth="1"/>
    <col min="22" max="22" width="15" style="3" bestFit="1" customWidth="1"/>
    <col min="23" max="23" width="17.453125" style="3" bestFit="1" customWidth="1"/>
    <col min="24" max="24" width="17.54296875" style="3" bestFit="1" customWidth="1"/>
    <col min="25" max="25" width="34" style="3" bestFit="1" customWidth="1"/>
    <col min="26" max="16384" width="9.1796875" style="3"/>
  </cols>
  <sheetData>
    <row r="1" spans="1:25" ht="18.5" x14ac:dyDescent="0.45">
      <c r="A1" s="10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25" x14ac:dyDescent="0.3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2" t="s">
        <v>2</v>
      </c>
      <c r="I3" s="2" t="s">
        <v>3</v>
      </c>
      <c r="J3" s="2" t="s">
        <v>30</v>
      </c>
      <c r="K3" s="2" t="s">
        <v>4</v>
      </c>
      <c r="L3" s="7" t="s">
        <v>5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15</v>
      </c>
      <c r="W3" s="2" t="s">
        <v>16</v>
      </c>
      <c r="X3" s="2" t="s">
        <v>17</v>
      </c>
      <c r="Y3" s="2" t="s">
        <v>31</v>
      </c>
    </row>
    <row r="4" spans="1:25" hidden="1" x14ac:dyDescent="0.35">
      <c r="A4" s="3" t="s">
        <v>32</v>
      </c>
      <c r="B4" s="3" t="s">
        <v>33</v>
      </c>
      <c r="C4" s="3" t="s">
        <v>34</v>
      </c>
      <c r="D4" s="3" t="s">
        <v>18</v>
      </c>
      <c r="E4" s="3" t="s">
        <v>18</v>
      </c>
      <c r="F4" s="3">
        <v>700000</v>
      </c>
      <c r="G4" s="3">
        <v>700000</v>
      </c>
      <c r="H4" s="3">
        <v>-172372.57</v>
      </c>
      <c r="I4" s="3">
        <v>8159372.5700000003</v>
      </c>
      <c r="J4" s="3">
        <v>8159372.5700000003</v>
      </c>
      <c r="K4" s="3">
        <v>0</v>
      </c>
      <c r="L4" s="8">
        <v>-406000</v>
      </c>
      <c r="M4" s="3">
        <v>0</v>
      </c>
      <c r="N4" s="3">
        <v>49000</v>
      </c>
      <c r="O4" s="3">
        <v>0</v>
      </c>
      <c r="P4" s="3">
        <v>126000</v>
      </c>
      <c r="Q4" s="3">
        <v>0</v>
      </c>
      <c r="R4" s="3">
        <v>287000</v>
      </c>
      <c r="S4" s="3">
        <v>0</v>
      </c>
      <c r="T4" s="3">
        <v>-392000</v>
      </c>
      <c r="U4" s="3">
        <v>0</v>
      </c>
      <c r="V4" s="3">
        <v>70000</v>
      </c>
      <c r="W4" s="3">
        <v>0</v>
      </c>
      <c r="X4" s="3">
        <v>-438372.57</v>
      </c>
      <c r="Y4" s="3">
        <v>-266000</v>
      </c>
    </row>
    <row r="5" spans="1:25" hidden="1" x14ac:dyDescent="0.35">
      <c r="A5" s="3" t="s">
        <v>35</v>
      </c>
      <c r="B5" s="3" t="s">
        <v>36</v>
      </c>
      <c r="C5" s="3" t="s">
        <v>37</v>
      </c>
      <c r="D5" s="3" t="s">
        <v>18</v>
      </c>
      <c r="E5" s="3" t="s">
        <v>18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8">
        <v>0</v>
      </c>
      <c r="M5" s="3">
        <v>0</v>
      </c>
      <c r="N5" s="3">
        <v>-53400</v>
      </c>
      <c r="O5" s="3">
        <v>0</v>
      </c>
      <c r="P5" s="3">
        <v>-100561</v>
      </c>
      <c r="Q5" s="3">
        <v>0</v>
      </c>
      <c r="R5" s="3">
        <v>420900</v>
      </c>
      <c r="S5" s="3">
        <v>61939</v>
      </c>
      <c r="T5" s="3">
        <v>-266939</v>
      </c>
      <c r="U5" s="3">
        <v>0</v>
      </c>
      <c r="V5" s="3">
        <v>0</v>
      </c>
      <c r="W5" s="3">
        <v>61939</v>
      </c>
      <c r="X5" s="3">
        <v>0</v>
      </c>
      <c r="Y5" s="3">
        <v>0</v>
      </c>
    </row>
    <row r="6" spans="1:25" hidden="1" x14ac:dyDescent="0.35">
      <c r="A6" s="3" t="s">
        <v>38</v>
      </c>
      <c r="B6" s="3" t="s">
        <v>39</v>
      </c>
      <c r="C6" s="3" t="s">
        <v>40</v>
      </c>
      <c r="D6" s="3" t="s">
        <v>18</v>
      </c>
      <c r="E6" s="3" t="s">
        <v>18</v>
      </c>
      <c r="F6" s="3">
        <v>25000</v>
      </c>
      <c r="G6" s="3">
        <v>0</v>
      </c>
      <c r="H6" s="3">
        <v>-137594.93</v>
      </c>
      <c r="I6" s="3">
        <v>3043094.93</v>
      </c>
      <c r="J6" s="3">
        <v>0</v>
      </c>
      <c r="K6" s="3">
        <v>0</v>
      </c>
      <c r="L6" s="8">
        <v>117000</v>
      </c>
      <c r="M6" s="3">
        <v>-102480.93</v>
      </c>
      <c r="N6" s="3">
        <v>20594.93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-102480.93</v>
      </c>
      <c r="X6" s="3">
        <v>0</v>
      </c>
      <c r="Y6" s="3">
        <v>137594.93</v>
      </c>
    </row>
    <row r="7" spans="1:25" hidden="1" x14ac:dyDescent="0.35">
      <c r="A7" s="3" t="s">
        <v>41</v>
      </c>
      <c r="B7" s="3" t="s">
        <v>42</v>
      </c>
      <c r="C7" s="3" t="s">
        <v>43</v>
      </c>
      <c r="D7" s="3" t="s">
        <v>18</v>
      </c>
      <c r="E7" s="3" t="s">
        <v>18</v>
      </c>
      <c r="F7" s="3">
        <v>20000</v>
      </c>
      <c r="G7" s="3">
        <v>0</v>
      </c>
      <c r="H7" s="3">
        <v>-477168.9</v>
      </c>
      <c r="I7" s="3">
        <v>2595968.9</v>
      </c>
      <c r="J7" s="3">
        <v>0</v>
      </c>
      <c r="K7" s="3">
        <v>-535649.9</v>
      </c>
      <c r="L7" s="8">
        <v>477168.9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-535649.9</v>
      </c>
      <c r="X7" s="3">
        <v>0</v>
      </c>
      <c r="Y7" s="3">
        <v>477168.9</v>
      </c>
    </row>
    <row r="8" spans="1:25" hidden="1" x14ac:dyDescent="0.35">
      <c r="A8" s="3" t="s">
        <v>44</v>
      </c>
      <c r="B8" s="3" t="s">
        <v>45</v>
      </c>
      <c r="C8" s="3" t="s">
        <v>46</v>
      </c>
      <c r="D8" s="3" t="s">
        <v>18</v>
      </c>
      <c r="E8" s="3" t="s">
        <v>18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8">
        <v>0</v>
      </c>
      <c r="M8" s="3">
        <v>0</v>
      </c>
      <c r="N8" s="3">
        <v>0</v>
      </c>
      <c r="O8" s="3">
        <v>0</v>
      </c>
      <c r="P8" s="3">
        <v>-16800</v>
      </c>
      <c r="Q8" s="3">
        <v>-8800</v>
      </c>
      <c r="R8" s="3">
        <v>16800</v>
      </c>
      <c r="S8" s="3">
        <v>0</v>
      </c>
      <c r="T8" s="3">
        <v>0</v>
      </c>
      <c r="U8" s="3">
        <v>0</v>
      </c>
      <c r="V8" s="3">
        <v>0</v>
      </c>
      <c r="W8" s="3">
        <v>-8800</v>
      </c>
      <c r="X8" s="3">
        <v>0</v>
      </c>
      <c r="Y8" s="3">
        <v>0</v>
      </c>
    </row>
    <row r="9" spans="1:25" hidden="1" x14ac:dyDescent="0.35">
      <c r="A9" s="3" t="s">
        <v>47</v>
      </c>
      <c r="B9" s="3" t="s">
        <v>48</v>
      </c>
      <c r="C9" s="3" t="s">
        <v>49</v>
      </c>
      <c r="D9" s="3" t="s">
        <v>18</v>
      </c>
      <c r="E9" s="3" t="s">
        <v>18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8">
        <v>0</v>
      </c>
      <c r="M9" s="3">
        <v>0</v>
      </c>
      <c r="N9" s="3">
        <v>0</v>
      </c>
      <c r="O9" s="3">
        <v>0</v>
      </c>
      <c r="P9" s="3">
        <v>-20800</v>
      </c>
      <c r="Q9" s="3">
        <v>-18800</v>
      </c>
      <c r="R9" s="3">
        <v>20800</v>
      </c>
      <c r="S9" s="3">
        <v>0</v>
      </c>
      <c r="T9" s="3">
        <v>0</v>
      </c>
      <c r="U9" s="3">
        <v>0</v>
      </c>
      <c r="V9" s="3">
        <v>0</v>
      </c>
      <c r="W9" s="3">
        <v>-18800</v>
      </c>
      <c r="X9" s="3">
        <v>0</v>
      </c>
      <c r="Y9" s="3">
        <v>0</v>
      </c>
    </row>
    <row r="10" spans="1:25" hidden="1" x14ac:dyDescent="0.35">
      <c r="A10" s="3" t="s">
        <v>50</v>
      </c>
      <c r="B10" s="3" t="s">
        <v>51</v>
      </c>
      <c r="C10" s="3" t="s">
        <v>52</v>
      </c>
      <c r="D10" s="3" t="s">
        <v>18</v>
      </c>
      <c r="E10" s="3" t="s">
        <v>18</v>
      </c>
      <c r="F10" s="3">
        <v>150000</v>
      </c>
      <c r="G10" s="3">
        <v>250000</v>
      </c>
      <c r="H10" s="3">
        <v>7674.77</v>
      </c>
      <c r="I10" s="3">
        <v>6307325.2300000004</v>
      </c>
      <c r="J10" s="3">
        <v>10208195.23</v>
      </c>
      <c r="K10" s="3">
        <v>0</v>
      </c>
      <c r="L10" s="8">
        <v>-497957</v>
      </c>
      <c r="M10" s="3">
        <v>0</v>
      </c>
      <c r="N10" s="3">
        <v>-30413</v>
      </c>
      <c r="O10" s="3">
        <v>0</v>
      </c>
      <c r="P10" s="3">
        <v>142500</v>
      </c>
      <c r="Q10" s="3">
        <v>0</v>
      </c>
      <c r="R10" s="3">
        <v>-262500</v>
      </c>
      <c r="S10" s="3">
        <v>0</v>
      </c>
      <c r="T10" s="3">
        <v>-65000</v>
      </c>
      <c r="U10" s="3">
        <v>0</v>
      </c>
      <c r="V10" s="3">
        <v>122500</v>
      </c>
      <c r="W10" s="3">
        <v>0</v>
      </c>
      <c r="X10" s="3">
        <v>-583195.23</v>
      </c>
      <c r="Y10" s="3">
        <v>-590870</v>
      </c>
    </row>
    <row r="11" spans="1:25" hidden="1" x14ac:dyDescent="0.35">
      <c r="A11" s="3" t="s">
        <v>53</v>
      </c>
      <c r="B11" s="3" t="s">
        <v>54</v>
      </c>
      <c r="C11" s="3" t="s">
        <v>55</v>
      </c>
      <c r="D11" s="3" t="s">
        <v>18</v>
      </c>
      <c r="E11" s="3" t="s">
        <v>18</v>
      </c>
      <c r="F11" s="3">
        <v>100</v>
      </c>
      <c r="G11" s="3">
        <v>0</v>
      </c>
      <c r="H11" s="3">
        <v>-10592.9</v>
      </c>
      <c r="I11" s="3">
        <v>148310.9</v>
      </c>
      <c r="J11" s="3">
        <v>0</v>
      </c>
      <c r="K11" s="3">
        <v>-13560.9</v>
      </c>
      <c r="L11" s="8">
        <v>10592.9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-13560.9</v>
      </c>
      <c r="X11" s="3">
        <v>0</v>
      </c>
      <c r="Y11" s="3">
        <v>10592.9</v>
      </c>
    </row>
    <row r="12" spans="1:25" x14ac:dyDescent="0.35">
      <c r="A12" s="3" t="s">
        <v>56</v>
      </c>
      <c r="B12" s="3" t="s">
        <v>57</v>
      </c>
      <c r="C12" s="3" t="s">
        <v>58</v>
      </c>
      <c r="D12" s="3" t="s">
        <v>18</v>
      </c>
      <c r="E12" s="3" t="s">
        <v>18</v>
      </c>
      <c r="F12" s="3">
        <v>0</v>
      </c>
      <c r="G12" s="3">
        <v>100000</v>
      </c>
      <c r="H12" s="3">
        <v>0</v>
      </c>
      <c r="I12" s="3">
        <v>0</v>
      </c>
      <c r="J12" s="3">
        <v>2116410</v>
      </c>
      <c r="K12" s="3">
        <v>0</v>
      </c>
      <c r="L12" s="8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36590</v>
      </c>
      <c r="S12" s="3">
        <v>0</v>
      </c>
      <c r="T12" s="3">
        <v>-65000</v>
      </c>
      <c r="U12" s="3">
        <v>0</v>
      </c>
      <c r="V12" s="3">
        <v>-71000</v>
      </c>
      <c r="W12" s="3">
        <v>0</v>
      </c>
      <c r="X12" s="3">
        <v>-99410</v>
      </c>
      <c r="Y12" s="3">
        <v>-99410</v>
      </c>
    </row>
    <row r="13" spans="1:25" hidden="1" x14ac:dyDescent="0.35">
      <c r="A13" s="3" t="s">
        <v>59</v>
      </c>
      <c r="B13" s="3" t="s">
        <v>60</v>
      </c>
      <c r="C13" s="3" t="s">
        <v>61</v>
      </c>
      <c r="D13" s="3" t="s">
        <v>18</v>
      </c>
      <c r="E13" s="3" t="s">
        <v>18</v>
      </c>
      <c r="F13" s="3">
        <v>16000</v>
      </c>
      <c r="G13" s="3">
        <v>0</v>
      </c>
      <c r="H13" s="3">
        <v>-121926.87</v>
      </c>
      <c r="I13" s="3">
        <v>2869126.87</v>
      </c>
      <c r="J13" s="3">
        <v>0</v>
      </c>
      <c r="K13" s="3">
        <v>0</v>
      </c>
      <c r="L13" s="8">
        <v>-11040</v>
      </c>
      <c r="M13" s="3">
        <v>-158486.87</v>
      </c>
      <c r="N13" s="3">
        <v>132966.87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-158486.87</v>
      </c>
      <c r="X13" s="3">
        <v>0</v>
      </c>
      <c r="Y13" s="3">
        <v>121926.87</v>
      </c>
    </row>
    <row r="14" spans="1:25" hidden="1" x14ac:dyDescent="0.35">
      <c r="A14" s="3" t="s">
        <v>62</v>
      </c>
      <c r="B14" s="3" t="s">
        <v>63</v>
      </c>
      <c r="C14" s="3" t="s">
        <v>64</v>
      </c>
      <c r="D14" s="3" t="s">
        <v>18</v>
      </c>
      <c r="E14" s="3" t="s">
        <v>18</v>
      </c>
      <c r="F14" s="3">
        <v>0</v>
      </c>
      <c r="G14" s="3">
        <v>250000</v>
      </c>
      <c r="H14" s="3">
        <v>0</v>
      </c>
      <c r="I14" s="3">
        <v>0</v>
      </c>
      <c r="J14" s="3">
        <v>6544500</v>
      </c>
      <c r="K14" s="3">
        <v>0</v>
      </c>
      <c r="L14" s="8">
        <v>0</v>
      </c>
      <c r="M14" s="3">
        <v>0</v>
      </c>
      <c r="N14" s="3">
        <v>-25300</v>
      </c>
      <c r="O14" s="3">
        <v>0</v>
      </c>
      <c r="P14" s="3">
        <v>64300</v>
      </c>
      <c r="Q14" s="3">
        <v>0</v>
      </c>
      <c r="R14" s="3">
        <v>281500</v>
      </c>
      <c r="S14" s="3">
        <v>0</v>
      </c>
      <c r="T14" s="3">
        <v>-135000</v>
      </c>
      <c r="U14" s="3">
        <v>0</v>
      </c>
      <c r="V14" s="3">
        <v>-387500</v>
      </c>
      <c r="W14" s="3">
        <v>0</v>
      </c>
      <c r="X14" s="3">
        <v>-202000</v>
      </c>
      <c r="Y14" s="3">
        <v>-202000</v>
      </c>
    </row>
    <row r="15" spans="1:25" hidden="1" x14ac:dyDescent="0.35">
      <c r="A15" s="3" t="s">
        <v>65</v>
      </c>
      <c r="B15" s="3" t="s">
        <v>66</v>
      </c>
      <c r="C15" s="3" t="s">
        <v>67</v>
      </c>
      <c r="D15" s="3" t="s">
        <v>18</v>
      </c>
      <c r="E15" s="3" t="s">
        <v>18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8">
        <v>0</v>
      </c>
      <c r="M15" s="3">
        <v>0</v>
      </c>
      <c r="N15" s="3">
        <v>0</v>
      </c>
      <c r="O15" s="3">
        <v>0</v>
      </c>
      <c r="P15" s="3">
        <v>-41280</v>
      </c>
      <c r="Q15" s="3">
        <v>-55280</v>
      </c>
      <c r="R15" s="3">
        <v>41280</v>
      </c>
      <c r="S15" s="3">
        <v>0</v>
      </c>
      <c r="T15" s="3">
        <v>0</v>
      </c>
      <c r="U15" s="3">
        <v>0</v>
      </c>
      <c r="V15" s="3">
        <v>0</v>
      </c>
      <c r="W15" s="3">
        <v>-55280</v>
      </c>
      <c r="X15" s="3">
        <v>0</v>
      </c>
      <c r="Y15" s="3">
        <v>0</v>
      </c>
    </row>
    <row r="16" spans="1:25" hidden="1" x14ac:dyDescent="0.35">
      <c r="A16" s="3" t="s">
        <v>68</v>
      </c>
      <c r="B16" s="3" t="s">
        <v>69</v>
      </c>
      <c r="C16" s="3" t="s">
        <v>70</v>
      </c>
      <c r="D16" s="3" t="s">
        <v>18</v>
      </c>
      <c r="E16" s="3" t="s">
        <v>18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8">
        <v>0</v>
      </c>
      <c r="M16" s="3">
        <v>0</v>
      </c>
      <c r="N16" s="3">
        <v>-20700</v>
      </c>
      <c r="O16" s="3">
        <v>0</v>
      </c>
      <c r="P16" s="3">
        <v>102600</v>
      </c>
      <c r="Q16" s="3">
        <v>74700</v>
      </c>
      <c r="R16" s="3">
        <v>-81900</v>
      </c>
      <c r="S16" s="3">
        <v>0</v>
      </c>
      <c r="T16" s="3">
        <v>0</v>
      </c>
      <c r="U16" s="3">
        <v>0</v>
      </c>
      <c r="V16" s="3">
        <v>0</v>
      </c>
      <c r="W16" s="3">
        <v>74700</v>
      </c>
      <c r="X16" s="3">
        <v>0</v>
      </c>
      <c r="Y16" s="3">
        <v>0</v>
      </c>
    </row>
    <row r="17" spans="1:25" hidden="1" x14ac:dyDescent="0.35">
      <c r="A17" s="3" t="s">
        <v>71</v>
      </c>
      <c r="B17" s="3" t="s">
        <v>72</v>
      </c>
      <c r="C17" s="3" t="s">
        <v>73</v>
      </c>
      <c r="D17" s="3" t="s">
        <v>18</v>
      </c>
      <c r="E17" s="3" t="s">
        <v>18</v>
      </c>
      <c r="F17" s="3">
        <v>300000</v>
      </c>
      <c r="G17" s="3">
        <v>0</v>
      </c>
      <c r="H17" s="3">
        <v>96709.55</v>
      </c>
      <c r="I17" s="3">
        <v>3332290.45</v>
      </c>
      <c r="J17" s="3">
        <v>0</v>
      </c>
      <c r="K17" s="3">
        <v>0</v>
      </c>
      <c r="L17" s="8">
        <v>-270000</v>
      </c>
      <c r="M17" s="3">
        <v>39709.550000000003</v>
      </c>
      <c r="N17" s="3">
        <v>173290.45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39709.550000000003</v>
      </c>
      <c r="X17" s="3">
        <v>0</v>
      </c>
      <c r="Y17" s="3">
        <v>-96709.55</v>
      </c>
    </row>
    <row r="18" spans="1:25" hidden="1" x14ac:dyDescent="0.35">
      <c r="A18" s="3" t="s">
        <v>74</v>
      </c>
      <c r="B18" s="3" t="s">
        <v>75</v>
      </c>
      <c r="C18" s="3" t="s">
        <v>76</v>
      </c>
      <c r="D18" s="3" t="s">
        <v>18</v>
      </c>
      <c r="E18" s="3" t="s">
        <v>18</v>
      </c>
      <c r="F18" s="3">
        <v>300000</v>
      </c>
      <c r="G18" s="3">
        <v>500000</v>
      </c>
      <c r="H18" s="3">
        <v>-534034.05000000005</v>
      </c>
      <c r="I18" s="3">
        <v>3912034.05</v>
      </c>
      <c r="J18" s="3">
        <v>6242034.0499999998</v>
      </c>
      <c r="K18" s="3">
        <v>0</v>
      </c>
      <c r="L18" s="8">
        <v>-188000</v>
      </c>
      <c r="M18" s="3">
        <v>0</v>
      </c>
      <c r="N18" s="3">
        <v>35000</v>
      </c>
      <c r="O18" s="3">
        <v>0</v>
      </c>
      <c r="P18" s="3">
        <v>-60000</v>
      </c>
      <c r="Q18" s="3">
        <v>0</v>
      </c>
      <c r="R18" s="3">
        <v>190000</v>
      </c>
      <c r="S18" s="3">
        <v>0</v>
      </c>
      <c r="T18" s="3">
        <v>-240000</v>
      </c>
      <c r="U18" s="3">
        <v>0</v>
      </c>
      <c r="V18" s="3">
        <v>70000</v>
      </c>
      <c r="W18" s="3">
        <v>0</v>
      </c>
      <c r="X18" s="3">
        <v>-727034.05</v>
      </c>
      <c r="Y18" s="3">
        <v>-193000</v>
      </c>
    </row>
    <row r="19" spans="1:25" hidden="1" x14ac:dyDescent="0.35">
      <c r="A19" s="3" t="s">
        <v>77</v>
      </c>
      <c r="B19" s="3" t="s">
        <v>78</v>
      </c>
      <c r="C19" s="3" t="s">
        <v>79</v>
      </c>
      <c r="D19" s="3" t="s">
        <v>18</v>
      </c>
      <c r="E19" s="3" t="s">
        <v>18</v>
      </c>
      <c r="F19" s="3">
        <v>300000</v>
      </c>
      <c r="G19" s="3">
        <v>500000</v>
      </c>
      <c r="H19" s="3">
        <v>-29906.6</v>
      </c>
      <c r="I19" s="3">
        <v>6347906.5999999996</v>
      </c>
      <c r="J19" s="3">
        <v>10131164.6</v>
      </c>
      <c r="K19" s="3">
        <v>0</v>
      </c>
      <c r="L19" s="8">
        <v>-705460</v>
      </c>
      <c r="M19" s="3">
        <v>0</v>
      </c>
      <c r="N19" s="3">
        <v>-240798</v>
      </c>
      <c r="O19" s="3">
        <v>0</v>
      </c>
      <c r="P19" s="3">
        <v>255000</v>
      </c>
      <c r="Q19" s="3">
        <v>0</v>
      </c>
      <c r="R19" s="3">
        <v>-445000</v>
      </c>
      <c r="S19" s="3">
        <v>0</v>
      </c>
      <c r="T19" s="3">
        <v>285000</v>
      </c>
      <c r="U19" s="3">
        <v>0</v>
      </c>
      <c r="V19" s="3">
        <v>20000</v>
      </c>
      <c r="W19" s="3">
        <v>0</v>
      </c>
      <c r="X19" s="3">
        <v>-861164.6</v>
      </c>
      <c r="Y19" s="3">
        <v>-831258</v>
      </c>
    </row>
    <row r="20" spans="1:25" hidden="1" x14ac:dyDescent="0.35">
      <c r="A20" s="3" t="s">
        <v>80</v>
      </c>
      <c r="B20" s="3" t="s">
        <v>81</v>
      </c>
      <c r="C20" s="3" t="s">
        <v>82</v>
      </c>
      <c r="D20" s="3" t="s">
        <v>18</v>
      </c>
      <c r="E20" s="3" t="s">
        <v>18</v>
      </c>
      <c r="F20" s="3">
        <v>1500000</v>
      </c>
      <c r="G20" s="3">
        <v>1500000</v>
      </c>
      <c r="H20" s="3">
        <v>-571842.59</v>
      </c>
      <c r="I20" s="3">
        <v>8791842.5899999999</v>
      </c>
      <c r="J20" s="3">
        <v>8791842.5899999999</v>
      </c>
      <c r="K20" s="3">
        <v>0</v>
      </c>
      <c r="L20" s="8">
        <v>-270000</v>
      </c>
      <c r="M20" s="3">
        <v>0</v>
      </c>
      <c r="N20" s="3">
        <v>135000</v>
      </c>
      <c r="O20" s="3">
        <v>0</v>
      </c>
      <c r="P20" s="3">
        <v>180000</v>
      </c>
      <c r="Q20" s="3">
        <v>0</v>
      </c>
      <c r="R20" s="3">
        <v>-315000</v>
      </c>
      <c r="S20" s="3">
        <v>0</v>
      </c>
      <c r="T20" s="3">
        <v>-315000</v>
      </c>
      <c r="U20" s="3">
        <v>0</v>
      </c>
      <c r="V20" s="3">
        <v>45000</v>
      </c>
      <c r="W20" s="3">
        <v>0</v>
      </c>
      <c r="X20" s="3">
        <v>-1111842.5900000001</v>
      </c>
      <c r="Y20" s="3">
        <v>-540000</v>
      </c>
    </row>
    <row r="21" spans="1:25" hidden="1" x14ac:dyDescent="0.35">
      <c r="A21" s="3" t="s">
        <v>83</v>
      </c>
      <c r="B21" s="3" t="s">
        <v>84</v>
      </c>
      <c r="C21" s="3" t="s">
        <v>85</v>
      </c>
      <c r="D21" s="3" t="s">
        <v>18</v>
      </c>
      <c r="E21" s="3" t="s">
        <v>18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8">
        <v>0</v>
      </c>
      <c r="M21" s="3">
        <v>0</v>
      </c>
      <c r="N21" s="3">
        <v>0</v>
      </c>
      <c r="O21" s="3">
        <v>0</v>
      </c>
      <c r="P21" s="3">
        <v>-21600</v>
      </c>
      <c r="Q21" s="3">
        <v>-39600</v>
      </c>
      <c r="R21" s="3">
        <v>21600</v>
      </c>
      <c r="S21" s="3">
        <v>0</v>
      </c>
      <c r="T21" s="3">
        <v>0</v>
      </c>
      <c r="U21" s="3">
        <v>0</v>
      </c>
      <c r="V21" s="3">
        <v>0</v>
      </c>
      <c r="W21" s="3">
        <v>-39600</v>
      </c>
      <c r="X21" s="3">
        <v>0</v>
      </c>
      <c r="Y21" s="3">
        <v>0</v>
      </c>
    </row>
    <row r="22" spans="1:25" hidden="1" x14ac:dyDescent="0.35">
      <c r="A22" s="3" t="s">
        <v>86</v>
      </c>
      <c r="B22" s="3" t="s">
        <v>87</v>
      </c>
      <c r="C22" s="3" t="s">
        <v>88</v>
      </c>
      <c r="D22" s="3" t="s">
        <v>18</v>
      </c>
      <c r="E22" s="3" t="s">
        <v>18</v>
      </c>
      <c r="F22" s="3">
        <v>2700000</v>
      </c>
      <c r="G22" s="3">
        <v>2700000</v>
      </c>
      <c r="H22" s="3">
        <v>-343819.94</v>
      </c>
      <c r="I22" s="3">
        <v>9766819.9399999995</v>
      </c>
      <c r="J22" s="3">
        <v>9766819.9399999995</v>
      </c>
      <c r="K22" s="3">
        <v>0</v>
      </c>
      <c r="L22" s="8">
        <v>-459000</v>
      </c>
      <c r="M22" s="3">
        <v>0</v>
      </c>
      <c r="N22" s="3">
        <v>-216000</v>
      </c>
      <c r="O22" s="3">
        <v>0</v>
      </c>
      <c r="P22" s="3">
        <v>-81000</v>
      </c>
      <c r="Q22" s="3">
        <v>0</v>
      </c>
      <c r="R22" s="3">
        <v>-243000</v>
      </c>
      <c r="S22" s="3">
        <v>0</v>
      </c>
      <c r="T22" s="3">
        <v>-54000</v>
      </c>
      <c r="U22" s="3">
        <v>0</v>
      </c>
      <c r="V22" s="3">
        <v>54000</v>
      </c>
      <c r="W22" s="3">
        <v>0</v>
      </c>
      <c r="X22" s="3">
        <v>-1342819.94</v>
      </c>
      <c r="Y22" s="3">
        <v>-999000</v>
      </c>
    </row>
    <row r="23" spans="1:25" hidden="1" x14ac:dyDescent="0.35">
      <c r="A23" s="3" t="s">
        <v>89</v>
      </c>
      <c r="B23" s="3" t="s">
        <v>90</v>
      </c>
      <c r="C23" s="3" t="s">
        <v>91</v>
      </c>
      <c r="D23" s="3" t="s">
        <v>18</v>
      </c>
      <c r="E23" s="3" t="s">
        <v>18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8">
        <v>0</v>
      </c>
      <c r="M23" s="3">
        <v>0</v>
      </c>
      <c r="N23" s="3">
        <v>-27900</v>
      </c>
      <c r="O23" s="3">
        <v>0</v>
      </c>
      <c r="P23" s="3">
        <v>105000</v>
      </c>
      <c r="Q23" s="3">
        <v>90600</v>
      </c>
      <c r="R23" s="3">
        <v>-77100</v>
      </c>
      <c r="S23" s="3">
        <v>0</v>
      </c>
      <c r="T23" s="3">
        <v>0</v>
      </c>
      <c r="U23" s="3">
        <v>0</v>
      </c>
      <c r="V23" s="3">
        <v>0</v>
      </c>
      <c r="W23" s="3">
        <v>90600</v>
      </c>
      <c r="X23" s="3">
        <v>0</v>
      </c>
      <c r="Y23" s="3">
        <v>0</v>
      </c>
    </row>
    <row r="24" spans="1:25" hidden="1" x14ac:dyDescent="0.35">
      <c r="A24" s="3" t="s">
        <v>92</v>
      </c>
      <c r="B24" s="3" t="s">
        <v>93</v>
      </c>
      <c r="C24" s="3" t="s">
        <v>94</v>
      </c>
      <c r="D24" s="3" t="s">
        <v>18</v>
      </c>
      <c r="E24" s="3" t="s">
        <v>18</v>
      </c>
      <c r="F24" s="3">
        <v>200000</v>
      </c>
      <c r="G24" s="3">
        <v>0</v>
      </c>
      <c r="H24" s="3">
        <v>-411896.29</v>
      </c>
      <c r="I24" s="3">
        <v>3093896.29</v>
      </c>
      <c r="J24" s="3">
        <v>0</v>
      </c>
      <c r="K24" s="3">
        <v>173632.71</v>
      </c>
      <c r="L24" s="8">
        <v>411896.29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173632.71</v>
      </c>
      <c r="X24" s="3">
        <v>0</v>
      </c>
      <c r="Y24" s="3">
        <v>411896.29</v>
      </c>
    </row>
    <row r="25" spans="1:25" hidden="1" x14ac:dyDescent="0.35">
      <c r="A25" s="3" t="s">
        <v>95</v>
      </c>
      <c r="B25" s="3" t="s">
        <v>96</v>
      </c>
      <c r="C25" s="3" t="s">
        <v>97</v>
      </c>
      <c r="D25" s="3" t="s">
        <v>18</v>
      </c>
      <c r="E25" s="3" t="s">
        <v>18</v>
      </c>
      <c r="F25" s="3">
        <v>60000</v>
      </c>
      <c r="G25" s="3">
        <v>0</v>
      </c>
      <c r="H25" s="3">
        <v>-264359.90000000002</v>
      </c>
      <c r="I25" s="3">
        <v>2637959.9</v>
      </c>
      <c r="J25" s="3">
        <v>0</v>
      </c>
      <c r="K25" s="3">
        <v>-308959.90000000002</v>
      </c>
      <c r="L25" s="8">
        <v>264359.90000000002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-308959.90000000002</v>
      </c>
      <c r="X25" s="3">
        <v>0</v>
      </c>
      <c r="Y25" s="3">
        <v>264359.90000000002</v>
      </c>
    </row>
    <row r="26" spans="1:25" hidden="1" x14ac:dyDescent="0.35">
      <c r="A26" s="3" t="s">
        <v>98</v>
      </c>
      <c r="B26" s="3" t="s">
        <v>99</v>
      </c>
      <c r="C26" s="3" t="s">
        <v>100</v>
      </c>
      <c r="D26" s="3" t="s">
        <v>18</v>
      </c>
      <c r="E26" s="3" t="s">
        <v>18</v>
      </c>
      <c r="F26" s="3">
        <v>60000</v>
      </c>
      <c r="G26" s="3">
        <v>0</v>
      </c>
      <c r="H26" s="3">
        <v>-374195.67</v>
      </c>
      <c r="I26" s="3">
        <v>2460995.67</v>
      </c>
      <c r="J26" s="3">
        <v>0</v>
      </c>
      <c r="K26" s="3">
        <v>-418217.67</v>
      </c>
      <c r="L26" s="8">
        <v>374195.67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-418217.67</v>
      </c>
      <c r="X26" s="3">
        <v>0</v>
      </c>
      <c r="Y26" s="3">
        <v>374195.67</v>
      </c>
    </row>
    <row r="27" spans="1:25" hidden="1" x14ac:dyDescent="0.35">
      <c r="A27" s="3" t="s">
        <v>101</v>
      </c>
      <c r="B27" s="3" t="s">
        <v>102</v>
      </c>
      <c r="C27" s="3" t="s">
        <v>103</v>
      </c>
      <c r="D27" s="3" t="s">
        <v>19</v>
      </c>
      <c r="E27" s="3" t="s">
        <v>19</v>
      </c>
      <c r="F27" s="3">
        <v>650000</v>
      </c>
      <c r="G27" s="3">
        <v>650000</v>
      </c>
      <c r="H27" s="3">
        <v>-36052.39</v>
      </c>
      <c r="I27" s="3">
        <v>5863319.29</v>
      </c>
      <c r="J27" s="3">
        <v>5863319.29</v>
      </c>
      <c r="K27" s="3">
        <v>0</v>
      </c>
      <c r="L27" s="8">
        <v>127935.6</v>
      </c>
      <c r="M27" s="3">
        <v>0</v>
      </c>
      <c r="N27" s="3">
        <v>-171944.5</v>
      </c>
      <c r="O27" s="3">
        <v>0</v>
      </c>
      <c r="P27" s="3">
        <v>7897.5</v>
      </c>
      <c r="Q27" s="3">
        <v>0</v>
      </c>
      <c r="R27" s="3">
        <v>236692.3</v>
      </c>
      <c r="S27" s="3">
        <v>0</v>
      </c>
      <c r="T27" s="3">
        <v>-120127.8</v>
      </c>
      <c r="U27" s="3">
        <v>0</v>
      </c>
      <c r="V27" s="3">
        <v>283260.90000000002</v>
      </c>
      <c r="W27" s="3">
        <v>0</v>
      </c>
      <c r="X27" s="3">
        <v>327661.61</v>
      </c>
      <c r="Y27" s="3">
        <v>363714</v>
      </c>
    </row>
    <row r="28" spans="1:25" hidden="1" x14ac:dyDescent="0.35">
      <c r="A28" s="3" t="s">
        <v>35</v>
      </c>
      <c r="B28" s="3" t="s">
        <v>104</v>
      </c>
      <c r="C28" s="3" t="s">
        <v>105</v>
      </c>
      <c r="D28" s="3" t="s">
        <v>19</v>
      </c>
      <c r="E28" s="3" t="s">
        <v>19</v>
      </c>
      <c r="F28" s="3">
        <v>100000</v>
      </c>
      <c r="G28" s="3">
        <v>0</v>
      </c>
      <c r="H28" s="3">
        <v>689558.11</v>
      </c>
      <c r="I28" s="3">
        <v>6933854.8899999997</v>
      </c>
      <c r="J28" s="3">
        <v>0</v>
      </c>
      <c r="K28" s="3">
        <v>0</v>
      </c>
      <c r="L28" s="8">
        <v>-4845.5</v>
      </c>
      <c r="M28" s="3">
        <v>1202900.8</v>
      </c>
      <c r="N28" s="3">
        <v>-684712.61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1202900.8</v>
      </c>
      <c r="X28" s="3">
        <v>0</v>
      </c>
      <c r="Y28" s="3">
        <v>-689558.11</v>
      </c>
    </row>
    <row r="29" spans="1:25" hidden="1" x14ac:dyDescent="0.35">
      <c r="A29" s="3" t="s">
        <v>106</v>
      </c>
      <c r="B29" s="3" t="s">
        <v>107</v>
      </c>
      <c r="C29" s="3" t="s">
        <v>108</v>
      </c>
      <c r="D29" s="3" t="s">
        <v>19</v>
      </c>
      <c r="E29" s="3" t="s">
        <v>19</v>
      </c>
      <c r="F29" s="3">
        <v>600000</v>
      </c>
      <c r="G29" s="3">
        <v>650000</v>
      </c>
      <c r="H29" s="3">
        <v>4606.43</v>
      </c>
      <c r="I29" s="3">
        <v>6343601.1699999999</v>
      </c>
      <c r="J29" s="3">
        <v>6859146.9299999997</v>
      </c>
      <c r="K29" s="3">
        <v>0</v>
      </c>
      <c r="L29" s="8">
        <v>-6597.86</v>
      </c>
      <c r="M29" s="3">
        <v>0</v>
      </c>
      <c r="N29" s="3">
        <v>579273.5</v>
      </c>
      <c r="O29" s="3">
        <v>0</v>
      </c>
      <c r="P29" s="3">
        <v>13442</v>
      </c>
      <c r="Q29" s="3">
        <v>0</v>
      </c>
      <c r="R29" s="3">
        <v>-616798</v>
      </c>
      <c r="S29" s="3">
        <v>0</v>
      </c>
      <c r="T29" s="3">
        <v>-109525</v>
      </c>
      <c r="U29" s="3">
        <v>0</v>
      </c>
      <c r="V29" s="3">
        <v>-38187.5</v>
      </c>
      <c r="W29" s="3">
        <v>0</v>
      </c>
      <c r="X29" s="3">
        <v>-173786.43</v>
      </c>
      <c r="Y29" s="3">
        <v>-178392.86</v>
      </c>
    </row>
    <row r="30" spans="1:25" hidden="1" x14ac:dyDescent="0.35">
      <c r="A30" s="3" t="s">
        <v>109</v>
      </c>
      <c r="B30" s="3" t="s">
        <v>110</v>
      </c>
      <c r="C30" s="3" t="s">
        <v>111</v>
      </c>
      <c r="D30" s="3" t="s">
        <v>19</v>
      </c>
      <c r="E30" s="3" t="s">
        <v>19</v>
      </c>
      <c r="F30" s="3">
        <v>2000000</v>
      </c>
      <c r="G30" s="3">
        <v>2000000</v>
      </c>
      <c r="H30" s="3">
        <v>-107424.09</v>
      </c>
      <c r="I30" s="3">
        <v>4522632.09</v>
      </c>
      <c r="J30" s="3">
        <v>4522632.09</v>
      </c>
      <c r="K30" s="3">
        <v>0</v>
      </c>
      <c r="L30" s="8">
        <v>370302</v>
      </c>
      <c r="M30" s="3">
        <v>0</v>
      </c>
      <c r="N30" s="3">
        <v>161330</v>
      </c>
      <c r="O30" s="3">
        <v>0</v>
      </c>
      <c r="P30" s="3">
        <v>-160980</v>
      </c>
      <c r="Q30" s="3">
        <v>0</v>
      </c>
      <c r="R30" s="3">
        <v>29788</v>
      </c>
      <c r="S30" s="3">
        <v>0</v>
      </c>
      <c r="T30" s="3">
        <v>-106784</v>
      </c>
      <c r="U30" s="3">
        <v>0</v>
      </c>
      <c r="V30" s="3">
        <v>-404650</v>
      </c>
      <c r="W30" s="3">
        <v>0</v>
      </c>
      <c r="X30" s="3">
        <v>-218418.09</v>
      </c>
      <c r="Y30" s="3">
        <v>-110994</v>
      </c>
    </row>
    <row r="31" spans="1:25" hidden="1" x14ac:dyDescent="0.35">
      <c r="A31" s="3" t="s">
        <v>112</v>
      </c>
      <c r="B31" s="3" t="s">
        <v>113</v>
      </c>
      <c r="C31" s="3" t="s">
        <v>114</v>
      </c>
      <c r="D31" s="3" t="s">
        <v>19</v>
      </c>
      <c r="E31" s="3" t="s">
        <v>19</v>
      </c>
      <c r="F31" s="3">
        <v>600000</v>
      </c>
      <c r="G31" s="3">
        <v>1200000</v>
      </c>
      <c r="H31" s="3">
        <v>321397.45</v>
      </c>
      <c r="I31" s="3">
        <v>3539217.35</v>
      </c>
      <c r="J31" s="3">
        <v>7363552.9100000001</v>
      </c>
      <c r="K31" s="3">
        <v>0</v>
      </c>
      <c r="L31" s="8">
        <v>72754.2</v>
      </c>
      <c r="M31" s="3">
        <v>0</v>
      </c>
      <c r="N31" s="3">
        <v>-341229</v>
      </c>
      <c r="O31" s="3">
        <v>0</v>
      </c>
      <c r="P31" s="3">
        <v>211824</v>
      </c>
      <c r="Q31" s="3">
        <v>0</v>
      </c>
      <c r="R31" s="3">
        <v>257930.4</v>
      </c>
      <c r="S31" s="3">
        <v>0</v>
      </c>
      <c r="T31" s="3">
        <v>-906031.56</v>
      </c>
      <c r="U31" s="3">
        <v>0</v>
      </c>
      <c r="V31" s="3">
        <v>10260</v>
      </c>
      <c r="W31" s="3">
        <v>0</v>
      </c>
      <c r="X31" s="3">
        <v>-373094.51</v>
      </c>
      <c r="Y31" s="3">
        <v>-694491.96</v>
      </c>
    </row>
    <row r="32" spans="1:25" hidden="1" x14ac:dyDescent="0.35">
      <c r="A32" s="3" t="s">
        <v>115</v>
      </c>
      <c r="B32" s="3" t="s">
        <v>116</v>
      </c>
      <c r="C32" s="3" t="s">
        <v>117</v>
      </c>
      <c r="D32" s="3" t="s">
        <v>19</v>
      </c>
      <c r="E32" s="3" t="s">
        <v>19</v>
      </c>
      <c r="F32" s="3">
        <v>1700000</v>
      </c>
      <c r="G32" s="3">
        <v>0</v>
      </c>
      <c r="H32" s="3">
        <v>-576984.67000000004</v>
      </c>
      <c r="I32" s="3">
        <v>8799860.8699999992</v>
      </c>
      <c r="J32" s="3">
        <v>0</v>
      </c>
      <c r="K32" s="3">
        <v>0</v>
      </c>
      <c r="L32" s="8">
        <v>-87509.2</v>
      </c>
      <c r="M32" s="3">
        <v>0</v>
      </c>
      <c r="N32" s="3">
        <v>-742636.68</v>
      </c>
      <c r="O32" s="3">
        <v>0</v>
      </c>
      <c r="P32" s="3">
        <v>-166497</v>
      </c>
      <c r="Q32" s="3">
        <v>-470906.12</v>
      </c>
      <c r="R32" s="3">
        <v>861343.22</v>
      </c>
      <c r="S32" s="3">
        <v>-278059.51</v>
      </c>
      <c r="T32" s="3">
        <v>712284.33</v>
      </c>
      <c r="U32" s="3">
        <v>0</v>
      </c>
      <c r="V32" s="3">
        <v>0</v>
      </c>
      <c r="W32" s="3">
        <v>-748965.63</v>
      </c>
      <c r="X32" s="3">
        <v>0</v>
      </c>
      <c r="Y32" s="3">
        <v>576984.67000000004</v>
      </c>
    </row>
    <row r="33" spans="1:25" hidden="1" x14ac:dyDescent="0.35">
      <c r="A33" s="3" t="s">
        <v>118</v>
      </c>
      <c r="B33" s="3" t="s">
        <v>119</v>
      </c>
      <c r="C33" s="3" t="s">
        <v>120</v>
      </c>
      <c r="D33" s="3" t="s">
        <v>19</v>
      </c>
      <c r="E33" s="3" t="s">
        <v>19</v>
      </c>
      <c r="F33" s="3">
        <v>1240000</v>
      </c>
      <c r="G33" s="3">
        <v>800000</v>
      </c>
      <c r="H33" s="3">
        <v>-1292836.1299999999</v>
      </c>
      <c r="I33" s="3">
        <v>9950233.4100000001</v>
      </c>
      <c r="J33" s="3">
        <v>6419505.4299999997</v>
      </c>
      <c r="K33" s="3">
        <v>0</v>
      </c>
      <c r="L33" s="8">
        <v>111293.72</v>
      </c>
      <c r="M33" s="3">
        <v>0</v>
      </c>
      <c r="N33" s="3">
        <v>-586303</v>
      </c>
      <c r="O33" s="3">
        <v>0</v>
      </c>
      <c r="P33" s="3">
        <v>-441303.6</v>
      </c>
      <c r="Q33" s="3">
        <v>-710171.3</v>
      </c>
      <c r="R33" s="3">
        <v>898417.98</v>
      </c>
      <c r="S33" s="3">
        <v>0</v>
      </c>
      <c r="T33" s="3">
        <v>174848</v>
      </c>
      <c r="U33" s="3">
        <v>0</v>
      </c>
      <c r="V33" s="3">
        <v>-236110.4</v>
      </c>
      <c r="W33" s="3">
        <v>-710171.3</v>
      </c>
      <c r="X33" s="3">
        <v>-1371993.43</v>
      </c>
      <c r="Y33" s="3">
        <v>-79157.3</v>
      </c>
    </row>
    <row r="34" spans="1:25" hidden="1" x14ac:dyDescent="0.35">
      <c r="A34" s="3" t="s">
        <v>121</v>
      </c>
      <c r="B34" s="3" t="s">
        <v>122</v>
      </c>
      <c r="C34" s="3" t="s">
        <v>123</v>
      </c>
      <c r="D34" s="3" t="s">
        <v>19</v>
      </c>
      <c r="E34" s="3" t="s">
        <v>19</v>
      </c>
      <c r="F34" s="3">
        <v>200000</v>
      </c>
      <c r="G34" s="3">
        <v>500000</v>
      </c>
      <c r="H34" s="3">
        <v>-46637.53</v>
      </c>
      <c r="I34" s="3">
        <v>2121426.33</v>
      </c>
      <c r="J34" s="3">
        <v>5162724.63</v>
      </c>
      <c r="K34" s="3">
        <v>0</v>
      </c>
      <c r="L34" s="8">
        <v>-139170.03</v>
      </c>
      <c r="M34" s="3">
        <v>0</v>
      </c>
      <c r="N34" s="3">
        <v>-162402</v>
      </c>
      <c r="O34" s="3">
        <v>0</v>
      </c>
      <c r="P34" s="3">
        <v>-188796</v>
      </c>
      <c r="Q34" s="3">
        <v>-57372.12</v>
      </c>
      <c r="R34" s="3">
        <v>207376.93</v>
      </c>
      <c r="S34" s="3">
        <v>0</v>
      </c>
      <c r="T34" s="3">
        <v>-539720</v>
      </c>
      <c r="U34" s="3">
        <v>0</v>
      </c>
      <c r="V34" s="3">
        <v>-84235</v>
      </c>
      <c r="W34" s="3">
        <v>-57372.12</v>
      </c>
      <c r="X34" s="3">
        <v>-953583.63</v>
      </c>
      <c r="Y34" s="3">
        <v>-906946.1</v>
      </c>
    </row>
    <row r="35" spans="1:25" hidden="1" x14ac:dyDescent="0.35">
      <c r="A35" s="3" t="s">
        <v>124</v>
      </c>
      <c r="B35" s="3" t="s">
        <v>125</v>
      </c>
      <c r="C35" s="3" t="s">
        <v>126</v>
      </c>
      <c r="D35" s="3" t="s">
        <v>19</v>
      </c>
      <c r="E35" s="3" t="s">
        <v>19</v>
      </c>
      <c r="F35" s="3">
        <v>300000</v>
      </c>
      <c r="G35" s="3">
        <v>300000</v>
      </c>
      <c r="H35" s="3">
        <v>-215039.04</v>
      </c>
      <c r="I35" s="3">
        <v>2971851.84</v>
      </c>
      <c r="J35" s="3">
        <v>2971851.84</v>
      </c>
      <c r="K35" s="3">
        <v>0</v>
      </c>
      <c r="L35" s="8">
        <v>165194.70000000001</v>
      </c>
      <c r="M35" s="3">
        <v>0</v>
      </c>
      <c r="N35" s="3">
        <v>-231835.5</v>
      </c>
      <c r="O35" s="3">
        <v>0</v>
      </c>
      <c r="P35" s="3">
        <v>64788</v>
      </c>
      <c r="Q35" s="3">
        <v>0</v>
      </c>
      <c r="R35" s="3">
        <v>-54009.599999999999</v>
      </c>
      <c r="S35" s="3">
        <v>0</v>
      </c>
      <c r="T35" s="3">
        <v>-156086.39999999999</v>
      </c>
      <c r="U35" s="3">
        <v>0</v>
      </c>
      <c r="V35" s="3">
        <v>-29751</v>
      </c>
      <c r="W35" s="3">
        <v>0</v>
      </c>
      <c r="X35" s="3">
        <v>-456738.84</v>
      </c>
      <c r="Y35" s="3">
        <v>-241699.8</v>
      </c>
    </row>
    <row r="36" spans="1:25" hidden="1" x14ac:dyDescent="0.35">
      <c r="A36" s="3" t="s">
        <v>127</v>
      </c>
      <c r="B36" s="3" t="s">
        <v>128</v>
      </c>
      <c r="C36" s="3" t="s">
        <v>129</v>
      </c>
      <c r="D36" s="3" t="s">
        <v>19</v>
      </c>
      <c r="E36" s="3" t="s">
        <v>19</v>
      </c>
      <c r="F36" s="3">
        <v>200000</v>
      </c>
      <c r="G36" s="3">
        <v>0</v>
      </c>
      <c r="H36" s="3">
        <v>-232693.54</v>
      </c>
      <c r="I36" s="3">
        <v>3339492.34</v>
      </c>
      <c r="J36" s="3">
        <v>0</v>
      </c>
      <c r="K36" s="3">
        <v>0</v>
      </c>
      <c r="L36" s="8">
        <v>59821.2</v>
      </c>
      <c r="M36" s="3">
        <v>-149358.35</v>
      </c>
      <c r="N36" s="3">
        <v>172872.34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-149358.35</v>
      </c>
      <c r="X36" s="3">
        <v>0</v>
      </c>
      <c r="Y36" s="3">
        <v>232693.54</v>
      </c>
    </row>
    <row r="37" spans="1:25" hidden="1" x14ac:dyDescent="0.35">
      <c r="A37" s="3" t="s">
        <v>130</v>
      </c>
      <c r="B37" s="3" t="s">
        <v>131</v>
      </c>
      <c r="C37" s="3" t="s">
        <v>132</v>
      </c>
      <c r="D37" s="3" t="s">
        <v>19</v>
      </c>
      <c r="E37" s="3" t="s">
        <v>19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8">
        <v>0</v>
      </c>
      <c r="M37" s="3">
        <v>0</v>
      </c>
      <c r="N37" s="3">
        <v>-57572.21</v>
      </c>
      <c r="O37" s="3">
        <v>0</v>
      </c>
      <c r="P37" s="3">
        <v>389148</v>
      </c>
      <c r="Q37" s="3">
        <v>0</v>
      </c>
      <c r="R37" s="3">
        <v>136066.79999999999</v>
      </c>
      <c r="S37" s="3">
        <v>122441.38</v>
      </c>
      <c r="T37" s="3">
        <v>-467642.59</v>
      </c>
      <c r="U37" s="3">
        <v>0</v>
      </c>
      <c r="V37" s="3">
        <v>0</v>
      </c>
      <c r="W37" s="3">
        <v>122441.38</v>
      </c>
      <c r="X37" s="3">
        <v>0</v>
      </c>
      <c r="Y37" s="3">
        <v>0</v>
      </c>
    </row>
    <row r="38" spans="1:25" hidden="1" x14ac:dyDescent="0.35">
      <c r="A38" s="3" t="s">
        <v>133</v>
      </c>
      <c r="B38" s="3" t="s">
        <v>134</v>
      </c>
      <c r="C38" s="3" t="s">
        <v>135</v>
      </c>
      <c r="D38" s="3" t="s">
        <v>19</v>
      </c>
      <c r="E38" s="3" t="s">
        <v>19</v>
      </c>
      <c r="F38" s="3">
        <v>1100000</v>
      </c>
      <c r="G38" s="3">
        <v>800000</v>
      </c>
      <c r="H38" s="3">
        <v>-76519.100000000006</v>
      </c>
      <c r="I38" s="3">
        <v>7667625.7000000002</v>
      </c>
      <c r="J38" s="3">
        <v>5576455.0499999998</v>
      </c>
      <c r="K38" s="3">
        <v>0</v>
      </c>
      <c r="L38" s="8">
        <v>148432.9</v>
      </c>
      <c r="M38" s="3">
        <v>0</v>
      </c>
      <c r="N38" s="3">
        <v>-57953.5</v>
      </c>
      <c r="O38" s="3">
        <v>0</v>
      </c>
      <c r="P38" s="3">
        <v>467621</v>
      </c>
      <c r="Q38" s="3">
        <v>172712.83</v>
      </c>
      <c r="R38" s="3">
        <v>69701.25</v>
      </c>
      <c r="S38" s="3">
        <v>0</v>
      </c>
      <c r="T38" s="3">
        <v>-248582.39999999999</v>
      </c>
      <c r="U38" s="3">
        <v>0</v>
      </c>
      <c r="V38" s="3">
        <v>177859.20000000001</v>
      </c>
      <c r="W38" s="3">
        <v>172712.83</v>
      </c>
      <c r="X38" s="3">
        <v>480559.35</v>
      </c>
      <c r="Y38" s="3">
        <v>557078.44999999995</v>
      </c>
    </row>
    <row r="39" spans="1:25" hidden="1" x14ac:dyDescent="0.35">
      <c r="A39" s="3" t="s">
        <v>136</v>
      </c>
      <c r="B39" s="3" t="s">
        <v>137</v>
      </c>
      <c r="C39" s="3" t="s">
        <v>138</v>
      </c>
      <c r="D39" s="3" t="s">
        <v>19</v>
      </c>
      <c r="E39" s="3" t="s">
        <v>19</v>
      </c>
      <c r="F39" s="3">
        <v>120000</v>
      </c>
      <c r="G39" s="3">
        <v>100000</v>
      </c>
      <c r="H39" s="3">
        <v>-855376.21</v>
      </c>
      <c r="I39" s="3">
        <v>9653485.8100000005</v>
      </c>
      <c r="J39" s="3">
        <v>8044571.5099999998</v>
      </c>
      <c r="K39" s="3">
        <v>0</v>
      </c>
      <c r="L39" s="8">
        <v>-280257.59999999998</v>
      </c>
      <c r="M39" s="3">
        <v>0</v>
      </c>
      <c r="N39" s="3">
        <v>-200868</v>
      </c>
      <c r="O39" s="3">
        <v>0</v>
      </c>
      <c r="P39" s="3">
        <v>69750</v>
      </c>
      <c r="Q39" s="3">
        <v>-189721.4</v>
      </c>
      <c r="R39" s="3">
        <v>602684.30000000005</v>
      </c>
      <c r="S39" s="3">
        <v>0</v>
      </c>
      <c r="T39" s="3">
        <v>-9920</v>
      </c>
      <c r="U39" s="3">
        <v>0</v>
      </c>
      <c r="V39" s="3">
        <v>-248752</v>
      </c>
      <c r="W39" s="3">
        <v>-189721.4</v>
      </c>
      <c r="X39" s="3">
        <v>-922739.51</v>
      </c>
      <c r="Y39" s="3">
        <v>-67363.3</v>
      </c>
    </row>
    <row r="40" spans="1:25" hidden="1" x14ac:dyDescent="0.35">
      <c r="A40" s="3" t="s">
        <v>139</v>
      </c>
      <c r="B40" s="3" t="s">
        <v>140</v>
      </c>
      <c r="C40" s="3" t="s">
        <v>141</v>
      </c>
      <c r="D40" s="3" t="s">
        <v>19</v>
      </c>
      <c r="E40" s="3" t="s">
        <v>19</v>
      </c>
      <c r="F40" s="3">
        <v>10000</v>
      </c>
      <c r="G40" s="3">
        <v>0</v>
      </c>
      <c r="H40" s="3">
        <v>-3239.25</v>
      </c>
      <c r="I40" s="3">
        <v>120619.17</v>
      </c>
      <c r="J40" s="3">
        <v>0</v>
      </c>
      <c r="K40" s="3">
        <v>0</v>
      </c>
      <c r="L40" s="8">
        <v>6349.53</v>
      </c>
      <c r="M40" s="3">
        <v>0</v>
      </c>
      <c r="N40" s="3">
        <v>15925.26</v>
      </c>
      <c r="O40" s="3">
        <v>17670.689999999999</v>
      </c>
      <c r="P40" s="3">
        <v>-19035.54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17670.689999999999</v>
      </c>
      <c r="X40" s="3">
        <v>0</v>
      </c>
      <c r="Y40" s="3">
        <v>3239.25</v>
      </c>
    </row>
    <row r="41" spans="1:25" hidden="1" x14ac:dyDescent="0.35">
      <c r="A41" s="3" t="s">
        <v>142</v>
      </c>
      <c r="B41" s="3" t="s">
        <v>143</v>
      </c>
      <c r="C41" s="3" t="s">
        <v>144</v>
      </c>
      <c r="D41" s="3" t="s">
        <v>19</v>
      </c>
      <c r="E41" s="3" t="s">
        <v>19</v>
      </c>
      <c r="F41" s="3">
        <v>1300000</v>
      </c>
      <c r="G41" s="3">
        <v>1000000</v>
      </c>
      <c r="H41" s="3">
        <v>-576565.31000000006</v>
      </c>
      <c r="I41" s="3">
        <v>8672908.1099999994</v>
      </c>
      <c r="J41" s="3">
        <v>6671467.7800000003</v>
      </c>
      <c r="K41" s="3">
        <v>0</v>
      </c>
      <c r="L41" s="8">
        <v>321885.2</v>
      </c>
      <c r="M41" s="3">
        <v>0</v>
      </c>
      <c r="N41" s="3">
        <v>-226226</v>
      </c>
      <c r="O41" s="3">
        <v>0</v>
      </c>
      <c r="P41" s="3">
        <v>876408</v>
      </c>
      <c r="Q41" s="3">
        <v>59877.94</v>
      </c>
      <c r="R41" s="3">
        <v>86710.33</v>
      </c>
      <c r="S41" s="3">
        <v>0</v>
      </c>
      <c r="T41" s="3">
        <v>-843456</v>
      </c>
      <c r="U41" s="3">
        <v>0</v>
      </c>
      <c r="V41" s="3">
        <v>284385</v>
      </c>
      <c r="W41" s="3">
        <v>59877.94</v>
      </c>
      <c r="X41" s="3">
        <v>-76858.78</v>
      </c>
      <c r="Y41" s="3">
        <v>499706.53</v>
      </c>
    </row>
    <row r="42" spans="1:25" hidden="1" x14ac:dyDescent="0.35">
      <c r="A42" s="3" t="s">
        <v>145</v>
      </c>
      <c r="B42" s="3" t="s">
        <v>146</v>
      </c>
      <c r="C42" s="3" t="s">
        <v>147</v>
      </c>
      <c r="D42" s="3" t="s">
        <v>19</v>
      </c>
      <c r="E42" s="3" t="s">
        <v>19</v>
      </c>
      <c r="F42" s="3">
        <v>1500000</v>
      </c>
      <c r="G42" s="3">
        <v>800000</v>
      </c>
      <c r="H42" s="3">
        <v>-598801.48</v>
      </c>
      <c r="I42" s="3">
        <v>6077428.4800000004</v>
      </c>
      <c r="J42" s="3">
        <v>2819041.56</v>
      </c>
      <c r="K42" s="3">
        <v>0</v>
      </c>
      <c r="L42" s="8">
        <v>31825.5</v>
      </c>
      <c r="M42" s="3">
        <v>-512420.91</v>
      </c>
      <c r="N42" s="3">
        <v>566975.98</v>
      </c>
      <c r="O42" s="3">
        <v>0</v>
      </c>
      <c r="P42" s="3">
        <v>0</v>
      </c>
      <c r="Q42" s="3">
        <v>0</v>
      </c>
      <c r="R42" s="3">
        <v>147118.44</v>
      </c>
      <c r="S42" s="3">
        <v>0</v>
      </c>
      <c r="T42" s="3">
        <v>274646.40000000002</v>
      </c>
      <c r="U42" s="3">
        <v>0</v>
      </c>
      <c r="V42" s="3">
        <v>-108583.2</v>
      </c>
      <c r="W42" s="3">
        <v>-512420.91</v>
      </c>
      <c r="X42" s="3">
        <v>313181.64</v>
      </c>
      <c r="Y42" s="3">
        <v>911983.12</v>
      </c>
    </row>
    <row r="43" spans="1:25" hidden="1" x14ac:dyDescent="0.35">
      <c r="A43" s="3" t="s">
        <v>148</v>
      </c>
      <c r="B43" s="3" t="s">
        <v>149</v>
      </c>
      <c r="C43" s="3" t="s">
        <v>150</v>
      </c>
      <c r="D43" s="3" t="s">
        <v>19</v>
      </c>
      <c r="E43" s="3" t="s">
        <v>19</v>
      </c>
      <c r="F43" s="3">
        <v>0</v>
      </c>
      <c r="G43" s="3">
        <v>100000</v>
      </c>
      <c r="H43" s="3">
        <v>0</v>
      </c>
      <c r="I43" s="3">
        <v>0</v>
      </c>
      <c r="J43" s="3">
        <v>3876357.17</v>
      </c>
      <c r="K43" s="3">
        <v>0</v>
      </c>
      <c r="L43" s="8">
        <v>0</v>
      </c>
      <c r="M43" s="3">
        <v>0</v>
      </c>
      <c r="N43" s="3">
        <v>53146.83</v>
      </c>
      <c r="O43" s="3">
        <v>0</v>
      </c>
      <c r="P43" s="3">
        <v>142892</v>
      </c>
      <c r="Q43" s="3">
        <v>0</v>
      </c>
      <c r="R43" s="3">
        <v>143040.79999999999</v>
      </c>
      <c r="S43" s="3">
        <v>0</v>
      </c>
      <c r="T43" s="3">
        <v>-313312</v>
      </c>
      <c r="U43" s="3">
        <v>0</v>
      </c>
      <c r="V43" s="3">
        <v>118598.8</v>
      </c>
      <c r="W43" s="3">
        <v>0</v>
      </c>
      <c r="X43" s="3">
        <v>144366.43</v>
      </c>
      <c r="Y43" s="3">
        <v>144366.43</v>
      </c>
    </row>
    <row r="44" spans="1:25" hidden="1" x14ac:dyDescent="0.35">
      <c r="A44" s="3" t="s">
        <v>151</v>
      </c>
      <c r="B44" s="3" t="s">
        <v>152</v>
      </c>
      <c r="C44" s="3" t="s">
        <v>153</v>
      </c>
      <c r="D44" s="3" t="s">
        <v>19</v>
      </c>
      <c r="E44" s="3" t="s">
        <v>19</v>
      </c>
      <c r="F44" s="3">
        <v>700000</v>
      </c>
      <c r="G44" s="3">
        <v>700000</v>
      </c>
      <c r="H44" s="3">
        <v>-352025.49</v>
      </c>
      <c r="I44" s="3">
        <v>3687661.29</v>
      </c>
      <c r="J44" s="3">
        <v>3063737.09</v>
      </c>
      <c r="K44" s="3">
        <v>0</v>
      </c>
      <c r="L44" s="8">
        <v>-135214.79999999999</v>
      </c>
      <c r="M44" s="3">
        <v>0</v>
      </c>
      <c r="N44" s="3">
        <v>60473</v>
      </c>
      <c r="O44" s="3">
        <v>-401645.23</v>
      </c>
      <c r="P44" s="3">
        <v>141258.82</v>
      </c>
      <c r="Q44" s="3">
        <v>0</v>
      </c>
      <c r="R44" s="3">
        <v>-164518.22</v>
      </c>
      <c r="S44" s="3">
        <v>0</v>
      </c>
      <c r="T44" s="3">
        <v>-44609.599999999999</v>
      </c>
      <c r="U44" s="3">
        <v>0</v>
      </c>
      <c r="V44" s="3">
        <v>86893.1</v>
      </c>
      <c r="W44" s="3">
        <v>-401645.23</v>
      </c>
      <c r="X44" s="3">
        <v>-407743.19</v>
      </c>
      <c r="Y44" s="3">
        <v>-55717.7</v>
      </c>
    </row>
    <row r="45" spans="1:25" hidden="1" x14ac:dyDescent="0.35">
      <c r="A45" s="3" t="s">
        <v>154</v>
      </c>
      <c r="B45" s="3" t="s">
        <v>155</v>
      </c>
      <c r="C45" s="3" t="s">
        <v>156</v>
      </c>
      <c r="D45" s="3" t="s">
        <v>19</v>
      </c>
      <c r="E45" s="3" t="s">
        <v>19</v>
      </c>
      <c r="F45" s="3">
        <v>1700000</v>
      </c>
      <c r="G45" s="3">
        <v>0</v>
      </c>
      <c r="H45" s="3">
        <v>1452979.37</v>
      </c>
      <c r="I45" s="3">
        <v>8142918.8300000001</v>
      </c>
      <c r="J45" s="3">
        <v>0</v>
      </c>
      <c r="K45" s="3">
        <v>0</v>
      </c>
      <c r="L45" s="8">
        <v>217955.3</v>
      </c>
      <c r="M45" s="3">
        <v>185840.56</v>
      </c>
      <c r="N45" s="3">
        <v>-399913.05</v>
      </c>
      <c r="O45" s="3">
        <v>0</v>
      </c>
      <c r="P45" s="3">
        <v>630120</v>
      </c>
      <c r="Q45" s="3">
        <v>650929.68999999994</v>
      </c>
      <c r="R45" s="3">
        <v>-558121.87</v>
      </c>
      <c r="S45" s="3">
        <v>1236193.58</v>
      </c>
      <c r="T45" s="3">
        <v>-1343019.75</v>
      </c>
      <c r="U45" s="3">
        <v>0</v>
      </c>
      <c r="V45" s="3">
        <v>0</v>
      </c>
      <c r="W45" s="3">
        <v>2072963.83</v>
      </c>
      <c r="X45" s="3">
        <v>0</v>
      </c>
      <c r="Y45" s="3">
        <v>-1452979.37</v>
      </c>
    </row>
    <row r="46" spans="1:25" hidden="1" x14ac:dyDescent="0.35">
      <c r="A46" s="3" t="s">
        <v>157</v>
      </c>
      <c r="B46" s="3" t="s">
        <v>158</v>
      </c>
      <c r="C46" s="3" t="s">
        <v>159</v>
      </c>
      <c r="D46" s="3" t="s">
        <v>19</v>
      </c>
      <c r="E46" s="3" t="s">
        <v>19</v>
      </c>
      <c r="F46" s="3">
        <v>0</v>
      </c>
      <c r="G46" s="3">
        <v>3000000</v>
      </c>
      <c r="H46" s="3">
        <v>0</v>
      </c>
      <c r="I46" s="3">
        <v>0</v>
      </c>
      <c r="J46" s="3">
        <v>6438712.5</v>
      </c>
      <c r="K46" s="3">
        <v>0</v>
      </c>
      <c r="L46" s="8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-42009.17</v>
      </c>
      <c r="S46" s="3">
        <v>0</v>
      </c>
      <c r="T46" s="3">
        <v>-112447.33</v>
      </c>
      <c r="U46" s="3">
        <v>0</v>
      </c>
      <c r="V46" s="3">
        <v>301710</v>
      </c>
      <c r="W46" s="3">
        <v>0</v>
      </c>
      <c r="X46" s="3">
        <v>147253.5</v>
      </c>
      <c r="Y46" s="3">
        <v>147253.5</v>
      </c>
    </row>
    <row r="47" spans="1:25" hidden="1" x14ac:dyDescent="0.35">
      <c r="A47" s="3" t="s">
        <v>160</v>
      </c>
      <c r="B47" s="3" t="s">
        <v>161</v>
      </c>
      <c r="C47" s="3" t="s">
        <v>162</v>
      </c>
      <c r="D47" s="3" t="s">
        <v>19</v>
      </c>
      <c r="E47" s="3" t="s">
        <v>19</v>
      </c>
      <c r="F47" s="3">
        <v>100000</v>
      </c>
      <c r="G47" s="3">
        <v>100000</v>
      </c>
      <c r="H47" s="3">
        <v>-358982.92</v>
      </c>
      <c r="I47" s="3">
        <v>7587539.9199999999</v>
      </c>
      <c r="J47" s="3">
        <v>7457374.4100000001</v>
      </c>
      <c r="K47" s="3">
        <v>0</v>
      </c>
      <c r="L47" s="8">
        <v>-268219.5</v>
      </c>
      <c r="M47" s="3">
        <v>0</v>
      </c>
      <c r="N47" s="3">
        <v>473032.5</v>
      </c>
      <c r="O47" s="3">
        <v>0</v>
      </c>
      <c r="P47" s="3">
        <v>-771420.89</v>
      </c>
      <c r="Q47" s="3">
        <v>-20124.07</v>
      </c>
      <c r="R47" s="3">
        <v>523983.64</v>
      </c>
      <c r="S47" s="3">
        <v>0</v>
      </c>
      <c r="T47" s="3">
        <v>-494519.24</v>
      </c>
      <c r="U47" s="3">
        <v>0</v>
      </c>
      <c r="V47" s="3">
        <v>-187035.5</v>
      </c>
      <c r="W47" s="3">
        <v>-20124.07</v>
      </c>
      <c r="X47" s="3">
        <v>-1083161.9099999999</v>
      </c>
      <c r="Y47" s="3">
        <v>-724178.99</v>
      </c>
    </row>
    <row r="48" spans="1:25" hidden="1" x14ac:dyDescent="0.35">
      <c r="A48" s="3" t="s">
        <v>163</v>
      </c>
      <c r="B48" s="3" t="s">
        <v>164</v>
      </c>
      <c r="C48" s="3" t="s">
        <v>165</v>
      </c>
      <c r="D48" s="3" t="s">
        <v>19</v>
      </c>
      <c r="E48" s="3" t="s">
        <v>19</v>
      </c>
      <c r="F48" s="3">
        <v>120000</v>
      </c>
      <c r="G48" s="3">
        <v>0</v>
      </c>
      <c r="H48" s="3">
        <v>1925426.7</v>
      </c>
      <c r="I48" s="3">
        <v>5090446.5</v>
      </c>
      <c r="J48" s="3">
        <v>0</v>
      </c>
      <c r="K48" s="3">
        <v>382897.5</v>
      </c>
      <c r="L48" s="8">
        <v>299199.55</v>
      </c>
      <c r="M48" s="3">
        <v>0</v>
      </c>
      <c r="N48" s="3">
        <v>-523465</v>
      </c>
      <c r="O48" s="3">
        <v>0</v>
      </c>
      <c r="P48" s="3">
        <v>-693765</v>
      </c>
      <c r="Q48" s="3">
        <v>0</v>
      </c>
      <c r="R48" s="3">
        <v>246685</v>
      </c>
      <c r="S48" s="3">
        <v>864942.27</v>
      </c>
      <c r="T48" s="3">
        <v>-1254081.25</v>
      </c>
      <c r="U48" s="3">
        <v>0</v>
      </c>
      <c r="V48" s="3">
        <v>0</v>
      </c>
      <c r="W48" s="3">
        <v>1247839.77</v>
      </c>
      <c r="X48" s="3">
        <v>0</v>
      </c>
      <c r="Y48" s="3">
        <v>-1925426.7</v>
      </c>
    </row>
    <row r="49" spans="1:25" hidden="1" x14ac:dyDescent="0.35">
      <c r="A49" s="3" t="s">
        <v>166</v>
      </c>
      <c r="B49" s="3" t="s">
        <v>167</v>
      </c>
      <c r="C49" s="3" t="s">
        <v>168</v>
      </c>
      <c r="D49" s="3" t="s">
        <v>19</v>
      </c>
      <c r="E49" s="3" t="s">
        <v>19</v>
      </c>
      <c r="F49" s="3">
        <v>10000</v>
      </c>
      <c r="G49" s="3">
        <v>0</v>
      </c>
      <c r="H49" s="3">
        <v>-33223.160000000003</v>
      </c>
      <c r="I49" s="3">
        <v>167025.5</v>
      </c>
      <c r="J49" s="3">
        <v>0</v>
      </c>
      <c r="K49" s="3">
        <v>0</v>
      </c>
      <c r="L49" s="8">
        <v>11186.16</v>
      </c>
      <c r="M49" s="3">
        <v>-11238.73</v>
      </c>
      <c r="N49" s="3">
        <v>22037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-11238.73</v>
      </c>
      <c r="X49" s="3">
        <v>0</v>
      </c>
      <c r="Y49" s="3">
        <v>33223.160000000003</v>
      </c>
    </row>
    <row r="50" spans="1:25" hidden="1" x14ac:dyDescent="0.35">
      <c r="A50" s="3" t="s">
        <v>169</v>
      </c>
      <c r="B50" s="3" t="s">
        <v>170</v>
      </c>
      <c r="C50" s="3" t="s">
        <v>171</v>
      </c>
      <c r="D50" s="3" t="s">
        <v>19</v>
      </c>
      <c r="E50" s="3" t="s">
        <v>19</v>
      </c>
      <c r="F50" s="3">
        <v>100000</v>
      </c>
      <c r="G50" s="3">
        <v>0</v>
      </c>
      <c r="H50" s="3">
        <v>-132150.53</v>
      </c>
      <c r="I50" s="3">
        <v>1153391.73</v>
      </c>
      <c r="J50" s="3">
        <v>0</v>
      </c>
      <c r="K50" s="3">
        <v>-76819.679999999993</v>
      </c>
      <c r="L50" s="8">
        <v>132150.53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-76819.679999999993</v>
      </c>
      <c r="X50" s="3">
        <v>0</v>
      </c>
      <c r="Y50" s="3">
        <v>132150.53</v>
      </c>
    </row>
    <row r="51" spans="1:25" hidden="1" x14ac:dyDescent="0.35">
      <c r="A51" s="3" t="s">
        <v>172</v>
      </c>
      <c r="B51" s="3" t="s">
        <v>173</v>
      </c>
      <c r="C51" s="3" t="s">
        <v>174</v>
      </c>
      <c r="D51" s="3" t="s">
        <v>19</v>
      </c>
      <c r="E51" s="3" t="s">
        <v>19</v>
      </c>
      <c r="F51" s="3">
        <v>1400000</v>
      </c>
      <c r="G51" s="3">
        <v>0</v>
      </c>
      <c r="H51" s="3">
        <v>-890587.7</v>
      </c>
      <c r="I51" s="3">
        <v>8994109.6999999993</v>
      </c>
      <c r="J51" s="3">
        <v>0</v>
      </c>
      <c r="K51" s="3">
        <v>0</v>
      </c>
      <c r="L51" s="8">
        <v>264894</v>
      </c>
      <c r="M51" s="3">
        <v>-180528.06</v>
      </c>
      <c r="N51" s="3">
        <v>282714.44</v>
      </c>
      <c r="O51" s="3">
        <v>-363593.76</v>
      </c>
      <c r="P51" s="3">
        <v>342979.26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-544121.81999999995</v>
      </c>
      <c r="X51" s="3">
        <v>0</v>
      </c>
      <c r="Y51" s="3">
        <v>890587.7</v>
      </c>
    </row>
    <row r="52" spans="1:25" hidden="1" x14ac:dyDescent="0.35">
      <c r="A52" s="3" t="s">
        <v>175</v>
      </c>
      <c r="B52" s="3" t="s">
        <v>176</v>
      </c>
      <c r="C52" s="3" t="s">
        <v>177</v>
      </c>
      <c r="D52" s="3" t="s">
        <v>19</v>
      </c>
      <c r="E52" s="3" t="s">
        <v>19</v>
      </c>
      <c r="F52" s="3">
        <v>400000</v>
      </c>
      <c r="G52" s="3">
        <v>150000</v>
      </c>
      <c r="H52" s="3">
        <v>-453731.23</v>
      </c>
      <c r="I52" s="3">
        <v>4614077.63</v>
      </c>
      <c r="J52" s="3">
        <v>1557101.96</v>
      </c>
      <c r="K52" s="3">
        <v>0</v>
      </c>
      <c r="L52" s="8">
        <v>73673.600000000006</v>
      </c>
      <c r="M52" s="3">
        <v>0</v>
      </c>
      <c r="N52" s="3">
        <v>375314.14</v>
      </c>
      <c r="O52" s="3">
        <v>0</v>
      </c>
      <c r="P52" s="3">
        <v>-1438185</v>
      </c>
      <c r="Q52" s="3">
        <v>0</v>
      </c>
      <c r="R52" s="3">
        <v>-181512.54</v>
      </c>
      <c r="S52" s="3">
        <v>-1633275.87</v>
      </c>
      <c r="T52" s="3">
        <v>1209931.07</v>
      </c>
      <c r="U52" s="3">
        <v>0</v>
      </c>
      <c r="V52" s="3">
        <v>-49684.65</v>
      </c>
      <c r="W52" s="3">
        <v>-1633275.87</v>
      </c>
      <c r="X52" s="3">
        <v>-464194.61</v>
      </c>
      <c r="Y52" s="3">
        <v>-10463.379999999999</v>
      </c>
    </row>
    <row r="53" spans="1:25" hidden="1" x14ac:dyDescent="0.35">
      <c r="A53" s="3" t="s">
        <v>178</v>
      </c>
      <c r="B53" s="3" t="s">
        <v>179</v>
      </c>
      <c r="C53" s="3" t="s">
        <v>180</v>
      </c>
      <c r="D53" s="3" t="s">
        <v>19</v>
      </c>
      <c r="E53" s="3" t="s">
        <v>19</v>
      </c>
      <c r="F53" s="3">
        <v>2100000</v>
      </c>
      <c r="G53" s="3">
        <v>0</v>
      </c>
      <c r="H53" s="3">
        <v>-531024.41</v>
      </c>
      <c r="I53" s="3">
        <v>8936072.8100000005</v>
      </c>
      <c r="J53" s="3">
        <v>0</v>
      </c>
      <c r="K53" s="3">
        <v>0</v>
      </c>
      <c r="L53" s="8">
        <v>318278.09999999998</v>
      </c>
      <c r="M53" s="3">
        <v>-8970.86</v>
      </c>
      <c r="N53" s="3">
        <v>-187079.22</v>
      </c>
      <c r="O53" s="3">
        <v>0</v>
      </c>
      <c r="P53" s="3">
        <v>666300</v>
      </c>
      <c r="Q53" s="3">
        <v>127316.38</v>
      </c>
      <c r="R53" s="3">
        <v>-59681.87</v>
      </c>
      <c r="S53" s="3">
        <v>296557.05</v>
      </c>
      <c r="T53" s="3">
        <v>-206792.6</v>
      </c>
      <c r="U53" s="3">
        <v>0</v>
      </c>
      <c r="V53" s="3">
        <v>0</v>
      </c>
      <c r="W53" s="3">
        <v>414902.57</v>
      </c>
      <c r="X53" s="3">
        <v>0</v>
      </c>
      <c r="Y53" s="3">
        <v>531024.41</v>
      </c>
    </row>
    <row r="54" spans="1:25" hidden="1" x14ac:dyDescent="0.35">
      <c r="A54" s="3" t="s">
        <v>181</v>
      </c>
      <c r="B54" s="3" t="s">
        <v>182</v>
      </c>
      <c r="C54" s="3" t="s">
        <v>183</v>
      </c>
      <c r="D54" s="3" t="s">
        <v>19</v>
      </c>
      <c r="E54" s="3" t="s">
        <v>19</v>
      </c>
      <c r="F54" s="3">
        <v>0</v>
      </c>
      <c r="G54" s="3">
        <v>1000000</v>
      </c>
      <c r="H54" s="3">
        <v>0</v>
      </c>
      <c r="I54" s="3">
        <v>0</v>
      </c>
      <c r="J54" s="3">
        <v>3619644.74</v>
      </c>
      <c r="K54" s="3">
        <v>0</v>
      </c>
      <c r="L54" s="8">
        <v>0</v>
      </c>
      <c r="M54" s="3">
        <v>0</v>
      </c>
      <c r="N54" s="3">
        <v>0</v>
      </c>
      <c r="O54" s="3">
        <v>0</v>
      </c>
      <c r="P54" s="3">
        <v>-41857.4</v>
      </c>
      <c r="Q54" s="3">
        <v>0</v>
      </c>
      <c r="R54" s="3">
        <v>138636.66</v>
      </c>
      <c r="S54" s="3">
        <v>0</v>
      </c>
      <c r="T54" s="3">
        <v>-37624</v>
      </c>
      <c r="U54" s="3">
        <v>0</v>
      </c>
      <c r="V54" s="3">
        <v>-57383</v>
      </c>
      <c r="W54" s="3">
        <v>0</v>
      </c>
      <c r="X54" s="3">
        <v>1772.26</v>
      </c>
      <c r="Y54" s="3">
        <v>1772.26</v>
      </c>
    </row>
    <row r="55" spans="1:25" x14ac:dyDescent="0.35">
      <c r="A55" s="3" t="s">
        <v>56</v>
      </c>
      <c r="B55" s="3" t="s">
        <v>184</v>
      </c>
      <c r="C55" s="3" t="s">
        <v>185</v>
      </c>
      <c r="D55" s="3" t="s">
        <v>19</v>
      </c>
      <c r="E55" s="3" t="s">
        <v>19</v>
      </c>
      <c r="F55" s="3">
        <v>200000</v>
      </c>
      <c r="G55" s="3">
        <v>230000</v>
      </c>
      <c r="H55" s="3">
        <v>-176258.88</v>
      </c>
      <c r="I55" s="3">
        <v>4534033.28</v>
      </c>
      <c r="J55" s="3">
        <v>5083660.01</v>
      </c>
      <c r="K55" s="3">
        <v>0</v>
      </c>
      <c r="L55" s="8">
        <v>232045.6</v>
      </c>
      <c r="M55" s="3">
        <v>0</v>
      </c>
      <c r="N55" s="3">
        <v>73844</v>
      </c>
      <c r="O55" s="3">
        <v>0</v>
      </c>
      <c r="P55" s="3">
        <v>-1004512</v>
      </c>
      <c r="Q55" s="3">
        <v>0</v>
      </c>
      <c r="R55" s="3">
        <v>189513.11</v>
      </c>
      <c r="S55" s="3">
        <v>0</v>
      </c>
      <c r="T55" s="3">
        <v>-476258.24</v>
      </c>
      <c r="U55" s="3">
        <v>0</v>
      </c>
      <c r="V55" s="3">
        <v>173019.8</v>
      </c>
      <c r="W55" s="3">
        <v>0</v>
      </c>
      <c r="X55" s="3">
        <v>-988606.61</v>
      </c>
      <c r="Y55" s="3">
        <v>-812347.73</v>
      </c>
    </row>
    <row r="56" spans="1:25" hidden="1" x14ac:dyDescent="0.35">
      <c r="A56" s="3" t="s">
        <v>186</v>
      </c>
      <c r="B56" s="3" t="s">
        <v>187</v>
      </c>
      <c r="C56" s="3" t="s">
        <v>188</v>
      </c>
      <c r="D56" s="3" t="s">
        <v>19</v>
      </c>
      <c r="E56" s="3" t="s">
        <v>19</v>
      </c>
      <c r="F56" s="3">
        <v>0</v>
      </c>
      <c r="G56" s="3">
        <v>1800000</v>
      </c>
      <c r="H56" s="3">
        <v>0</v>
      </c>
      <c r="I56" s="3">
        <v>0</v>
      </c>
      <c r="J56" s="3">
        <v>4889188.54</v>
      </c>
      <c r="K56" s="3">
        <v>0</v>
      </c>
      <c r="L56" s="8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-36899.74</v>
      </c>
      <c r="S56" s="3">
        <v>0</v>
      </c>
      <c r="T56" s="3">
        <v>-100144.8</v>
      </c>
      <c r="U56" s="3">
        <v>0</v>
      </c>
      <c r="V56" s="3">
        <v>241781.4</v>
      </c>
      <c r="W56" s="3">
        <v>0</v>
      </c>
      <c r="X56" s="3">
        <v>104736.86</v>
      </c>
      <c r="Y56" s="3">
        <v>104736.86</v>
      </c>
    </row>
    <row r="57" spans="1:25" hidden="1" x14ac:dyDescent="0.35">
      <c r="A57" s="3" t="s">
        <v>189</v>
      </c>
      <c r="B57" s="3" t="s">
        <v>190</v>
      </c>
      <c r="C57" s="3" t="s">
        <v>191</v>
      </c>
      <c r="D57" s="3" t="s">
        <v>19</v>
      </c>
      <c r="E57" s="3" t="s">
        <v>19</v>
      </c>
      <c r="F57" s="3">
        <v>400000</v>
      </c>
      <c r="G57" s="3">
        <v>550000</v>
      </c>
      <c r="H57" s="3">
        <v>-250588.79999999999</v>
      </c>
      <c r="I57" s="3">
        <v>5365768.8</v>
      </c>
      <c r="J57" s="3">
        <v>7251730.9900000002</v>
      </c>
      <c r="K57" s="3">
        <v>0</v>
      </c>
      <c r="L57" s="8">
        <v>570504</v>
      </c>
      <c r="M57" s="3">
        <v>0</v>
      </c>
      <c r="N57" s="3">
        <v>474268</v>
      </c>
      <c r="O57" s="3">
        <v>0</v>
      </c>
      <c r="P57" s="3">
        <v>-1120214.79</v>
      </c>
      <c r="Q57" s="3">
        <v>0</v>
      </c>
      <c r="R57" s="3">
        <v>-32558.76</v>
      </c>
      <c r="S57" s="3">
        <v>0</v>
      </c>
      <c r="T57" s="3">
        <v>-818359.84</v>
      </c>
      <c r="U57" s="3">
        <v>0</v>
      </c>
      <c r="V57" s="3">
        <v>-170747.5</v>
      </c>
      <c r="W57" s="3">
        <v>0</v>
      </c>
      <c r="X57" s="3">
        <v>-1347697.69</v>
      </c>
      <c r="Y57" s="3">
        <v>-1097108.8899999999</v>
      </c>
    </row>
    <row r="58" spans="1:25" hidden="1" x14ac:dyDescent="0.35">
      <c r="A58" s="3" t="s">
        <v>192</v>
      </c>
      <c r="B58" s="3" t="s">
        <v>193</v>
      </c>
      <c r="C58" s="3" t="s">
        <v>194</v>
      </c>
      <c r="D58" s="3" t="s">
        <v>19</v>
      </c>
      <c r="E58" s="3" t="s">
        <v>19</v>
      </c>
      <c r="F58" s="3">
        <v>0</v>
      </c>
      <c r="G58" s="3">
        <v>200000</v>
      </c>
      <c r="H58" s="3">
        <v>0</v>
      </c>
      <c r="I58" s="3">
        <v>0</v>
      </c>
      <c r="J58" s="3">
        <v>1917430.3</v>
      </c>
      <c r="K58" s="3">
        <v>0</v>
      </c>
      <c r="L58" s="8">
        <v>0</v>
      </c>
      <c r="M58" s="3">
        <v>0</v>
      </c>
      <c r="N58" s="3">
        <v>-79610.429999999993</v>
      </c>
      <c r="O58" s="3">
        <v>0</v>
      </c>
      <c r="P58" s="3">
        <v>-839040.16</v>
      </c>
      <c r="Q58" s="3">
        <v>0</v>
      </c>
      <c r="R58" s="3">
        <v>15211.35</v>
      </c>
      <c r="S58" s="3">
        <v>-1332578.21</v>
      </c>
      <c r="T58" s="3">
        <v>398668.14</v>
      </c>
      <c r="U58" s="3">
        <v>0</v>
      </c>
      <c r="V58" s="3">
        <v>-43608</v>
      </c>
      <c r="W58" s="3">
        <v>-1332578.21</v>
      </c>
      <c r="X58" s="3">
        <v>-548379.1</v>
      </c>
      <c r="Y58" s="3">
        <v>-548379.1</v>
      </c>
    </row>
    <row r="59" spans="1:25" hidden="1" x14ac:dyDescent="0.35">
      <c r="A59" s="4" t="s">
        <v>195</v>
      </c>
      <c r="H59" s="4">
        <f t="shared" ref="H59:Y59" si="0">SUBTOTAL(9,H4:H58)</f>
        <v>-176258.88</v>
      </c>
      <c r="I59" s="4">
        <f t="shared" si="0"/>
        <v>4534033.28</v>
      </c>
      <c r="J59" s="4">
        <f t="shared" si="0"/>
        <v>7200070.0099999998</v>
      </c>
      <c r="K59" s="4">
        <f t="shared" si="0"/>
        <v>0</v>
      </c>
      <c r="L59" s="9">
        <f t="shared" si="0"/>
        <v>232045.6</v>
      </c>
      <c r="M59" s="4">
        <f t="shared" si="0"/>
        <v>0</v>
      </c>
      <c r="N59" s="4">
        <f t="shared" si="0"/>
        <v>73844</v>
      </c>
      <c r="O59" s="4">
        <f t="shared" si="0"/>
        <v>0</v>
      </c>
      <c r="P59" s="4">
        <f t="shared" si="0"/>
        <v>-1004512</v>
      </c>
      <c r="Q59" s="4">
        <f t="shared" si="0"/>
        <v>0</v>
      </c>
      <c r="R59" s="4">
        <f t="shared" si="0"/>
        <v>226103.11</v>
      </c>
      <c r="S59" s="4">
        <f t="shared" si="0"/>
        <v>0</v>
      </c>
      <c r="T59" s="4">
        <f t="shared" si="0"/>
        <v>-541258.23999999999</v>
      </c>
      <c r="U59" s="4">
        <f t="shared" si="0"/>
        <v>0</v>
      </c>
      <c r="V59" s="4">
        <f t="shared" si="0"/>
        <v>102019.79999999999</v>
      </c>
      <c r="W59" s="4">
        <f t="shared" si="0"/>
        <v>0</v>
      </c>
      <c r="X59" s="4">
        <f t="shared" si="0"/>
        <v>-1088016.6099999999</v>
      </c>
      <c r="Y59" s="4">
        <f t="shared" si="0"/>
        <v>-911757.73</v>
      </c>
    </row>
    <row r="60" spans="1:25" hidden="1" x14ac:dyDescent="0.35">
      <c r="A60" s="4" t="s">
        <v>21</v>
      </c>
      <c r="H60" s="2">
        <v>-6748100.6900000004</v>
      </c>
      <c r="I60" s="2">
        <v>208317547.72999999</v>
      </c>
      <c r="K60" s="2">
        <v>-796677.84</v>
      </c>
      <c r="L60" s="7">
        <v>-5286477.13</v>
      </c>
      <c r="M60" s="2">
        <v>-491711.64</v>
      </c>
      <c r="N60" s="2">
        <v>-6697679.5899999999</v>
      </c>
      <c r="O60" s="2">
        <v>-1239279.94</v>
      </c>
      <c r="P60" s="2">
        <v>-8925499.3900000006</v>
      </c>
      <c r="Q60" s="2">
        <v>-1633918.11</v>
      </c>
      <c r="R60" s="2">
        <v>-5988738.6500000004</v>
      </c>
      <c r="S60" s="2">
        <v>-2295758.42</v>
      </c>
      <c r="T60" s="2">
        <v>-13175344.109999999</v>
      </c>
      <c r="U60" s="2">
        <v>-2295758.42</v>
      </c>
      <c r="V60" s="2">
        <v>-13233303.66</v>
      </c>
      <c r="W60" s="2">
        <v>-2295758.42</v>
      </c>
      <c r="X60" s="2">
        <v>-13233303.66</v>
      </c>
      <c r="Y60" s="2">
        <v>-6485202.9699999997</v>
      </c>
    </row>
    <row r="61" spans="1:25" x14ac:dyDescent="0.35">
      <c r="L61" s="8"/>
    </row>
    <row r="63" spans="1:25" x14ac:dyDescent="0.35">
      <c r="K63" s="5" t="s">
        <v>223</v>
      </c>
      <c r="L63" s="6">
        <v>-5291979.13</v>
      </c>
      <c r="M63" s="3" t="s">
        <v>224</v>
      </c>
    </row>
  </sheetData>
  <autoFilter ref="A3:Y60" xr:uid="{00000000-0001-0000-0100-000000000000}">
    <filterColumn colId="0">
      <filters>
        <filter val="海尔智家"/>
      </filters>
    </filterColumn>
  </autoFilter>
  <mergeCells count="1">
    <mergeCell ref="A1:L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0CB8-CAEA-4632-AFB8-1393EEACB3AD}">
  <sheetPr>
    <tabColor rgb="FFFFFF00"/>
  </sheetPr>
  <dimension ref="A1:AN60"/>
  <sheetViews>
    <sheetView zoomScale="70" zoomScaleNormal="70" workbookViewId="0">
      <pane xSplit="4" ySplit="3" topLeftCell="E52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RowHeight="14.5" x14ac:dyDescent="0.35"/>
  <cols>
    <col min="3" max="3" width="8.7265625" customWidth="1"/>
    <col min="5" max="6" width="13.36328125" style="3" bestFit="1" customWidth="1"/>
    <col min="7" max="7" width="14.36328125" bestFit="1" customWidth="1"/>
    <col min="8" max="9" width="13.36328125" bestFit="1" customWidth="1"/>
    <col min="10" max="10" width="15" bestFit="1" customWidth="1"/>
    <col min="11" max="12" width="13.36328125" bestFit="1" customWidth="1"/>
    <col min="13" max="14" width="15" bestFit="1" customWidth="1"/>
    <col min="15" max="15" width="12.54296875" customWidth="1"/>
    <col min="16" max="16" width="13.36328125" bestFit="1" customWidth="1"/>
    <col min="17" max="28" width="8.81640625" bestFit="1" customWidth="1"/>
    <col min="29" max="30" width="13.36328125" style="3" bestFit="1" customWidth="1"/>
    <col min="31" max="31" width="14.36328125" bestFit="1" customWidth="1"/>
    <col min="32" max="33" width="13.36328125" bestFit="1" customWidth="1"/>
    <col min="34" max="34" width="15" bestFit="1" customWidth="1"/>
    <col min="35" max="36" width="13.36328125" bestFit="1" customWidth="1"/>
    <col min="37" max="38" width="15" bestFit="1" customWidth="1"/>
    <col min="39" max="39" width="8.81640625" bestFit="1" customWidth="1"/>
    <col min="40" max="40" width="13.36328125" bestFit="1" customWidth="1"/>
  </cols>
  <sheetData>
    <row r="1" spans="1:40" x14ac:dyDescent="0.35">
      <c r="A1" s="29"/>
      <c r="B1" s="29"/>
      <c r="C1" s="29"/>
      <c r="D1" s="29"/>
      <c r="E1" s="25" t="s">
        <v>251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30" t="s">
        <v>249</v>
      </c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25" t="s">
        <v>288</v>
      </c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</row>
    <row r="2" spans="1:40" x14ac:dyDescent="0.35">
      <c r="A2" s="31" t="s">
        <v>227</v>
      </c>
      <c r="B2" s="31" t="s">
        <v>228</v>
      </c>
      <c r="C2" s="31" t="s">
        <v>24</v>
      </c>
      <c r="D2" s="31" t="s">
        <v>252</v>
      </c>
      <c r="E2" s="32">
        <v>46023</v>
      </c>
      <c r="F2" s="32"/>
      <c r="G2" s="32">
        <v>46054</v>
      </c>
      <c r="H2" s="32"/>
      <c r="I2" s="32">
        <v>46082</v>
      </c>
      <c r="J2" s="32"/>
      <c r="K2" s="32">
        <v>46113</v>
      </c>
      <c r="L2" s="32"/>
      <c r="M2" s="32">
        <v>46143</v>
      </c>
      <c r="N2" s="32"/>
      <c r="O2" s="32">
        <v>46174</v>
      </c>
      <c r="P2" s="32"/>
      <c r="Q2" s="33">
        <v>46023</v>
      </c>
      <c r="R2" s="33"/>
      <c r="S2" s="33">
        <v>46054</v>
      </c>
      <c r="T2" s="33"/>
      <c r="U2" s="33">
        <v>46082</v>
      </c>
      <c r="V2" s="33"/>
      <c r="W2" s="33">
        <v>46113</v>
      </c>
      <c r="X2" s="33"/>
      <c r="Y2" s="33">
        <v>46143</v>
      </c>
      <c r="Z2" s="33"/>
      <c r="AA2" s="33">
        <v>46174</v>
      </c>
      <c r="AB2" s="33"/>
      <c r="AC2" s="32">
        <v>46023</v>
      </c>
      <c r="AD2" s="32"/>
      <c r="AE2" s="32">
        <v>46054</v>
      </c>
      <c r="AF2" s="32"/>
      <c r="AG2" s="32">
        <v>46082</v>
      </c>
      <c r="AH2" s="32"/>
      <c r="AI2" s="32">
        <v>46113</v>
      </c>
      <c r="AJ2" s="32"/>
      <c r="AK2" s="32">
        <v>46143</v>
      </c>
      <c r="AL2" s="32"/>
      <c r="AM2" s="32">
        <v>46174</v>
      </c>
      <c r="AN2" s="32"/>
    </row>
    <row r="3" spans="1:40" x14ac:dyDescent="0.35">
      <c r="A3" s="31"/>
      <c r="B3" s="31"/>
      <c r="C3" s="31"/>
      <c r="D3" s="31"/>
      <c r="E3" s="34" t="s">
        <v>286</v>
      </c>
      <c r="F3" s="34" t="s">
        <v>287</v>
      </c>
      <c r="G3" s="34" t="s">
        <v>248</v>
      </c>
      <c r="H3" s="34" t="s">
        <v>247</v>
      </c>
      <c r="I3" s="34" t="s">
        <v>248</v>
      </c>
      <c r="J3" s="34" t="s">
        <v>247</v>
      </c>
      <c r="K3" s="34" t="s">
        <v>248</v>
      </c>
      <c r="L3" s="34" t="s">
        <v>247</v>
      </c>
      <c r="M3" s="34" t="s">
        <v>248</v>
      </c>
      <c r="N3" s="34" t="s">
        <v>247</v>
      </c>
      <c r="O3" s="34" t="s">
        <v>248</v>
      </c>
      <c r="P3" s="34" t="s">
        <v>247</v>
      </c>
      <c r="Q3" s="35" t="s">
        <v>248</v>
      </c>
      <c r="R3" s="35" t="s">
        <v>247</v>
      </c>
      <c r="S3" s="35" t="s">
        <v>248</v>
      </c>
      <c r="T3" s="35" t="s">
        <v>247</v>
      </c>
      <c r="U3" s="35" t="s">
        <v>248</v>
      </c>
      <c r="V3" s="35" t="s">
        <v>247</v>
      </c>
      <c r="W3" s="35" t="s">
        <v>248</v>
      </c>
      <c r="X3" s="35" t="s">
        <v>247</v>
      </c>
      <c r="Y3" s="35" t="s">
        <v>248</v>
      </c>
      <c r="Z3" s="35" t="s">
        <v>247</v>
      </c>
      <c r="AA3" s="35" t="s">
        <v>248</v>
      </c>
      <c r="AB3" s="35" t="s">
        <v>247</v>
      </c>
      <c r="AC3" s="34" t="s">
        <v>286</v>
      </c>
      <c r="AD3" s="34" t="s">
        <v>287</v>
      </c>
      <c r="AE3" s="34" t="s">
        <v>248</v>
      </c>
      <c r="AF3" s="34" t="s">
        <v>247</v>
      </c>
      <c r="AG3" s="34" t="s">
        <v>248</v>
      </c>
      <c r="AH3" s="34" t="s">
        <v>247</v>
      </c>
      <c r="AI3" s="34" t="s">
        <v>248</v>
      </c>
      <c r="AJ3" s="34" t="s">
        <v>247</v>
      </c>
      <c r="AK3" s="34" t="s">
        <v>248</v>
      </c>
      <c r="AL3" s="34" t="s">
        <v>247</v>
      </c>
      <c r="AM3" s="34" t="s">
        <v>248</v>
      </c>
      <c r="AN3" s="34" t="s">
        <v>247</v>
      </c>
    </row>
    <row r="4" spans="1:40" x14ac:dyDescent="0.35">
      <c r="A4" s="36" t="s">
        <v>241</v>
      </c>
      <c r="B4" s="36" t="s">
        <v>242</v>
      </c>
      <c r="C4" s="37">
        <v>1</v>
      </c>
      <c r="D4" s="37" t="s">
        <v>32</v>
      </c>
      <c r="E4" s="24">
        <f>AC4-Q4</f>
        <v>0</v>
      </c>
      <c r="F4" s="24">
        <f t="shared" ref="F4:F59" si="0">AD4-R4</f>
        <v>0</v>
      </c>
      <c r="G4" s="24">
        <f t="shared" ref="G4:G59" si="1">AE4-S4</f>
        <v>0</v>
      </c>
      <c r="H4" s="24">
        <f t="shared" ref="H4:H59" si="2">AF4-T4</f>
        <v>0</v>
      </c>
      <c r="I4" s="24">
        <f t="shared" ref="I4:I59" si="3">AG4-U4</f>
        <v>0</v>
      </c>
      <c r="J4" s="24">
        <f t="shared" ref="J4:J59" si="4">AH4-V4</f>
        <v>0</v>
      </c>
      <c r="K4" s="24">
        <f t="shared" ref="K4:K59" si="5">AI4-W4</f>
        <v>0</v>
      </c>
      <c r="L4" s="24">
        <f t="shared" ref="L4:L59" si="6">AJ4-X4</f>
        <v>0</v>
      </c>
      <c r="M4" s="24">
        <f t="shared" ref="M4:M59" si="7">AK4-Y4</f>
        <v>0</v>
      </c>
      <c r="N4" s="24">
        <f t="shared" ref="N4:N59" si="8">AL4-Z4</f>
        <v>0</v>
      </c>
      <c r="O4" s="24">
        <f t="shared" ref="O4:O59" si="9">AM4-AA4</f>
        <v>0</v>
      </c>
      <c r="P4" s="24">
        <f t="shared" ref="P4:P59" si="10">AN4-AB4</f>
        <v>6606.4800000000032</v>
      </c>
      <c r="Q4" s="38"/>
      <c r="R4" s="39">
        <v>-406000</v>
      </c>
      <c r="S4" s="38"/>
      <c r="T4" s="39">
        <v>49000</v>
      </c>
      <c r="U4" s="38"/>
      <c r="V4" s="39">
        <v>126000</v>
      </c>
      <c r="W4" s="38"/>
      <c r="X4" s="39">
        <v>287000</v>
      </c>
      <c r="Y4" s="38"/>
      <c r="Z4" s="39">
        <v>-392000</v>
      </c>
      <c r="AA4" s="38"/>
      <c r="AB4" s="39">
        <v>63393.52</v>
      </c>
      <c r="AC4" s="24">
        <f>SUMIFS('逐券逐月(WAVG)'!K:K,'逐券逐月(WAVG)'!$A:$A,逐券汇总!$D4)</f>
        <v>0</v>
      </c>
      <c r="AD4" s="24">
        <f>SUMIFS('逐券逐月(WAVG)'!L:L,'逐券逐月(WAVG)'!$A:$A,逐券汇总!$D4)</f>
        <v>-406000</v>
      </c>
      <c r="AE4" s="24">
        <f>SUMIFS('逐券逐月(WAVG)'!M:M,'逐券逐月(WAVG)'!$A:$A,逐券汇总!$D4)</f>
        <v>0</v>
      </c>
      <c r="AF4" s="24">
        <f>SUMIFS('逐券逐月(WAVG)'!N:N,'逐券逐月(WAVG)'!$A:$A,逐券汇总!$D4)</f>
        <v>49000</v>
      </c>
      <c r="AG4" s="24">
        <f>SUMIFS('逐券逐月(WAVG)'!O:O,'逐券逐月(WAVG)'!$A:$A,逐券汇总!$D4)</f>
        <v>0</v>
      </c>
      <c r="AH4" s="24">
        <f>SUMIFS('逐券逐月(WAVG)'!P:P,'逐券逐月(WAVG)'!$A:$A,逐券汇总!$D4)</f>
        <v>126000</v>
      </c>
      <c r="AI4" s="24">
        <f>SUMIFS('逐券逐月(WAVG)'!Q:Q,'逐券逐月(WAVG)'!$A:$A,逐券汇总!$D4)</f>
        <v>0</v>
      </c>
      <c r="AJ4" s="24">
        <f>SUMIFS('逐券逐月(WAVG)'!R:R,'逐券逐月(WAVG)'!$A:$A,逐券汇总!$D4)</f>
        <v>287000</v>
      </c>
      <c r="AK4" s="24">
        <f>SUMIFS('逐券逐月(WAVG)'!S:S,'逐券逐月(WAVG)'!$A:$A,逐券汇总!$D4)</f>
        <v>0</v>
      </c>
      <c r="AL4" s="24">
        <f>SUMIFS('逐券逐月(WAVG)'!T:T,'逐券逐月(WAVG)'!$A:$A,逐券汇总!$D4)</f>
        <v>-392000</v>
      </c>
      <c r="AM4" s="24">
        <f>SUMIFS('逐券逐月(WAVG)'!U:U,'逐券逐月(WAVG)'!$A:$A,逐券汇总!$D4)</f>
        <v>0</v>
      </c>
      <c r="AN4" s="24">
        <f>SUMIFS('逐券逐月(WAVG)'!V:V,'逐券逐月(WAVG)'!$A:$A,逐券汇总!$D4)</f>
        <v>70000</v>
      </c>
    </row>
    <row r="5" spans="1:40" x14ac:dyDescent="0.35">
      <c r="A5" s="36"/>
      <c r="B5" s="36"/>
      <c r="C5" s="37">
        <v>333</v>
      </c>
      <c r="D5" s="37" t="s">
        <v>35</v>
      </c>
      <c r="E5" s="24">
        <f t="shared" ref="E5:E59" si="11">AC5-Q5</f>
        <v>0</v>
      </c>
      <c r="F5" s="24">
        <f t="shared" si="0"/>
        <v>0</v>
      </c>
      <c r="G5" s="24">
        <f t="shared" si="1"/>
        <v>0</v>
      </c>
      <c r="H5" s="24">
        <f t="shared" si="2"/>
        <v>204.94999999999709</v>
      </c>
      <c r="I5" s="24">
        <f t="shared" si="3"/>
        <v>0</v>
      </c>
      <c r="J5" s="24">
        <f t="shared" si="4"/>
        <v>49.470000000001164</v>
      </c>
      <c r="K5" s="24">
        <f t="shared" si="5"/>
        <v>0</v>
      </c>
      <c r="L5" s="24">
        <f t="shared" si="6"/>
        <v>247.9199999999837</v>
      </c>
      <c r="M5" s="24">
        <f t="shared" si="7"/>
        <v>4961.8700000000026</v>
      </c>
      <c r="N5" s="24">
        <f t="shared" si="8"/>
        <v>-502.34000000002561</v>
      </c>
      <c r="O5" s="24">
        <f t="shared" si="9"/>
        <v>0</v>
      </c>
      <c r="P5" s="24">
        <f t="shared" si="10"/>
        <v>0</v>
      </c>
      <c r="Q5" s="38"/>
      <c r="R5" s="38"/>
      <c r="S5" s="38"/>
      <c r="T5" s="39">
        <v>-53604.95</v>
      </c>
      <c r="U5" s="38"/>
      <c r="V5" s="39">
        <v>-100610.47</v>
      </c>
      <c r="W5" s="38"/>
      <c r="X5" s="39">
        <v>420652.08</v>
      </c>
      <c r="Y5" s="39">
        <v>56977.13</v>
      </c>
      <c r="Z5" s="39">
        <v>-266436.65999999997</v>
      </c>
      <c r="AA5" s="38"/>
      <c r="AB5" s="38"/>
      <c r="AC5" s="24">
        <f>SUMIFS('逐券逐月(WAVG)'!K:K,'逐券逐月(WAVG)'!$A:$A,逐券汇总!$D5,'逐券逐月(WAVG)'!$B:$B,逐券汇总!$C5)</f>
        <v>0</v>
      </c>
      <c r="AD5" s="24">
        <f>SUMIFS('逐券逐月(WAVG)'!L:L,'逐券逐月(WAVG)'!$A:$A,逐券汇总!$D5,'逐券逐月(WAVG)'!$B:$B,逐券汇总!$C5)</f>
        <v>0</v>
      </c>
      <c r="AE5" s="24">
        <f>SUMIFS('逐券逐月(WAVG)'!M:M,'逐券逐月(WAVG)'!$A:$A,逐券汇总!$D5,'逐券逐月(WAVG)'!$B:$B,逐券汇总!$C5)</f>
        <v>0</v>
      </c>
      <c r="AF5" s="24">
        <f>SUMIFS('逐券逐月(WAVG)'!N:N,'逐券逐月(WAVG)'!$A:$A,逐券汇总!$D5,'逐券逐月(WAVG)'!$B:$B,逐券汇总!$C5)</f>
        <v>-53400</v>
      </c>
      <c r="AG5" s="24">
        <f>SUMIFS('逐券逐月(WAVG)'!O:O,'逐券逐月(WAVG)'!$A:$A,逐券汇总!$D5,'逐券逐月(WAVG)'!$B:$B,逐券汇总!$C5)</f>
        <v>0</v>
      </c>
      <c r="AH5" s="24">
        <f>SUMIFS('逐券逐月(WAVG)'!P:P,'逐券逐月(WAVG)'!$A:$A,逐券汇总!$D5,'逐券逐月(WAVG)'!$B:$B,逐券汇总!$C5)</f>
        <v>-100561</v>
      </c>
      <c r="AI5" s="24">
        <f>SUMIFS('逐券逐月(WAVG)'!Q:Q,'逐券逐月(WAVG)'!$A:$A,逐券汇总!$D5,'逐券逐月(WAVG)'!$B:$B,逐券汇总!$C5)</f>
        <v>0</v>
      </c>
      <c r="AJ5" s="24">
        <f>SUMIFS('逐券逐月(WAVG)'!R:R,'逐券逐月(WAVG)'!$A:$A,逐券汇总!$D5,'逐券逐月(WAVG)'!$B:$B,逐券汇总!$C5)</f>
        <v>420900</v>
      </c>
      <c r="AK5" s="24">
        <f>SUMIFS('逐券逐月(WAVG)'!S:S,'逐券逐月(WAVG)'!$A:$A,逐券汇总!$D5,'逐券逐月(WAVG)'!$B:$B,逐券汇总!$C5)</f>
        <v>61939</v>
      </c>
      <c r="AL5" s="24">
        <f>SUMIFS('逐券逐月(WAVG)'!T:T,'逐券逐月(WAVG)'!$A:$A,逐券汇总!$D5,'逐券逐月(WAVG)'!$B:$B,逐券汇总!$C5)</f>
        <v>-266939</v>
      </c>
      <c r="AM5" s="24">
        <f>SUMIFS('逐券逐月(WAVG)'!U:U,'逐券逐月(WAVG)'!$A:$A,逐券汇总!$D5,'逐券逐月(WAVG)'!$B:$B,逐券汇总!$C5)</f>
        <v>0</v>
      </c>
      <c r="AN5" s="24">
        <f>SUMIFS('逐券逐月(WAVG)'!V:V,'逐券逐月(WAVG)'!$A:$A,逐券汇总!$D5,'逐券逐月(WAVG)'!$B:$B,逐券汇总!$C5)</f>
        <v>0</v>
      </c>
    </row>
    <row r="6" spans="1:40" x14ac:dyDescent="0.35">
      <c r="A6" s="36"/>
      <c r="B6" s="36"/>
      <c r="C6" s="37">
        <v>568</v>
      </c>
      <c r="D6" s="37" t="s">
        <v>38</v>
      </c>
      <c r="E6" s="24">
        <f t="shared" si="11"/>
        <v>0</v>
      </c>
      <c r="F6" s="24">
        <f t="shared" si="0"/>
        <v>0</v>
      </c>
      <c r="G6" s="24">
        <f t="shared" si="1"/>
        <v>1658.9200000000128</v>
      </c>
      <c r="H6" s="24">
        <f t="shared" si="2"/>
        <v>0</v>
      </c>
      <c r="I6" s="24">
        <f t="shared" si="3"/>
        <v>0</v>
      </c>
      <c r="J6" s="24">
        <f t="shared" si="4"/>
        <v>0</v>
      </c>
      <c r="K6" s="24">
        <f t="shared" si="5"/>
        <v>0</v>
      </c>
      <c r="L6" s="24">
        <f t="shared" si="6"/>
        <v>0</v>
      </c>
      <c r="M6" s="24">
        <f t="shared" si="7"/>
        <v>0</v>
      </c>
      <c r="N6" s="24">
        <f t="shared" si="8"/>
        <v>0</v>
      </c>
      <c r="O6" s="24">
        <f t="shared" si="9"/>
        <v>0</v>
      </c>
      <c r="P6" s="24">
        <f t="shared" si="10"/>
        <v>0</v>
      </c>
      <c r="Q6" s="38"/>
      <c r="R6" s="39">
        <v>117000</v>
      </c>
      <c r="S6" s="39">
        <v>-104139.85</v>
      </c>
      <c r="T6" s="39">
        <v>20594.93</v>
      </c>
      <c r="U6" s="38"/>
      <c r="V6" s="38"/>
      <c r="W6" s="38"/>
      <c r="X6" s="38"/>
      <c r="Y6" s="38"/>
      <c r="Z6" s="38"/>
      <c r="AA6" s="38"/>
      <c r="AB6" s="38"/>
      <c r="AC6" s="24">
        <f>SUMIFS('逐券逐月(WAVG)'!K:K,'逐券逐月(WAVG)'!$A:$A,逐券汇总!$D6)</f>
        <v>0</v>
      </c>
      <c r="AD6" s="24">
        <f>SUMIFS('逐券逐月(WAVG)'!L:L,'逐券逐月(WAVG)'!$A:$A,逐券汇总!$D6)</f>
        <v>117000</v>
      </c>
      <c r="AE6" s="24">
        <f>SUMIFS('逐券逐月(WAVG)'!M:M,'逐券逐月(WAVG)'!$A:$A,逐券汇总!$D6)</f>
        <v>-102480.93</v>
      </c>
      <c r="AF6" s="24">
        <f>SUMIFS('逐券逐月(WAVG)'!N:N,'逐券逐月(WAVG)'!$A:$A,逐券汇总!$D6)</f>
        <v>20594.93</v>
      </c>
      <c r="AG6" s="24">
        <f>SUMIFS('逐券逐月(WAVG)'!O:O,'逐券逐月(WAVG)'!$A:$A,逐券汇总!$D6)</f>
        <v>0</v>
      </c>
      <c r="AH6" s="24">
        <f>SUMIFS('逐券逐月(WAVG)'!P:P,'逐券逐月(WAVG)'!$A:$A,逐券汇总!$D6)</f>
        <v>0</v>
      </c>
      <c r="AI6" s="24">
        <f>SUMIFS('逐券逐月(WAVG)'!Q:Q,'逐券逐月(WAVG)'!$A:$A,逐券汇总!$D6)</f>
        <v>0</v>
      </c>
      <c r="AJ6" s="24">
        <f>SUMIFS('逐券逐月(WAVG)'!R:R,'逐券逐月(WAVG)'!$A:$A,逐券汇总!$D6)</f>
        <v>0</v>
      </c>
      <c r="AK6" s="24">
        <f>SUMIFS('逐券逐月(WAVG)'!S:S,'逐券逐月(WAVG)'!$A:$A,逐券汇总!$D6)</f>
        <v>0</v>
      </c>
      <c r="AL6" s="24">
        <f>SUMIFS('逐券逐月(WAVG)'!T:T,'逐券逐月(WAVG)'!$A:$A,逐券汇总!$D6)</f>
        <v>0</v>
      </c>
      <c r="AM6" s="24">
        <f>SUMIFS('逐券逐月(WAVG)'!U:U,'逐券逐月(WAVG)'!$A:$A,逐券汇总!$D6)</f>
        <v>0</v>
      </c>
      <c r="AN6" s="24">
        <f>SUMIFS('逐券逐月(WAVG)'!V:V,'逐券逐月(WAVG)'!$A:$A,逐券汇总!$D6)</f>
        <v>0</v>
      </c>
    </row>
    <row r="7" spans="1:40" x14ac:dyDescent="0.35">
      <c r="A7" s="36"/>
      <c r="B7" s="36"/>
      <c r="C7" s="37">
        <v>858</v>
      </c>
      <c r="D7" s="37" t="s">
        <v>41</v>
      </c>
      <c r="E7" s="24">
        <f t="shared" si="11"/>
        <v>1162.2399999999907</v>
      </c>
      <c r="F7" s="24">
        <f t="shared" si="0"/>
        <v>0</v>
      </c>
      <c r="G7" s="24">
        <f t="shared" si="1"/>
        <v>0</v>
      </c>
      <c r="H7" s="24">
        <f t="shared" si="2"/>
        <v>0</v>
      </c>
      <c r="I7" s="24">
        <f t="shared" si="3"/>
        <v>0</v>
      </c>
      <c r="J7" s="24">
        <f t="shared" si="4"/>
        <v>0</v>
      </c>
      <c r="K7" s="24">
        <f t="shared" si="5"/>
        <v>0</v>
      </c>
      <c r="L7" s="24">
        <f t="shared" si="6"/>
        <v>0</v>
      </c>
      <c r="M7" s="24">
        <f t="shared" si="7"/>
        <v>0</v>
      </c>
      <c r="N7" s="24">
        <f t="shared" si="8"/>
        <v>0</v>
      </c>
      <c r="O7" s="24">
        <f t="shared" si="9"/>
        <v>0</v>
      </c>
      <c r="P7" s="24">
        <f t="shared" si="10"/>
        <v>0</v>
      </c>
      <c r="Q7" s="39">
        <v>-536812.14</v>
      </c>
      <c r="R7" s="39">
        <v>477168.9</v>
      </c>
      <c r="S7" s="38">
        <v>0</v>
      </c>
      <c r="T7" s="38"/>
      <c r="U7" s="38"/>
      <c r="V7" s="38"/>
      <c r="W7" s="38"/>
      <c r="X7" s="38"/>
      <c r="Y7" s="38"/>
      <c r="Z7" s="38"/>
      <c r="AA7" s="38"/>
      <c r="AB7" s="38"/>
      <c r="AC7" s="24">
        <f>SUMIFS('逐券逐月(WAVG)'!K:K,'逐券逐月(WAVG)'!$A:$A,逐券汇总!$D7)</f>
        <v>-535649.9</v>
      </c>
      <c r="AD7" s="24">
        <f>SUMIFS('逐券逐月(WAVG)'!L:L,'逐券逐月(WAVG)'!$A:$A,逐券汇总!$D7)</f>
        <v>477168.9</v>
      </c>
      <c r="AE7" s="24">
        <f>SUMIFS('逐券逐月(WAVG)'!M:M,'逐券逐月(WAVG)'!$A:$A,逐券汇总!$D7)</f>
        <v>0</v>
      </c>
      <c r="AF7" s="24">
        <f>SUMIFS('逐券逐月(WAVG)'!N:N,'逐券逐月(WAVG)'!$A:$A,逐券汇总!$D7)</f>
        <v>0</v>
      </c>
      <c r="AG7" s="24">
        <f>SUMIFS('逐券逐月(WAVG)'!O:O,'逐券逐月(WAVG)'!$A:$A,逐券汇总!$D7)</f>
        <v>0</v>
      </c>
      <c r="AH7" s="24">
        <f>SUMIFS('逐券逐月(WAVG)'!P:P,'逐券逐月(WAVG)'!$A:$A,逐券汇总!$D7)</f>
        <v>0</v>
      </c>
      <c r="AI7" s="24">
        <f>SUMIFS('逐券逐月(WAVG)'!Q:Q,'逐券逐月(WAVG)'!$A:$A,逐券汇总!$D7)</f>
        <v>0</v>
      </c>
      <c r="AJ7" s="24">
        <f>SUMIFS('逐券逐月(WAVG)'!R:R,'逐券逐月(WAVG)'!$A:$A,逐券汇总!$D7)</f>
        <v>0</v>
      </c>
      <c r="AK7" s="24">
        <f>SUMIFS('逐券逐月(WAVG)'!S:S,'逐券逐月(WAVG)'!$A:$A,逐券汇总!$D7)</f>
        <v>0</v>
      </c>
      <c r="AL7" s="24">
        <f>SUMIFS('逐券逐月(WAVG)'!T:T,'逐券逐月(WAVG)'!$A:$A,逐券汇总!$D7)</f>
        <v>0</v>
      </c>
      <c r="AM7" s="24">
        <f>SUMIFS('逐券逐月(WAVG)'!U:U,'逐券逐月(WAVG)'!$A:$A,逐券汇总!$D7)</f>
        <v>0</v>
      </c>
      <c r="AN7" s="24">
        <f>SUMIFS('逐券逐月(WAVG)'!V:V,'逐券逐月(WAVG)'!$A:$A,逐券汇总!$D7)</f>
        <v>0</v>
      </c>
    </row>
    <row r="8" spans="1:40" x14ac:dyDescent="0.35">
      <c r="A8" s="36"/>
      <c r="B8" s="36"/>
      <c r="C8" s="37">
        <v>2807</v>
      </c>
      <c r="D8" s="37" t="s">
        <v>44</v>
      </c>
      <c r="E8" s="24">
        <f t="shared" si="11"/>
        <v>0</v>
      </c>
      <c r="F8" s="24">
        <f t="shared" si="0"/>
        <v>0</v>
      </c>
      <c r="G8" s="24">
        <f t="shared" si="1"/>
        <v>0</v>
      </c>
      <c r="H8" s="24">
        <f t="shared" si="2"/>
        <v>0</v>
      </c>
      <c r="I8" s="24">
        <f t="shared" si="3"/>
        <v>0</v>
      </c>
      <c r="J8" s="24">
        <f t="shared" si="4"/>
        <v>59.290000000000873</v>
      </c>
      <c r="K8" s="24">
        <f t="shared" si="5"/>
        <v>575.95000000000073</v>
      </c>
      <c r="L8" s="24">
        <f t="shared" si="6"/>
        <v>-59.290000000000873</v>
      </c>
      <c r="M8" s="24">
        <f t="shared" si="7"/>
        <v>0</v>
      </c>
      <c r="N8" s="24">
        <f t="shared" si="8"/>
        <v>0</v>
      </c>
      <c r="O8" s="24">
        <f t="shared" si="9"/>
        <v>0</v>
      </c>
      <c r="P8" s="24">
        <f t="shared" si="10"/>
        <v>0</v>
      </c>
      <c r="Q8" s="38"/>
      <c r="R8" s="38"/>
      <c r="S8" s="38"/>
      <c r="T8" s="38"/>
      <c r="U8" s="38"/>
      <c r="V8" s="39">
        <v>-16859.29</v>
      </c>
      <c r="W8" s="39">
        <v>-9375.9500000000007</v>
      </c>
      <c r="X8" s="39">
        <v>16859.29</v>
      </c>
      <c r="Y8" s="38"/>
      <c r="Z8" s="38"/>
      <c r="AA8" s="38"/>
      <c r="AB8" s="38"/>
      <c r="AC8" s="24">
        <f>SUMIFS('逐券逐月(WAVG)'!K:K,'逐券逐月(WAVG)'!$A:$A,逐券汇总!$D8)</f>
        <v>0</v>
      </c>
      <c r="AD8" s="24">
        <f>SUMIFS('逐券逐月(WAVG)'!L:L,'逐券逐月(WAVG)'!$A:$A,逐券汇总!$D8)</f>
        <v>0</v>
      </c>
      <c r="AE8" s="24">
        <f>SUMIFS('逐券逐月(WAVG)'!M:M,'逐券逐月(WAVG)'!$A:$A,逐券汇总!$D8)</f>
        <v>0</v>
      </c>
      <c r="AF8" s="24">
        <f>SUMIFS('逐券逐月(WAVG)'!N:N,'逐券逐月(WAVG)'!$A:$A,逐券汇总!$D8)</f>
        <v>0</v>
      </c>
      <c r="AG8" s="24">
        <f>SUMIFS('逐券逐月(WAVG)'!O:O,'逐券逐月(WAVG)'!$A:$A,逐券汇总!$D8)</f>
        <v>0</v>
      </c>
      <c r="AH8" s="24">
        <f>SUMIFS('逐券逐月(WAVG)'!P:P,'逐券逐月(WAVG)'!$A:$A,逐券汇总!$D8)</f>
        <v>-16800</v>
      </c>
      <c r="AI8" s="24">
        <f>SUMIFS('逐券逐月(WAVG)'!Q:Q,'逐券逐月(WAVG)'!$A:$A,逐券汇总!$D8)</f>
        <v>-8800</v>
      </c>
      <c r="AJ8" s="24">
        <f>SUMIFS('逐券逐月(WAVG)'!R:R,'逐券逐月(WAVG)'!$A:$A,逐券汇总!$D8)</f>
        <v>16800</v>
      </c>
      <c r="AK8" s="24">
        <f>SUMIFS('逐券逐月(WAVG)'!S:S,'逐券逐月(WAVG)'!$A:$A,逐券汇总!$D8)</f>
        <v>0</v>
      </c>
      <c r="AL8" s="24">
        <f>SUMIFS('逐券逐月(WAVG)'!T:T,'逐券逐月(WAVG)'!$A:$A,逐券汇总!$D8)</f>
        <v>0</v>
      </c>
      <c r="AM8" s="24">
        <f>SUMIFS('逐券逐月(WAVG)'!U:U,'逐券逐月(WAVG)'!$A:$A,逐券汇总!$D8)</f>
        <v>0</v>
      </c>
      <c r="AN8" s="24">
        <f>SUMIFS('逐券逐月(WAVG)'!V:V,'逐券逐月(WAVG)'!$A:$A,逐券汇总!$D8)</f>
        <v>0</v>
      </c>
    </row>
    <row r="9" spans="1:40" x14ac:dyDescent="0.35">
      <c r="A9" s="36"/>
      <c r="B9" s="36"/>
      <c r="C9" s="37">
        <v>2839</v>
      </c>
      <c r="D9" s="37" t="s">
        <v>47</v>
      </c>
      <c r="E9" s="24">
        <f t="shared" si="11"/>
        <v>0</v>
      </c>
      <c r="F9" s="24">
        <f t="shared" si="0"/>
        <v>0</v>
      </c>
      <c r="G9" s="24">
        <f t="shared" si="1"/>
        <v>0</v>
      </c>
      <c r="H9" s="24">
        <f t="shared" si="2"/>
        <v>0</v>
      </c>
      <c r="I9" s="24">
        <f t="shared" si="3"/>
        <v>0</v>
      </c>
      <c r="J9" s="24">
        <f t="shared" si="4"/>
        <v>58.840000000000146</v>
      </c>
      <c r="K9" s="24">
        <f t="shared" si="5"/>
        <v>566.54999999999927</v>
      </c>
      <c r="L9" s="24">
        <f t="shared" si="6"/>
        <v>-58.840000000000146</v>
      </c>
      <c r="M9" s="24">
        <f t="shared" si="7"/>
        <v>0</v>
      </c>
      <c r="N9" s="24">
        <f t="shared" si="8"/>
        <v>0</v>
      </c>
      <c r="O9" s="24">
        <f t="shared" si="9"/>
        <v>0</v>
      </c>
      <c r="P9" s="24">
        <f t="shared" si="10"/>
        <v>0</v>
      </c>
      <c r="Q9" s="38"/>
      <c r="R9" s="38"/>
      <c r="S9" s="38"/>
      <c r="T9" s="38"/>
      <c r="U9" s="38"/>
      <c r="V9" s="39">
        <v>-20858.84</v>
      </c>
      <c r="W9" s="39">
        <v>-19366.55</v>
      </c>
      <c r="X9" s="39">
        <v>20858.84</v>
      </c>
      <c r="Y9" s="38"/>
      <c r="Z9" s="38"/>
      <c r="AA9" s="38"/>
      <c r="AB9" s="38"/>
      <c r="AC9" s="24">
        <f>SUMIFS('逐券逐月(WAVG)'!K:K,'逐券逐月(WAVG)'!$A:$A,逐券汇总!$D9)</f>
        <v>0</v>
      </c>
      <c r="AD9" s="24">
        <f>SUMIFS('逐券逐月(WAVG)'!L:L,'逐券逐月(WAVG)'!$A:$A,逐券汇总!$D9)</f>
        <v>0</v>
      </c>
      <c r="AE9" s="24">
        <f>SUMIFS('逐券逐月(WAVG)'!M:M,'逐券逐月(WAVG)'!$A:$A,逐券汇总!$D9)</f>
        <v>0</v>
      </c>
      <c r="AF9" s="24">
        <f>SUMIFS('逐券逐月(WAVG)'!N:N,'逐券逐月(WAVG)'!$A:$A,逐券汇总!$D9)</f>
        <v>0</v>
      </c>
      <c r="AG9" s="24">
        <f>SUMIFS('逐券逐月(WAVG)'!O:O,'逐券逐月(WAVG)'!$A:$A,逐券汇总!$D9)</f>
        <v>0</v>
      </c>
      <c r="AH9" s="24">
        <f>SUMIFS('逐券逐月(WAVG)'!P:P,'逐券逐月(WAVG)'!$A:$A,逐券汇总!$D9)</f>
        <v>-20800</v>
      </c>
      <c r="AI9" s="24">
        <f>SUMIFS('逐券逐月(WAVG)'!Q:Q,'逐券逐月(WAVG)'!$A:$A,逐券汇总!$D9)</f>
        <v>-18800</v>
      </c>
      <c r="AJ9" s="24">
        <f>SUMIFS('逐券逐月(WAVG)'!R:R,'逐券逐月(WAVG)'!$A:$A,逐券汇总!$D9)</f>
        <v>20800</v>
      </c>
      <c r="AK9" s="24">
        <f>SUMIFS('逐券逐月(WAVG)'!S:S,'逐券逐月(WAVG)'!$A:$A,逐券汇总!$D9)</f>
        <v>0</v>
      </c>
      <c r="AL9" s="24">
        <f>SUMIFS('逐券逐月(WAVG)'!T:T,'逐券逐月(WAVG)'!$A:$A,逐券汇总!$D9)</f>
        <v>0</v>
      </c>
      <c r="AM9" s="24">
        <f>SUMIFS('逐券逐月(WAVG)'!U:U,'逐券逐月(WAVG)'!$A:$A,逐券汇总!$D9)</f>
        <v>0</v>
      </c>
      <c r="AN9" s="24">
        <f>SUMIFS('逐券逐月(WAVG)'!V:V,'逐券逐月(WAVG)'!$A:$A,逐券汇总!$D9)</f>
        <v>0</v>
      </c>
    </row>
    <row r="10" spans="1:40" x14ac:dyDescent="0.35">
      <c r="A10" s="36"/>
      <c r="B10" s="36"/>
      <c r="C10" s="37">
        <v>600036</v>
      </c>
      <c r="D10" s="37" t="s">
        <v>50</v>
      </c>
      <c r="E10" s="24">
        <f t="shared" si="11"/>
        <v>0</v>
      </c>
      <c r="F10" s="24">
        <f t="shared" si="0"/>
        <v>68.599999999976717</v>
      </c>
      <c r="G10" s="24">
        <f t="shared" si="1"/>
        <v>0</v>
      </c>
      <c r="H10" s="24">
        <f t="shared" si="2"/>
        <v>181.59999999999854</v>
      </c>
      <c r="I10" s="24">
        <f t="shared" si="3"/>
        <v>0</v>
      </c>
      <c r="J10" s="24">
        <f t="shared" si="4"/>
        <v>0</v>
      </c>
      <c r="K10" s="24">
        <f t="shared" si="5"/>
        <v>0</v>
      </c>
      <c r="L10" s="24">
        <f t="shared" si="6"/>
        <v>0</v>
      </c>
      <c r="M10" s="24">
        <f t="shared" si="7"/>
        <v>0</v>
      </c>
      <c r="N10" s="24">
        <f t="shared" si="8"/>
        <v>0</v>
      </c>
      <c r="O10" s="24">
        <f t="shared" si="9"/>
        <v>0</v>
      </c>
      <c r="P10" s="24">
        <f t="shared" si="10"/>
        <v>0</v>
      </c>
      <c r="Q10" s="38"/>
      <c r="R10" s="39">
        <v>-498025.6</v>
      </c>
      <c r="S10" s="38"/>
      <c r="T10" s="39">
        <v>-30594.6</v>
      </c>
      <c r="U10" s="38"/>
      <c r="V10" s="39">
        <v>142500</v>
      </c>
      <c r="W10" s="38"/>
      <c r="X10" s="39">
        <v>-262500</v>
      </c>
      <c r="Y10" s="38"/>
      <c r="Z10" s="39">
        <v>-65000</v>
      </c>
      <c r="AA10" s="38"/>
      <c r="AB10" s="39">
        <v>122500</v>
      </c>
      <c r="AC10" s="24">
        <f>SUMIFS('逐券逐月(WAVG)'!K:K,'逐券逐月(WAVG)'!$A:$A,逐券汇总!$D10)</f>
        <v>0</v>
      </c>
      <c r="AD10" s="24">
        <f>SUMIFS('逐券逐月(WAVG)'!L:L,'逐券逐月(WAVG)'!$A:$A,逐券汇总!$D10)</f>
        <v>-497957</v>
      </c>
      <c r="AE10" s="24">
        <f>SUMIFS('逐券逐月(WAVG)'!M:M,'逐券逐月(WAVG)'!$A:$A,逐券汇总!$D10)</f>
        <v>0</v>
      </c>
      <c r="AF10" s="24">
        <f>SUMIFS('逐券逐月(WAVG)'!N:N,'逐券逐月(WAVG)'!$A:$A,逐券汇总!$D10)</f>
        <v>-30413</v>
      </c>
      <c r="AG10" s="24">
        <f>SUMIFS('逐券逐月(WAVG)'!O:O,'逐券逐月(WAVG)'!$A:$A,逐券汇总!$D10)</f>
        <v>0</v>
      </c>
      <c r="AH10" s="24">
        <f>SUMIFS('逐券逐月(WAVG)'!P:P,'逐券逐月(WAVG)'!$A:$A,逐券汇总!$D10)</f>
        <v>142500</v>
      </c>
      <c r="AI10" s="24">
        <f>SUMIFS('逐券逐月(WAVG)'!Q:Q,'逐券逐月(WAVG)'!$A:$A,逐券汇总!$D10)</f>
        <v>0</v>
      </c>
      <c r="AJ10" s="24">
        <f>SUMIFS('逐券逐月(WAVG)'!R:R,'逐券逐月(WAVG)'!$A:$A,逐券汇总!$D10)</f>
        <v>-262500</v>
      </c>
      <c r="AK10" s="24">
        <f>SUMIFS('逐券逐月(WAVG)'!S:S,'逐券逐月(WAVG)'!$A:$A,逐券汇总!$D10)</f>
        <v>0</v>
      </c>
      <c r="AL10" s="24">
        <f>SUMIFS('逐券逐月(WAVG)'!T:T,'逐券逐月(WAVG)'!$A:$A,逐券汇总!$D10)</f>
        <v>-65000</v>
      </c>
      <c r="AM10" s="24">
        <f>SUMIFS('逐券逐月(WAVG)'!U:U,'逐券逐月(WAVG)'!$A:$A,逐券汇总!$D10)</f>
        <v>0</v>
      </c>
      <c r="AN10" s="24">
        <f>SUMIFS('逐券逐月(WAVG)'!V:V,'逐券逐月(WAVG)'!$A:$A,逐券汇总!$D10)</f>
        <v>122500</v>
      </c>
    </row>
    <row r="11" spans="1:40" x14ac:dyDescent="0.35">
      <c r="A11" s="36"/>
      <c r="B11" s="36"/>
      <c r="C11" s="37">
        <v>600519</v>
      </c>
      <c r="D11" s="37" t="s">
        <v>53</v>
      </c>
      <c r="E11" s="24">
        <f t="shared" si="11"/>
        <v>76.020000000000437</v>
      </c>
      <c r="F11" s="24">
        <f t="shared" si="0"/>
        <v>0</v>
      </c>
      <c r="G11" s="24">
        <f t="shared" si="1"/>
        <v>0</v>
      </c>
      <c r="H11" s="24">
        <f t="shared" si="2"/>
        <v>0</v>
      </c>
      <c r="I11" s="24">
        <f t="shared" si="3"/>
        <v>0</v>
      </c>
      <c r="J11" s="24">
        <f t="shared" si="4"/>
        <v>0</v>
      </c>
      <c r="K11" s="24">
        <f t="shared" si="5"/>
        <v>0</v>
      </c>
      <c r="L11" s="24">
        <f t="shared" si="6"/>
        <v>0</v>
      </c>
      <c r="M11" s="24">
        <f t="shared" si="7"/>
        <v>0</v>
      </c>
      <c r="N11" s="24">
        <f t="shared" si="8"/>
        <v>0</v>
      </c>
      <c r="O11" s="24">
        <f t="shared" si="9"/>
        <v>0</v>
      </c>
      <c r="P11" s="24">
        <f t="shared" si="10"/>
        <v>0</v>
      </c>
      <c r="Q11" s="39">
        <v>-13636.92</v>
      </c>
      <c r="R11" s="39">
        <v>10592.9</v>
      </c>
      <c r="S11" s="38">
        <v>0</v>
      </c>
      <c r="T11" s="38"/>
      <c r="U11" s="38"/>
      <c r="V11" s="38"/>
      <c r="W11" s="38"/>
      <c r="X11" s="38"/>
      <c r="Y11" s="38"/>
      <c r="Z11" s="38"/>
      <c r="AA11" s="38"/>
      <c r="AB11" s="38"/>
      <c r="AC11" s="24">
        <f>SUMIFS('逐券逐月(WAVG)'!K:K,'逐券逐月(WAVG)'!$A:$A,逐券汇总!$D11)</f>
        <v>-13560.9</v>
      </c>
      <c r="AD11" s="24">
        <f>SUMIFS('逐券逐月(WAVG)'!L:L,'逐券逐月(WAVG)'!$A:$A,逐券汇总!$D11)</f>
        <v>10592.9</v>
      </c>
      <c r="AE11" s="24">
        <f>SUMIFS('逐券逐月(WAVG)'!M:M,'逐券逐月(WAVG)'!$A:$A,逐券汇总!$D11)</f>
        <v>0</v>
      </c>
      <c r="AF11" s="24">
        <f>SUMIFS('逐券逐月(WAVG)'!N:N,'逐券逐月(WAVG)'!$A:$A,逐券汇总!$D11)</f>
        <v>0</v>
      </c>
      <c r="AG11" s="24">
        <f>SUMIFS('逐券逐月(WAVG)'!O:O,'逐券逐月(WAVG)'!$A:$A,逐券汇总!$D11)</f>
        <v>0</v>
      </c>
      <c r="AH11" s="24">
        <f>SUMIFS('逐券逐月(WAVG)'!P:P,'逐券逐月(WAVG)'!$A:$A,逐券汇总!$D11)</f>
        <v>0</v>
      </c>
      <c r="AI11" s="24">
        <f>SUMIFS('逐券逐月(WAVG)'!Q:Q,'逐券逐月(WAVG)'!$A:$A,逐券汇总!$D11)</f>
        <v>0</v>
      </c>
      <c r="AJ11" s="24">
        <f>SUMIFS('逐券逐月(WAVG)'!R:R,'逐券逐月(WAVG)'!$A:$A,逐券汇总!$D11)</f>
        <v>0</v>
      </c>
      <c r="AK11" s="24">
        <f>SUMIFS('逐券逐月(WAVG)'!S:S,'逐券逐月(WAVG)'!$A:$A,逐券汇总!$D11)</f>
        <v>0</v>
      </c>
      <c r="AL11" s="24">
        <f>SUMIFS('逐券逐月(WAVG)'!T:T,'逐券逐月(WAVG)'!$A:$A,逐券汇总!$D11)</f>
        <v>0</v>
      </c>
      <c r="AM11" s="24">
        <f>SUMIFS('逐券逐月(WAVG)'!U:U,'逐券逐月(WAVG)'!$A:$A,逐券汇总!$D11)</f>
        <v>0</v>
      </c>
      <c r="AN11" s="24">
        <f>SUMIFS('逐券逐月(WAVG)'!V:V,'逐券逐月(WAVG)'!$A:$A,逐券汇总!$D11)</f>
        <v>0</v>
      </c>
    </row>
    <row r="12" spans="1:40" x14ac:dyDescent="0.35">
      <c r="A12" s="36"/>
      <c r="B12" s="36"/>
      <c r="C12" s="37">
        <v>600690</v>
      </c>
      <c r="D12" s="37" t="s">
        <v>56</v>
      </c>
      <c r="E12" s="24">
        <f t="shared" si="11"/>
        <v>0</v>
      </c>
      <c r="F12" s="24">
        <f t="shared" si="0"/>
        <v>0</v>
      </c>
      <c r="G12" s="24">
        <f t="shared" si="1"/>
        <v>0</v>
      </c>
      <c r="H12" s="24">
        <f t="shared" si="2"/>
        <v>0</v>
      </c>
      <c r="I12" s="24">
        <f t="shared" si="3"/>
        <v>0</v>
      </c>
      <c r="J12" s="24">
        <f t="shared" si="4"/>
        <v>0</v>
      </c>
      <c r="K12" s="24">
        <f t="shared" si="5"/>
        <v>0</v>
      </c>
      <c r="L12" s="24">
        <f t="shared" si="6"/>
        <v>135.5199999999968</v>
      </c>
      <c r="M12" s="24">
        <f t="shared" si="7"/>
        <v>0</v>
      </c>
      <c r="N12" s="24">
        <f t="shared" si="8"/>
        <v>0</v>
      </c>
      <c r="O12" s="24">
        <f t="shared" si="9"/>
        <v>0</v>
      </c>
      <c r="P12" s="24">
        <f t="shared" si="10"/>
        <v>3564.8399999999965</v>
      </c>
      <c r="Q12" s="38"/>
      <c r="R12" s="38"/>
      <c r="S12" s="38"/>
      <c r="T12" s="38"/>
      <c r="U12" s="38"/>
      <c r="V12" s="38"/>
      <c r="W12" s="38"/>
      <c r="X12" s="39">
        <v>36454.480000000003</v>
      </c>
      <c r="Y12" s="38"/>
      <c r="Z12" s="39">
        <v>-65000</v>
      </c>
      <c r="AA12" s="38"/>
      <c r="AB12" s="39">
        <v>-74564.84</v>
      </c>
      <c r="AC12" s="24">
        <f>SUMIFS('逐券逐月(WAVG)'!K:K,'逐券逐月(WAVG)'!$A:$A,逐券汇总!$D12,'逐券逐月(WAVG)'!$B:$B,逐券汇总!$C12)</f>
        <v>0</v>
      </c>
      <c r="AD12" s="24">
        <f>SUMIFS('逐券逐月(WAVG)'!L:L,'逐券逐月(WAVG)'!$A:$A,逐券汇总!$D12,'逐券逐月(WAVG)'!$B:$B,逐券汇总!$C12)</f>
        <v>0</v>
      </c>
      <c r="AE12" s="24">
        <f>SUMIFS('逐券逐月(WAVG)'!M:M,'逐券逐月(WAVG)'!$A:$A,逐券汇总!$D12,'逐券逐月(WAVG)'!$B:$B,逐券汇总!$C12)</f>
        <v>0</v>
      </c>
      <c r="AF12" s="24">
        <f>SUMIFS('逐券逐月(WAVG)'!N:N,'逐券逐月(WAVG)'!$A:$A,逐券汇总!$D12,'逐券逐月(WAVG)'!$B:$B,逐券汇总!$C12)</f>
        <v>0</v>
      </c>
      <c r="AG12" s="24">
        <f>SUMIFS('逐券逐月(WAVG)'!O:O,'逐券逐月(WAVG)'!$A:$A,逐券汇总!$D12,'逐券逐月(WAVG)'!$B:$B,逐券汇总!$C12)</f>
        <v>0</v>
      </c>
      <c r="AH12" s="24">
        <f>SUMIFS('逐券逐月(WAVG)'!P:P,'逐券逐月(WAVG)'!$A:$A,逐券汇总!$D12,'逐券逐月(WAVG)'!$B:$B,逐券汇总!$C12)</f>
        <v>0</v>
      </c>
      <c r="AI12" s="24">
        <f>SUMIFS('逐券逐月(WAVG)'!Q:Q,'逐券逐月(WAVG)'!$A:$A,逐券汇总!$D12,'逐券逐月(WAVG)'!$B:$B,逐券汇总!$C12)</f>
        <v>0</v>
      </c>
      <c r="AJ12" s="24">
        <f>SUMIFS('逐券逐月(WAVG)'!R:R,'逐券逐月(WAVG)'!$A:$A,逐券汇总!$D12,'逐券逐月(WAVG)'!$B:$B,逐券汇总!$C12)</f>
        <v>36590</v>
      </c>
      <c r="AK12" s="24">
        <f>SUMIFS('逐券逐月(WAVG)'!S:S,'逐券逐月(WAVG)'!$A:$A,逐券汇总!$D12,'逐券逐月(WAVG)'!$B:$B,逐券汇总!$C12)</f>
        <v>0</v>
      </c>
      <c r="AL12" s="24">
        <f>SUMIFS('逐券逐月(WAVG)'!T:T,'逐券逐月(WAVG)'!$A:$A,逐券汇总!$D12,'逐券逐月(WAVG)'!$B:$B,逐券汇总!$C12)</f>
        <v>-65000</v>
      </c>
      <c r="AM12" s="24">
        <f>SUMIFS('逐券逐月(WAVG)'!U:U,'逐券逐月(WAVG)'!$A:$A,逐券汇总!$D12,'逐券逐月(WAVG)'!$B:$B,逐券汇总!$C12)</f>
        <v>0</v>
      </c>
      <c r="AN12" s="24">
        <f>SUMIFS('逐券逐月(WAVG)'!V:V,'逐券逐月(WAVG)'!$A:$A,逐券汇总!$D12,'逐券逐月(WAVG)'!$B:$B,逐券汇总!$C12)</f>
        <v>-71000</v>
      </c>
    </row>
    <row r="13" spans="1:40" x14ac:dyDescent="0.35">
      <c r="A13" s="36"/>
      <c r="B13" s="36"/>
      <c r="C13" s="37">
        <v>600809</v>
      </c>
      <c r="D13" s="37" t="s">
        <v>59</v>
      </c>
      <c r="E13" s="24">
        <f t="shared" si="11"/>
        <v>0</v>
      </c>
      <c r="F13" s="24">
        <f t="shared" si="0"/>
        <v>0</v>
      </c>
      <c r="G13" s="24">
        <f t="shared" si="1"/>
        <v>1529.1300000000047</v>
      </c>
      <c r="H13" s="24">
        <f t="shared" si="2"/>
        <v>0</v>
      </c>
      <c r="I13" s="24">
        <f t="shared" si="3"/>
        <v>0</v>
      </c>
      <c r="J13" s="24">
        <f t="shared" si="4"/>
        <v>0</v>
      </c>
      <c r="K13" s="24">
        <f t="shared" si="5"/>
        <v>0</v>
      </c>
      <c r="L13" s="24">
        <f t="shared" si="6"/>
        <v>0</v>
      </c>
      <c r="M13" s="24">
        <f t="shared" si="7"/>
        <v>0</v>
      </c>
      <c r="N13" s="24">
        <f t="shared" si="8"/>
        <v>0</v>
      </c>
      <c r="O13" s="24">
        <f t="shared" si="9"/>
        <v>0</v>
      </c>
      <c r="P13" s="24">
        <f t="shared" si="10"/>
        <v>0</v>
      </c>
      <c r="Q13" s="38"/>
      <c r="R13" s="39">
        <v>-11040</v>
      </c>
      <c r="S13" s="39">
        <v>-160016</v>
      </c>
      <c r="T13" s="39">
        <v>132966.87</v>
      </c>
      <c r="U13" s="38"/>
      <c r="V13" s="38"/>
      <c r="W13" s="38"/>
      <c r="X13" s="38"/>
      <c r="Y13" s="38"/>
      <c r="Z13" s="38"/>
      <c r="AA13" s="38"/>
      <c r="AB13" s="38"/>
      <c r="AC13" s="24">
        <f>SUMIFS('逐券逐月(WAVG)'!K:K,'逐券逐月(WAVG)'!$A:$A,逐券汇总!$D13)</f>
        <v>0</v>
      </c>
      <c r="AD13" s="24">
        <f>SUMIFS('逐券逐月(WAVG)'!L:L,'逐券逐月(WAVG)'!$A:$A,逐券汇总!$D13)</f>
        <v>-11040</v>
      </c>
      <c r="AE13" s="24">
        <f>SUMIFS('逐券逐月(WAVG)'!M:M,'逐券逐月(WAVG)'!$A:$A,逐券汇总!$D13)</f>
        <v>-158486.87</v>
      </c>
      <c r="AF13" s="24">
        <f>SUMIFS('逐券逐月(WAVG)'!N:N,'逐券逐月(WAVG)'!$A:$A,逐券汇总!$D13)</f>
        <v>132966.87</v>
      </c>
      <c r="AG13" s="24">
        <f>SUMIFS('逐券逐月(WAVG)'!O:O,'逐券逐月(WAVG)'!$A:$A,逐券汇总!$D13)</f>
        <v>0</v>
      </c>
      <c r="AH13" s="24">
        <f>SUMIFS('逐券逐月(WAVG)'!P:P,'逐券逐月(WAVG)'!$A:$A,逐券汇总!$D13)</f>
        <v>0</v>
      </c>
      <c r="AI13" s="24">
        <f>SUMIFS('逐券逐月(WAVG)'!Q:Q,'逐券逐月(WAVG)'!$A:$A,逐券汇总!$D13)</f>
        <v>0</v>
      </c>
      <c r="AJ13" s="24">
        <f>SUMIFS('逐券逐月(WAVG)'!R:R,'逐券逐月(WAVG)'!$A:$A,逐券汇总!$D13)</f>
        <v>0</v>
      </c>
      <c r="AK13" s="24">
        <f>SUMIFS('逐券逐月(WAVG)'!S:S,'逐券逐月(WAVG)'!$A:$A,逐券汇总!$D13)</f>
        <v>0</v>
      </c>
      <c r="AL13" s="24">
        <f>SUMIFS('逐券逐月(WAVG)'!T:T,'逐券逐月(WAVG)'!$A:$A,逐券汇总!$D13)</f>
        <v>0</v>
      </c>
      <c r="AM13" s="24">
        <f>SUMIFS('逐券逐月(WAVG)'!U:U,'逐券逐月(WAVG)'!$A:$A,逐券汇总!$D13)</f>
        <v>0</v>
      </c>
      <c r="AN13" s="24">
        <f>SUMIFS('逐券逐月(WAVG)'!V:V,'逐券逐月(WAVG)'!$A:$A,逐券汇总!$D13)</f>
        <v>0</v>
      </c>
    </row>
    <row r="14" spans="1:40" x14ac:dyDescent="0.35">
      <c r="A14" s="36"/>
      <c r="B14" s="36"/>
      <c r="C14" s="36">
        <v>600887</v>
      </c>
      <c r="D14" s="37" t="s">
        <v>253</v>
      </c>
      <c r="E14" s="24">
        <f t="shared" si="11"/>
        <v>0</v>
      </c>
      <c r="F14" s="24">
        <f t="shared" si="0"/>
        <v>0</v>
      </c>
      <c r="G14" s="24">
        <f t="shared" si="1"/>
        <v>0</v>
      </c>
      <c r="H14" s="24">
        <f t="shared" si="2"/>
        <v>0</v>
      </c>
      <c r="I14" s="24">
        <f t="shared" si="3"/>
        <v>0</v>
      </c>
      <c r="J14" s="24">
        <f t="shared" si="4"/>
        <v>0</v>
      </c>
      <c r="K14" s="24">
        <f t="shared" si="5"/>
        <v>0</v>
      </c>
      <c r="L14" s="24">
        <f t="shared" si="6"/>
        <v>0</v>
      </c>
      <c r="M14" s="24">
        <f t="shared" si="7"/>
        <v>0</v>
      </c>
      <c r="N14" s="24">
        <f t="shared" si="8"/>
        <v>0</v>
      </c>
      <c r="O14" s="24">
        <f t="shared" si="9"/>
        <v>-277.12</v>
      </c>
      <c r="P14" s="24">
        <f t="shared" si="10"/>
        <v>0</v>
      </c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>
        <v>277.12</v>
      </c>
      <c r="AB14" s="38"/>
      <c r="AC14" s="24">
        <f>SUMIFS('逐券逐月(WAVG)'!K:K,'逐券逐月(WAVG)'!$A:$A,逐券汇总!$D14)</f>
        <v>0</v>
      </c>
      <c r="AD14" s="24">
        <f>SUMIFS('逐券逐月(WAVG)'!L:L,'逐券逐月(WAVG)'!$A:$A,逐券汇总!$D14)</f>
        <v>0</v>
      </c>
      <c r="AE14" s="24">
        <f>SUMIFS('逐券逐月(WAVG)'!M:M,'逐券逐月(WAVG)'!$A:$A,逐券汇总!$D14)</f>
        <v>0</v>
      </c>
      <c r="AF14" s="24">
        <f>SUMIFS('逐券逐月(WAVG)'!N:N,'逐券逐月(WAVG)'!$A:$A,逐券汇总!$D14)</f>
        <v>0</v>
      </c>
      <c r="AG14" s="24">
        <f>SUMIFS('逐券逐月(WAVG)'!O:O,'逐券逐月(WAVG)'!$A:$A,逐券汇总!$D14)</f>
        <v>0</v>
      </c>
      <c r="AH14" s="24">
        <f>SUMIFS('逐券逐月(WAVG)'!P:P,'逐券逐月(WAVG)'!$A:$A,逐券汇总!$D14)</f>
        <v>0</v>
      </c>
      <c r="AI14" s="24">
        <f>SUMIFS('逐券逐月(WAVG)'!Q:Q,'逐券逐月(WAVG)'!$A:$A,逐券汇总!$D14)</f>
        <v>0</v>
      </c>
      <c r="AJ14" s="24">
        <f>SUMIFS('逐券逐月(WAVG)'!R:R,'逐券逐月(WAVG)'!$A:$A,逐券汇总!$D14)</f>
        <v>0</v>
      </c>
      <c r="AK14" s="24">
        <f>SUMIFS('逐券逐月(WAVG)'!S:S,'逐券逐月(WAVG)'!$A:$A,逐券汇总!$D14)</f>
        <v>0</v>
      </c>
      <c r="AL14" s="24">
        <f>SUMIFS('逐券逐月(WAVG)'!T:T,'逐券逐月(WAVG)'!$A:$A,逐券汇总!$D14)</f>
        <v>0</v>
      </c>
      <c r="AM14" s="24">
        <f>SUMIFS('逐券逐月(WAVG)'!U:U,'逐券逐月(WAVG)'!$A:$A,逐券汇总!$D14)</f>
        <v>0</v>
      </c>
      <c r="AN14" s="24">
        <f>SUMIFS('逐券逐月(WAVG)'!V:V,'逐券逐月(WAVG)'!$A:$A,逐券汇总!$D14)</f>
        <v>0</v>
      </c>
    </row>
    <row r="15" spans="1:40" x14ac:dyDescent="0.35">
      <c r="A15" s="36"/>
      <c r="B15" s="36"/>
      <c r="C15" s="36"/>
      <c r="D15" s="37" t="s">
        <v>62</v>
      </c>
      <c r="E15" s="24">
        <f t="shared" si="11"/>
        <v>0</v>
      </c>
      <c r="F15" s="24">
        <f t="shared" si="0"/>
        <v>0</v>
      </c>
      <c r="G15" s="24">
        <f t="shared" si="1"/>
        <v>0</v>
      </c>
      <c r="H15" s="24">
        <f t="shared" si="2"/>
        <v>185.40000000000146</v>
      </c>
      <c r="I15" s="24">
        <f t="shared" si="3"/>
        <v>0</v>
      </c>
      <c r="J15" s="24">
        <f t="shared" si="4"/>
        <v>149.87000000000262</v>
      </c>
      <c r="K15" s="24">
        <f t="shared" si="5"/>
        <v>0</v>
      </c>
      <c r="L15" s="24">
        <f t="shared" si="6"/>
        <v>84.270000000018626</v>
      </c>
      <c r="M15" s="24">
        <f t="shared" si="7"/>
        <v>0</v>
      </c>
      <c r="N15" s="24">
        <f t="shared" si="8"/>
        <v>0</v>
      </c>
      <c r="O15" s="24">
        <f t="shared" si="9"/>
        <v>0</v>
      </c>
      <c r="P15" s="24">
        <f t="shared" si="10"/>
        <v>-40483.909999999974</v>
      </c>
      <c r="Q15" s="38"/>
      <c r="R15" s="38"/>
      <c r="S15" s="38"/>
      <c r="T15" s="39">
        <v>-25485.4</v>
      </c>
      <c r="U15" s="38"/>
      <c r="V15" s="39">
        <v>64150.13</v>
      </c>
      <c r="W15" s="38"/>
      <c r="X15" s="39">
        <v>281415.73</v>
      </c>
      <c r="Y15" s="38"/>
      <c r="Z15" s="39">
        <v>-135000</v>
      </c>
      <c r="AA15" s="38"/>
      <c r="AB15" s="39">
        <v>-347016.09</v>
      </c>
      <c r="AC15" s="24">
        <f>SUMIFS('逐券逐月(WAVG)'!K:K,'逐券逐月(WAVG)'!$A:$A,逐券汇总!$D15)</f>
        <v>0</v>
      </c>
      <c r="AD15" s="24">
        <f>SUMIFS('逐券逐月(WAVG)'!L:L,'逐券逐月(WAVG)'!$A:$A,逐券汇总!$D15)</f>
        <v>0</v>
      </c>
      <c r="AE15" s="24">
        <f>SUMIFS('逐券逐月(WAVG)'!M:M,'逐券逐月(WAVG)'!$A:$A,逐券汇总!$D15)</f>
        <v>0</v>
      </c>
      <c r="AF15" s="24">
        <f>SUMIFS('逐券逐月(WAVG)'!N:N,'逐券逐月(WAVG)'!$A:$A,逐券汇总!$D15)</f>
        <v>-25300</v>
      </c>
      <c r="AG15" s="24">
        <f>SUMIFS('逐券逐月(WAVG)'!O:O,'逐券逐月(WAVG)'!$A:$A,逐券汇总!$D15)</f>
        <v>0</v>
      </c>
      <c r="AH15" s="24">
        <f>SUMIFS('逐券逐月(WAVG)'!P:P,'逐券逐月(WAVG)'!$A:$A,逐券汇总!$D15)</f>
        <v>64300</v>
      </c>
      <c r="AI15" s="24">
        <f>SUMIFS('逐券逐月(WAVG)'!Q:Q,'逐券逐月(WAVG)'!$A:$A,逐券汇总!$D15)</f>
        <v>0</v>
      </c>
      <c r="AJ15" s="24">
        <f>SUMIFS('逐券逐月(WAVG)'!R:R,'逐券逐月(WAVG)'!$A:$A,逐券汇总!$D15)</f>
        <v>281500</v>
      </c>
      <c r="AK15" s="24">
        <f>SUMIFS('逐券逐月(WAVG)'!S:S,'逐券逐月(WAVG)'!$A:$A,逐券汇总!$D15)</f>
        <v>0</v>
      </c>
      <c r="AL15" s="24">
        <f>SUMIFS('逐券逐月(WAVG)'!T:T,'逐券逐月(WAVG)'!$A:$A,逐券汇总!$D15)</f>
        <v>-135000</v>
      </c>
      <c r="AM15" s="24">
        <f>SUMIFS('逐券逐月(WAVG)'!U:U,'逐券逐月(WAVG)'!$A:$A,逐券汇总!$D15)</f>
        <v>0</v>
      </c>
      <c r="AN15" s="24">
        <f>SUMIFS('逐券逐月(WAVG)'!V:V,'逐券逐月(WAVG)'!$A:$A,逐券汇总!$D15)</f>
        <v>-387500</v>
      </c>
    </row>
    <row r="16" spans="1:40" x14ac:dyDescent="0.35">
      <c r="A16" s="36"/>
      <c r="B16" s="36"/>
      <c r="C16" s="37">
        <v>600908</v>
      </c>
      <c r="D16" s="37" t="s">
        <v>65</v>
      </c>
      <c r="E16" s="24">
        <f t="shared" si="11"/>
        <v>0</v>
      </c>
      <c r="F16" s="24">
        <f t="shared" si="0"/>
        <v>0</v>
      </c>
      <c r="G16" s="24">
        <f t="shared" si="1"/>
        <v>0</v>
      </c>
      <c r="H16" s="24">
        <f t="shared" si="2"/>
        <v>0</v>
      </c>
      <c r="I16" s="24">
        <f t="shared" si="3"/>
        <v>0</v>
      </c>
      <c r="J16" s="24">
        <f t="shared" si="4"/>
        <v>76.209999999999127</v>
      </c>
      <c r="K16" s="24">
        <f t="shared" si="5"/>
        <v>716.04000000000087</v>
      </c>
      <c r="L16" s="24">
        <f t="shared" si="6"/>
        <v>-76.209999999999127</v>
      </c>
      <c r="M16" s="24">
        <f t="shared" si="7"/>
        <v>0</v>
      </c>
      <c r="N16" s="24">
        <f t="shared" si="8"/>
        <v>0</v>
      </c>
      <c r="O16" s="24">
        <f t="shared" si="9"/>
        <v>0</v>
      </c>
      <c r="P16" s="24">
        <f t="shared" si="10"/>
        <v>0</v>
      </c>
      <c r="Q16" s="38"/>
      <c r="R16" s="38"/>
      <c r="S16" s="38"/>
      <c r="T16" s="38"/>
      <c r="U16" s="38"/>
      <c r="V16" s="39">
        <v>-41356.21</v>
      </c>
      <c r="W16" s="39">
        <v>-55996.04</v>
      </c>
      <c r="X16" s="39">
        <v>41356.21</v>
      </c>
      <c r="Y16" s="38"/>
      <c r="Z16" s="38"/>
      <c r="AA16" s="38"/>
      <c r="AB16" s="38"/>
      <c r="AC16" s="24">
        <f>SUMIFS('逐券逐月(WAVG)'!K:K,'逐券逐月(WAVG)'!$A:$A,逐券汇总!$D16)</f>
        <v>0</v>
      </c>
      <c r="AD16" s="24">
        <f>SUMIFS('逐券逐月(WAVG)'!L:L,'逐券逐月(WAVG)'!$A:$A,逐券汇总!$D16)</f>
        <v>0</v>
      </c>
      <c r="AE16" s="24">
        <f>SUMIFS('逐券逐月(WAVG)'!M:M,'逐券逐月(WAVG)'!$A:$A,逐券汇总!$D16)</f>
        <v>0</v>
      </c>
      <c r="AF16" s="24">
        <f>SUMIFS('逐券逐月(WAVG)'!N:N,'逐券逐月(WAVG)'!$A:$A,逐券汇总!$D16)</f>
        <v>0</v>
      </c>
      <c r="AG16" s="24">
        <f>SUMIFS('逐券逐月(WAVG)'!O:O,'逐券逐月(WAVG)'!$A:$A,逐券汇总!$D16)</f>
        <v>0</v>
      </c>
      <c r="AH16" s="24">
        <f>SUMIFS('逐券逐月(WAVG)'!P:P,'逐券逐月(WAVG)'!$A:$A,逐券汇总!$D16)</f>
        <v>-41280</v>
      </c>
      <c r="AI16" s="24">
        <f>SUMIFS('逐券逐月(WAVG)'!Q:Q,'逐券逐月(WAVG)'!$A:$A,逐券汇总!$D16)</f>
        <v>-55280</v>
      </c>
      <c r="AJ16" s="24">
        <f>SUMIFS('逐券逐月(WAVG)'!R:R,'逐券逐月(WAVG)'!$A:$A,逐券汇总!$D16)</f>
        <v>41280</v>
      </c>
      <c r="AK16" s="24">
        <f>SUMIFS('逐券逐月(WAVG)'!S:S,'逐券逐月(WAVG)'!$A:$A,逐券汇总!$D16)</f>
        <v>0</v>
      </c>
      <c r="AL16" s="24">
        <f>SUMIFS('逐券逐月(WAVG)'!T:T,'逐券逐月(WAVG)'!$A:$A,逐券汇总!$D16)</f>
        <v>0</v>
      </c>
      <c r="AM16" s="24">
        <f>SUMIFS('逐券逐月(WAVG)'!U:U,'逐券逐月(WAVG)'!$A:$A,逐券汇总!$D16)</f>
        <v>0</v>
      </c>
      <c r="AN16" s="24">
        <f>SUMIFS('逐券逐月(WAVG)'!V:V,'逐券逐月(WAVG)'!$A:$A,逐券汇总!$D16)</f>
        <v>0</v>
      </c>
    </row>
    <row r="17" spans="1:40" x14ac:dyDescent="0.35">
      <c r="A17" s="36"/>
      <c r="B17" s="36"/>
      <c r="C17" s="37">
        <v>600919</v>
      </c>
      <c r="D17" s="37" t="s">
        <v>68</v>
      </c>
      <c r="E17" s="24">
        <f t="shared" si="11"/>
        <v>0</v>
      </c>
      <c r="F17" s="24">
        <f t="shared" si="0"/>
        <v>0</v>
      </c>
      <c r="G17" s="24">
        <f t="shared" si="1"/>
        <v>0</v>
      </c>
      <c r="H17" s="24">
        <f t="shared" si="2"/>
        <v>120.63000000000102</v>
      </c>
      <c r="I17" s="24">
        <f t="shared" si="3"/>
        <v>0</v>
      </c>
      <c r="J17" s="24">
        <f t="shared" si="4"/>
        <v>0</v>
      </c>
      <c r="K17" s="24">
        <f t="shared" si="5"/>
        <v>1225.1300000000047</v>
      </c>
      <c r="L17" s="24">
        <f t="shared" si="6"/>
        <v>-120.63000000000466</v>
      </c>
      <c r="M17" s="24">
        <f t="shared" si="7"/>
        <v>0</v>
      </c>
      <c r="N17" s="24">
        <f t="shared" si="8"/>
        <v>0</v>
      </c>
      <c r="O17" s="24">
        <f t="shared" si="9"/>
        <v>0</v>
      </c>
      <c r="P17" s="24">
        <f t="shared" si="10"/>
        <v>0</v>
      </c>
      <c r="Q17" s="38"/>
      <c r="R17" s="38"/>
      <c r="S17" s="38"/>
      <c r="T17" s="39">
        <v>-20820.63</v>
      </c>
      <c r="U17" s="38"/>
      <c r="V17" s="39">
        <v>102600</v>
      </c>
      <c r="W17" s="39">
        <v>73474.87</v>
      </c>
      <c r="X17" s="39">
        <v>-81779.37</v>
      </c>
      <c r="Y17" s="38"/>
      <c r="Z17" s="38"/>
      <c r="AA17" s="38"/>
      <c r="AB17" s="38"/>
      <c r="AC17" s="24">
        <f>SUMIFS('逐券逐月(WAVG)'!K:K,'逐券逐月(WAVG)'!$A:$A,逐券汇总!$D17)</f>
        <v>0</v>
      </c>
      <c r="AD17" s="24">
        <f>SUMIFS('逐券逐月(WAVG)'!L:L,'逐券逐月(WAVG)'!$A:$A,逐券汇总!$D17)</f>
        <v>0</v>
      </c>
      <c r="AE17" s="24">
        <f>SUMIFS('逐券逐月(WAVG)'!M:M,'逐券逐月(WAVG)'!$A:$A,逐券汇总!$D17)</f>
        <v>0</v>
      </c>
      <c r="AF17" s="24">
        <f>SUMIFS('逐券逐月(WAVG)'!N:N,'逐券逐月(WAVG)'!$A:$A,逐券汇总!$D17)</f>
        <v>-20700</v>
      </c>
      <c r="AG17" s="24">
        <f>SUMIFS('逐券逐月(WAVG)'!O:O,'逐券逐月(WAVG)'!$A:$A,逐券汇总!$D17)</f>
        <v>0</v>
      </c>
      <c r="AH17" s="24">
        <f>SUMIFS('逐券逐月(WAVG)'!P:P,'逐券逐月(WAVG)'!$A:$A,逐券汇总!$D17)</f>
        <v>102600</v>
      </c>
      <c r="AI17" s="24">
        <f>SUMIFS('逐券逐月(WAVG)'!Q:Q,'逐券逐月(WAVG)'!$A:$A,逐券汇总!$D17)</f>
        <v>74700</v>
      </c>
      <c r="AJ17" s="24">
        <f>SUMIFS('逐券逐月(WAVG)'!R:R,'逐券逐月(WAVG)'!$A:$A,逐券汇总!$D17)</f>
        <v>-81900</v>
      </c>
      <c r="AK17" s="24">
        <f>SUMIFS('逐券逐月(WAVG)'!S:S,'逐券逐月(WAVG)'!$A:$A,逐券汇总!$D17)</f>
        <v>0</v>
      </c>
      <c r="AL17" s="24">
        <f>SUMIFS('逐券逐月(WAVG)'!T:T,'逐券逐月(WAVG)'!$A:$A,逐券汇总!$D17)</f>
        <v>0</v>
      </c>
      <c r="AM17" s="24">
        <f>SUMIFS('逐券逐月(WAVG)'!U:U,'逐券逐月(WAVG)'!$A:$A,逐券汇总!$D17)</f>
        <v>0</v>
      </c>
      <c r="AN17" s="24">
        <f>SUMIFS('逐券逐月(WAVG)'!V:V,'逐券逐月(WAVG)'!$A:$A,逐券汇总!$D17)</f>
        <v>0</v>
      </c>
    </row>
    <row r="18" spans="1:40" x14ac:dyDescent="0.35">
      <c r="A18" s="36"/>
      <c r="B18" s="36"/>
      <c r="C18" s="37">
        <v>601009</v>
      </c>
      <c r="D18" s="37" t="s">
        <v>71</v>
      </c>
      <c r="E18" s="24">
        <f t="shared" si="11"/>
        <v>0</v>
      </c>
      <c r="F18" s="24">
        <f t="shared" si="0"/>
        <v>0</v>
      </c>
      <c r="G18" s="24">
        <f t="shared" si="1"/>
        <v>1902.0900000000038</v>
      </c>
      <c r="H18" s="24">
        <f t="shared" si="2"/>
        <v>0</v>
      </c>
      <c r="I18" s="24">
        <f t="shared" si="3"/>
        <v>0</v>
      </c>
      <c r="J18" s="24">
        <f t="shared" si="4"/>
        <v>0</v>
      </c>
      <c r="K18" s="24">
        <f t="shared" si="5"/>
        <v>0</v>
      </c>
      <c r="L18" s="24">
        <f t="shared" si="6"/>
        <v>0</v>
      </c>
      <c r="M18" s="24">
        <f t="shared" si="7"/>
        <v>0</v>
      </c>
      <c r="N18" s="24">
        <f t="shared" si="8"/>
        <v>0</v>
      </c>
      <c r="O18" s="24">
        <f t="shared" si="9"/>
        <v>0</v>
      </c>
      <c r="P18" s="24">
        <f t="shared" si="10"/>
        <v>0</v>
      </c>
      <c r="Q18" s="38"/>
      <c r="R18" s="39">
        <v>-270000</v>
      </c>
      <c r="S18" s="39">
        <v>37807.46</v>
      </c>
      <c r="T18" s="39">
        <v>173290.45</v>
      </c>
      <c r="U18" s="38"/>
      <c r="V18" s="38"/>
      <c r="W18" s="38"/>
      <c r="X18" s="38"/>
      <c r="Y18" s="38"/>
      <c r="Z18" s="38"/>
      <c r="AA18" s="38"/>
      <c r="AB18" s="38"/>
      <c r="AC18" s="24">
        <f>SUMIFS('逐券逐月(WAVG)'!K:K,'逐券逐月(WAVG)'!$A:$A,逐券汇总!$D18)</f>
        <v>0</v>
      </c>
      <c r="AD18" s="24">
        <f>SUMIFS('逐券逐月(WAVG)'!L:L,'逐券逐月(WAVG)'!$A:$A,逐券汇总!$D18)</f>
        <v>-270000</v>
      </c>
      <c r="AE18" s="24">
        <f>SUMIFS('逐券逐月(WAVG)'!M:M,'逐券逐月(WAVG)'!$A:$A,逐券汇总!$D18)</f>
        <v>39709.550000000003</v>
      </c>
      <c r="AF18" s="24">
        <f>SUMIFS('逐券逐月(WAVG)'!N:N,'逐券逐月(WAVG)'!$A:$A,逐券汇总!$D18)</f>
        <v>173290.45</v>
      </c>
      <c r="AG18" s="24">
        <f>SUMIFS('逐券逐月(WAVG)'!O:O,'逐券逐月(WAVG)'!$A:$A,逐券汇总!$D18)</f>
        <v>0</v>
      </c>
      <c r="AH18" s="24">
        <f>SUMIFS('逐券逐月(WAVG)'!P:P,'逐券逐月(WAVG)'!$A:$A,逐券汇总!$D18)</f>
        <v>0</v>
      </c>
      <c r="AI18" s="24">
        <f>SUMIFS('逐券逐月(WAVG)'!Q:Q,'逐券逐月(WAVG)'!$A:$A,逐券汇总!$D18)</f>
        <v>0</v>
      </c>
      <c r="AJ18" s="24">
        <f>SUMIFS('逐券逐月(WAVG)'!R:R,'逐券逐月(WAVG)'!$A:$A,逐券汇总!$D18)</f>
        <v>0</v>
      </c>
      <c r="AK18" s="24">
        <f>SUMIFS('逐券逐月(WAVG)'!S:S,'逐券逐月(WAVG)'!$A:$A,逐券汇总!$D18)</f>
        <v>0</v>
      </c>
      <c r="AL18" s="24">
        <f>SUMIFS('逐券逐月(WAVG)'!T:T,'逐券逐月(WAVG)'!$A:$A,逐券汇总!$D18)</f>
        <v>0</v>
      </c>
      <c r="AM18" s="24">
        <f>SUMIFS('逐券逐月(WAVG)'!U:U,'逐券逐月(WAVG)'!$A:$A,逐券汇总!$D18)</f>
        <v>0</v>
      </c>
      <c r="AN18" s="24">
        <f>SUMIFS('逐券逐月(WAVG)'!V:V,'逐券逐月(WAVG)'!$A:$A,逐券汇总!$D18)</f>
        <v>0</v>
      </c>
    </row>
    <row r="19" spans="1:40" x14ac:dyDescent="0.35">
      <c r="A19" s="36"/>
      <c r="B19" s="36"/>
      <c r="C19" s="37">
        <v>601098</v>
      </c>
      <c r="D19" s="37" t="s">
        <v>74</v>
      </c>
      <c r="E19" s="24">
        <f t="shared" si="11"/>
        <v>0</v>
      </c>
      <c r="F19" s="24">
        <f t="shared" si="0"/>
        <v>149.35999999998603</v>
      </c>
      <c r="G19" s="24">
        <f t="shared" si="1"/>
        <v>0</v>
      </c>
      <c r="H19" s="24">
        <f t="shared" si="2"/>
        <v>0</v>
      </c>
      <c r="I19" s="24">
        <f t="shared" si="3"/>
        <v>0</v>
      </c>
      <c r="J19" s="24">
        <f t="shared" si="4"/>
        <v>0</v>
      </c>
      <c r="K19" s="24">
        <f t="shared" si="5"/>
        <v>0</v>
      </c>
      <c r="L19" s="24">
        <f t="shared" si="6"/>
        <v>0</v>
      </c>
      <c r="M19" s="24">
        <f t="shared" si="7"/>
        <v>0</v>
      </c>
      <c r="N19" s="24">
        <f t="shared" si="8"/>
        <v>0</v>
      </c>
      <c r="O19" s="24">
        <f t="shared" si="9"/>
        <v>0</v>
      </c>
      <c r="P19" s="24">
        <f t="shared" si="10"/>
        <v>0</v>
      </c>
      <c r="Q19" s="38"/>
      <c r="R19" s="39">
        <v>-188149.36</v>
      </c>
      <c r="S19" s="38"/>
      <c r="T19" s="39">
        <v>35000</v>
      </c>
      <c r="U19" s="38"/>
      <c r="V19" s="39">
        <v>-60000</v>
      </c>
      <c r="W19" s="38"/>
      <c r="X19" s="39">
        <v>190000</v>
      </c>
      <c r="Y19" s="38"/>
      <c r="Z19" s="39">
        <v>-240000</v>
      </c>
      <c r="AA19" s="38"/>
      <c r="AB19" s="39">
        <v>70000</v>
      </c>
      <c r="AC19" s="24">
        <f>SUMIFS('逐券逐月(WAVG)'!K:K,'逐券逐月(WAVG)'!$A:$A,逐券汇总!$D19)</f>
        <v>0</v>
      </c>
      <c r="AD19" s="24">
        <f>SUMIFS('逐券逐月(WAVG)'!L:L,'逐券逐月(WAVG)'!$A:$A,逐券汇总!$D19)</f>
        <v>-188000</v>
      </c>
      <c r="AE19" s="24">
        <f>SUMIFS('逐券逐月(WAVG)'!M:M,'逐券逐月(WAVG)'!$A:$A,逐券汇总!$D19)</f>
        <v>0</v>
      </c>
      <c r="AF19" s="24">
        <f>SUMIFS('逐券逐月(WAVG)'!N:N,'逐券逐月(WAVG)'!$A:$A,逐券汇总!$D19)</f>
        <v>35000</v>
      </c>
      <c r="AG19" s="24">
        <f>SUMIFS('逐券逐月(WAVG)'!O:O,'逐券逐月(WAVG)'!$A:$A,逐券汇总!$D19)</f>
        <v>0</v>
      </c>
      <c r="AH19" s="24">
        <f>SUMIFS('逐券逐月(WAVG)'!P:P,'逐券逐月(WAVG)'!$A:$A,逐券汇总!$D19)</f>
        <v>-60000</v>
      </c>
      <c r="AI19" s="24">
        <f>SUMIFS('逐券逐月(WAVG)'!Q:Q,'逐券逐月(WAVG)'!$A:$A,逐券汇总!$D19)</f>
        <v>0</v>
      </c>
      <c r="AJ19" s="24">
        <f>SUMIFS('逐券逐月(WAVG)'!R:R,'逐券逐月(WAVG)'!$A:$A,逐券汇总!$D19)</f>
        <v>190000</v>
      </c>
      <c r="AK19" s="24">
        <f>SUMIFS('逐券逐月(WAVG)'!S:S,'逐券逐月(WAVG)'!$A:$A,逐券汇总!$D19)</f>
        <v>0</v>
      </c>
      <c r="AL19" s="24">
        <f>SUMIFS('逐券逐月(WAVG)'!T:T,'逐券逐月(WAVG)'!$A:$A,逐券汇总!$D19)</f>
        <v>-240000</v>
      </c>
      <c r="AM19" s="24">
        <f>SUMIFS('逐券逐月(WAVG)'!U:U,'逐券逐月(WAVG)'!$A:$A,逐券汇总!$D19)</f>
        <v>0</v>
      </c>
      <c r="AN19" s="24">
        <f>SUMIFS('逐券逐月(WAVG)'!V:V,'逐券逐月(WAVG)'!$A:$A,逐券汇总!$D19)</f>
        <v>70000</v>
      </c>
    </row>
    <row r="20" spans="1:40" x14ac:dyDescent="0.35">
      <c r="A20" s="36"/>
      <c r="B20" s="36"/>
      <c r="C20" s="37">
        <v>601166</v>
      </c>
      <c r="D20" s="37" t="s">
        <v>77</v>
      </c>
      <c r="E20" s="24">
        <f t="shared" si="11"/>
        <v>0</v>
      </c>
      <c r="F20" s="24">
        <f t="shared" si="0"/>
        <v>59.880000000004657</v>
      </c>
      <c r="G20" s="24">
        <f t="shared" si="1"/>
        <v>0</v>
      </c>
      <c r="H20" s="24">
        <f t="shared" si="2"/>
        <v>182.85999999998603</v>
      </c>
      <c r="I20" s="24">
        <f t="shared" si="3"/>
        <v>0</v>
      </c>
      <c r="J20" s="24">
        <f t="shared" si="4"/>
        <v>0</v>
      </c>
      <c r="K20" s="24">
        <f t="shared" si="5"/>
        <v>0</v>
      </c>
      <c r="L20" s="24">
        <f t="shared" si="6"/>
        <v>0</v>
      </c>
      <c r="M20" s="24">
        <f t="shared" si="7"/>
        <v>0</v>
      </c>
      <c r="N20" s="24">
        <f t="shared" si="8"/>
        <v>0</v>
      </c>
      <c r="O20" s="24">
        <f t="shared" si="9"/>
        <v>0</v>
      </c>
      <c r="P20" s="24">
        <f t="shared" si="10"/>
        <v>0</v>
      </c>
      <c r="Q20" s="38"/>
      <c r="R20" s="39">
        <v>-705519.88</v>
      </c>
      <c r="S20" s="38"/>
      <c r="T20" s="39">
        <v>-240980.86</v>
      </c>
      <c r="U20" s="38"/>
      <c r="V20" s="39">
        <v>255000</v>
      </c>
      <c r="W20" s="38"/>
      <c r="X20" s="39">
        <v>-445000</v>
      </c>
      <c r="Y20" s="38"/>
      <c r="Z20" s="39">
        <v>285000</v>
      </c>
      <c r="AA20" s="38"/>
      <c r="AB20" s="39">
        <v>20000</v>
      </c>
      <c r="AC20" s="24">
        <f>SUMIFS('逐券逐月(WAVG)'!K:K,'逐券逐月(WAVG)'!$A:$A,逐券汇总!$D20)</f>
        <v>0</v>
      </c>
      <c r="AD20" s="24">
        <f>SUMIFS('逐券逐月(WAVG)'!L:L,'逐券逐月(WAVG)'!$A:$A,逐券汇总!$D20)</f>
        <v>-705460</v>
      </c>
      <c r="AE20" s="24">
        <f>SUMIFS('逐券逐月(WAVG)'!M:M,'逐券逐月(WAVG)'!$A:$A,逐券汇总!$D20)</f>
        <v>0</v>
      </c>
      <c r="AF20" s="24">
        <f>SUMIFS('逐券逐月(WAVG)'!N:N,'逐券逐月(WAVG)'!$A:$A,逐券汇总!$D20)</f>
        <v>-240798</v>
      </c>
      <c r="AG20" s="24">
        <f>SUMIFS('逐券逐月(WAVG)'!O:O,'逐券逐月(WAVG)'!$A:$A,逐券汇总!$D20)</f>
        <v>0</v>
      </c>
      <c r="AH20" s="24">
        <f>SUMIFS('逐券逐月(WAVG)'!P:P,'逐券逐月(WAVG)'!$A:$A,逐券汇总!$D20)</f>
        <v>255000</v>
      </c>
      <c r="AI20" s="24">
        <f>SUMIFS('逐券逐月(WAVG)'!Q:Q,'逐券逐月(WAVG)'!$A:$A,逐券汇总!$D20)</f>
        <v>0</v>
      </c>
      <c r="AJ20" s="24">
        <f>SUMIFS('逐券逐月(WAVG)'!R:R,'逐券逐月(WAVG)'!$A:$A,逐券汇总!$D20)</f>
        <v>-445000</v>
      </c>
      <c r="AK20" s="24">
        <f>SUMIFS('逐券逐月(WAVG)'!S:S,'逐券逐月(WAVG)'!$A:$A,逐券汇总!$D20)</f>
        <v>0</v>
      </c>
      <c r="AL20" s="24">
        <f>SUMIFS('逐券逐月(WAVG)'!T:T,'逐券逐月(WAVG)'!$A:$A,逐券汇总!$D20)</f>
        <v>285000</v>
      </c>
      <c r="AM20" s="24">
        <f>SUMIFS('逐券逐月(WAVG)'!U:U,'逐券逐月(WAVG)'!$A:$A,逐券汇总!$D20)</f>
        <v>0</v>
      </c>
      <c r="AN20" s="24">
        <f>SUMIFS('逐券逐月(WAVG)'!V:V,'逐券逐月(WAVG)'!$A:$A,逐券汇总!$D20)</f>
        <v>20000</v>
      </c>
    </row>
    <row r="21" spans="1:40" x14ac:dyDescent="0.35">
      <c r="A21" s="36"/>
      <c r="B21" s="36"/>
      <c r="C21" s="37">
        <v>601169</v>
      </c>
      <c r="D21" s="37" t="s">
        <v>80</v>
      </c>
      <c r="E21" s="24">
        <f t="shared" si="11"/>
        <v>0</v>
      </c>
      <c r="F21" s="24">
        <f t="shared" si="0"/>
        <v>0</v>
      </c>
      <c r="G21" s="24">
        <f t="shared" si="1"/>
        <v>0</v>
      </c>
      <c r="H21" s="24">
        <f t="shared" si="2"/>
        <v>0</v>
      </c>
      <c r="I21" s="24">
        <f t="shared" si="3"/>
        <v>0</v>
      </c>
      <c r="J21" s="24">
        <f t="shared" si="4"/>
        <v>0</v>
      </c>
      <c r="K21" s="24">
        <f t="shared" si="5"/>
        <v>0</v>
      </c>
      <c r="L21" s="24">
        <f t="shared" si="6"/>
        <v>0</v>
      </c>
      <c r="M21" s="24">
        <f t="shared" si="7"/>
        <v>0</v>
      </c>
      <c r="N21" s="24">
        <f t="shared" si="8"/>
        <v>0</v>
      </c>
      <c r="O21" s="24">
        <f t="shared" si="9"/>
        <v>0</v>
      </c>
      <c r="P21" s="24">
        <f t="shared" si="10"/>
        <v>3098.6500000000015</v>
      </c>
      <c r="Q21" s="38"/>
      <c r="R21" s="39">
        <v>-270000</v>
      </c>
      <c r="S21" s="38"/>
      <c r="T21" s="39">
        <v>135000</v>
      </c>
      <c r="U21" s="38"/>
      <c r="V21" s="39">
        <v>180000</v>
      </c>
      <c r="W21" s="38"/>
      <c r="X21" s="39">
        <v>-315000</v>
      </c>
      <c r="Y21" s="38"/>
      <c r="Z21" s="39">
        <v>-315000</v>
      </c>
      <c r="AA21" s="38"/>
      <c r="AB21" s="39">
        <v>41901.35</v>
      </c>
      <c r="AC21" s="24">
        <f>SUMIFS('逐券逐月(WAVG)'!K:K,'逐券逐月(WAVG)'!$A:$A,逐券汇总!$D21)</f>
        <v>0</v>
      </c>
      <c r="AD21" s="24">
        <f>SUMIFS('逐券逐月(WAVG)'!L:L,'逐券逐月(WAVG)'!$A:$A,逐券汇总!$D21)</f>
        <v>-270000</v>
      </c>
      <c r="AE21" s="24">
        <f>SUMIFS('逐券逐月(WAVG)'!M:M,'逐券逐月(WAVG)'!$A:$A,逐券汇总!$D21)</f>
        <v>0</v>
      </c>
      <c r="AF21" s="24">
        <f>SUMIFS('逐券逐月(WAVG)'!N:N,'逐券逐月(WAVG)'!$A:$A,逐券汇总!$D21)</f>
        <v>135000</v>
      </c>
      <c r="AG21" s="24">
        <f>SUMIFS('逐券逐月(WAVG)'!O:O,'逐券逐月(WAVG)'!$A:$A,逐券汇总!$D21)</f>
        <v>0</v>
      </c>
      <c r="AH21" s="24">
        <f>SUMIFS('逐券逐月(WAVG)'!P:P,'逐券逐月(WAVG)'!$A:$A,逐券汇总!$D21)</f>
        <v>180000</v>
      </c>
      <c r="AI21" s="24">
        <f>SUMIFS('逐券逐月(WAVG)'!Q:Q,'逐券逐月(WAVG)'!$A:$A,逐券汇总!$D21)</f>
        <v>0</v>
      </c>
      <c r="AJ21" s="24">
        <f>SUMIFS('逐券逐月(WAVG)'!R:R,'逐券逐月(WAVG)'!$A:$A,逐券汇总!$D21)</f>
        <v>-315000</v>
      </c>
      <c r="AK21" s="24">
        <f>SUMIFS('逐券逐月(WAVG)'!S:S,'逐券逐月(WAVG)'!$A:$A,逐券汇总!$D21)</f>
        <v>0</v>
      </c>
      <c r="AL21" s="24">
        <f>SUMIFS('逐券逐月(WAVG)'!T:T,'逐券逐月(WAVG)'!$A:$A,逐券汇总!$D21)</f>
        <v>-315000</v>
      </c>
      <c r="AM21" s="24">
        <f>SUMIFS('逐券逐月(WAVG)'!U:U,'逐券逐月(WAVG)'!$A:$A,逐券汇总!$D21)</f>
        <v>0</v>
      </c>
      <c r="AN21" s="24">
        <f>SUMIFS('逐券逐月(WAVG)'!V:V,'逐券逐月(WAVG)'!$A:$A,逐券汇总!$D21)</f>
        <v>45000</v>
      </c>
    </row>
    <row r="22" spans="1:40" x14ac:dyDescent="0.35">
      <c r="A22" s="36"/>
      <c r="B22" s="36"/>
      <c r="C22" s="37">
        <v>601577</v>
      </c>
      <c r="D22" s="37" t="s">
        <v>83</v>
      </c>
      <c r="E22" s="24">
        <f t="shared" si="11"/>
        <v>0</v>
      </c>
      <c r="F22" s="24">
        <f t="shared" si="0"/>
        <v>0</v>
      </c>
      <c r="G22" s="24">
        <f t="shared" si="1"/>
        <v>0</v>
      </c>
      <c r="H22" s="24">
        <f t="shared" si="2"/>
        <v>0</v>
      </c>
      <c r="I22" s="24">
        <f t="shared" si="3"/>
        <v>0</v>
      </c>
      <c r="J22" s="24">
        <f t="shared" si="4"/>
        <v>63.150000000001455</v>
      </c>
      <c r="K22" s="24">
        <f t="shared" si="5"/>
        <v>596.23999999999796</v>
      </c>
      <c r="L22" s="24">
        <f t="shared" si="6"/>
        <v>-63.150000000001455</v>
      </c>
      <c r="M22" s="24">
        <f t="shared" si="7"/>
        <v>0</v>
      </c>
      <c r="N22" s="24">
        <f t="shared" si="8"/>
        <v>0</v>
      </c>
      <c r="O22" s="24">
        <f t="shared" si="9"/>
        <v>0</v>
      </c>
      <c r="P22" s="24">
        <f t="shared" si="10"/>
        <v>0</v>
      </c>
      <c r="Q22" s="38"/>
      <c r="R22" s="38"/>
      <c r="S22" s="38"/>
      <c r="T22" s="38"/>
      <c r="U22" s="38"/>
      <c r="V22" s="39">
        <v>-21663.15</v>
      </c>
      <c r="W22" s="39">
        <v>-40196.239999999998</v>
      </c>
      <c r="X22" s="39">
        <v>21663.15</v>
      </c>
      <c r="Y22" s="38"/>
      <c r="Z22" s="38"/>
      <c r="AA22" s="38"/>
      <c r="AB22" s="38"/>
      <c r="AC22" s="24">
        <f>SUMIFS('逐券逐月(WAVG)'!K:K,'逐券逐月(WAVG)'!$A:$A,逐券汇总!$D22)</f>
        <v>0</v>
      </c>
      <c r="AD22" s="24">
        <f>SUMIFS('逐券逐月(WAVG)'!L:L,'逐券逐月(WAVG)'!$A:$A,逐券汇总!$D22)</f>
        <v>0</v>
      </c>
      <c r="AE22" s="24">
        <f>SUMIFS('逐券逐月(WAVG)'!M:M,'逐券逐月(WAVG)'!$A:$A,逐券汇总!$D22)</f>
        <v>0</v>
      </c>
      <c r="AF22" s="24">
        <f>SUMIFS('逐券逐月(WAVG)'!N:N,'逐券逐月(WAVG)'!$A:$A,逐券汇总!$D22)</f>
        <v>0</v>
      </c>
      <c r="AG22" s="24">
        <f>SUMIFS('逐券逐月(WAVG)'!O:O,'逐券逐月(WAVG)'!$A:$A,逐券汇总!$D22)</f>
        <v>0</v>
      </c>
      <c r="AH22" s="24">
        <f>SUMIFS('逐券逐月(WAVG)'!P:P,'逐券逐月(WAVG)'!$A:$A,逐券汇总!$D22)</f>
        <v>-21600</v>
      </c>
      <c r="AI22" s="24">
        <f>SUMIFS('逐券逐月(WAVG)'!Q:Q,'逐券逐月(WAVG)'!$A:$A,逐券汇总!$D22)</f>
        <v>-39600</v>
      </c>
      <c r="AJ22" s="24">
        <f>SUMIFS('逐券逐月(WAVG)'!R:R,'逐券逐月(WAVG)'!$A:$A,逐券汇总!$D22)</f>
        <v>21600</v>
      </c>
      <c r="AK22" s="24">
        <f>SUMIFS('逐券逐月(WAVG)'!S:S,'逐券逐月(WAVG)'!$A:$A,逐券汇总!$D22)</f>
        <v>0</v>
      </c>
      <c r="AL22" s="24">
        <f>SUMIFS('逐券逐月(WAVG)'!T:T,'逐券逐月(WAVG)'!$A:$A,逐券汇总!$D22)</f>
        <v>0</v>
      </c>
      <c r="AM22" s="24">
        <f>SUMIFS('逐券逐月(WAVG)'!U:U,'逐券逐月(WAVG)'!$A:$A,逐券汇总!$D22)</f>
        <v>0</v>
      </c>
      <c r="AN22" s="24">
        <f>SUMIFS('逐券逐月(WAVG)'!V:V,'逐券逐月(WAVG)'!$A:$A,逐券汇总!$D22)</f>
        <v>0</v>
      </c>
    </row>
    <row r="23" spans="1:40" x14ac:dyDescent="0.35">
      <c r="A23" s="36"/>
      <c r="B23" s="36"/>
      <c r="C23" s="37">
        <v>601818</v>
      </c>
      <c r="D23" s="37" t="s">
        <v>86</v>
      </c>
      <c r="E23" s="24">
        <f t="shared" si="11"/>
        <v>0</v>
      </c>
      <c r="F23" s="24">
        <f t="shared" si="0"/>
        <v>0</v>
      </c>
      <c r="G23" s="24">
        <f t="shared" si="1"/>
        <v>0</v>
      </c>
      <c r="H23" s="24">
        <f t="shared" si="2"/>
        <v>0</v>
      </c>
      <c r="I23" s="24">
        <f t="shared" si="3"/>
        <v>0</v>
      </c>
      <c r="J23" s="24">
        <f t="shared" si="4"/>
        <v>0</v>
      </c>
      <c r="K23" s="24">
        <f t="shared" si="5"/>
        <v>0</v>
      </c>
      <c r="L23" s="24">
        <f t="shared" si="6"/>
        <v>0</v>
      </c>
      <c r="M23" s="24">
        <f t="shared" si="7"/>
        <v>0</v>
      </c>
      <c r="N23" s="24">
        <f t="shared" si="8"/>
        <v>0</v>
      </c>
      <c r="O23" s="24">
        <f t="shared" si="9"/>
        <v>0</v>
      </c>
      <c r="P23" s="24">
        <f t="shared" si="10"/>
        <v>0</v>
      </c>
      <c r="Q23" s="38"/>
      <c r="R23" s="39">
        <v>-459000</v>
      </c>
      <c r="S23" s="38"/>
      <c r="T23" s="39">
        <v>-216000</v>
      </c>
      <c r="U23" s="38"/>
      <c r="V23" s="39">
        <v>-81000</v>
      </c>
      <c r="W23" s="38"/>
      <c r="X23" s="39">
        <v>-243000</v>
      </c>
      <c r="Y23" s="38"/>
      <c r="Z23" s="39">
        <v>-54000</v>
      </c>
      <c r="AA23" s="38"/>
      <c r="AB23" s="39">
        <v>54000</v>
      </c>
      <c r="AC23" s="24">
        <f>SUMIFS('逐券逐月(WAVG)'!K:K,'逐券逐月(WAVG)'!$A:$A,逐券汇总!$D23)</f>
        <v>0</v>
      </c>
      <c r="AD23" s="24">
        <f>SUMIFS('逐券逐月(WAVG)'!L:L,'逐券逐月(WAVG)'!$A:$A,逐券汇总!$D23)</f>
        <v>-459000</v>
      </c>
      <c r="AE23" s="24">
        <f>SUMIFS('逐券逐月(WAVG)'!M:M,'逐券逐月(WAVG)'!$A:$A,逐券汇总!$D23)</f>
        <v>0</v>
      </c>
      <c r="AF23" s="24">
        <f>SUMIFS('逐券逐月(WAVG)'!N:N,'逐券逐月(WAVG)'!$A:$A,逐券汇总!$D23)</f>
        <v>-216000</v>
      </c>
      <c r="AG23" s="24">
        <f>SUMIFS('逐券逐月(WAVG)'!O:O,'逐券逐月(WAVG)'!$A:$A,逐券汇总!$D23)</f>
        <v>0</v>
      </c>
      <c r="AH23" s="24">
        <f>SUMIFS('逐券逐月(WAVG)'!P:P,'逐券逐月(WAVG)'!$A:$A,逐券汇总!$D23)</f>
        <v>-81000</v>
      </c>
      <c r="AI23" s="24">
        <f>SUMIFS('逐券逐月(WAVG)'!Q:Q,'逐券逐月(WAVG)'!$A:$A,逐券汇总!$D23)</f>
        <v>0</v>
      </c>
      <c r="AJ23" s="24">
        <f>SUMIFS('逐券逐月(WAVG)'!R:R,'逐券逐月(WAVG)'!$A:$A,逐券汇总!$D23)</f>
        <v>-243000</v>
      </c>
      <c r="AK23" s="24">
        <f>SUMIFS('逐券逐月(WAVG)'!S:S,'逐券逐月(WAVG)'!$A:$A,逐券汇总!$D23)</f>
        <v>0</v>
      </c>
      <c r="AL23" s="24">
        <f>SUMIFS('逐券逐月(WAVG)'!T:T,'逐券逐月(WAVG)'!$A:$A,逐券汇总!$D23)</f>
        <v>-54000</v>
      </c>
      <c r="AM23" s="24">
        <f>SUMIFS('逐券逐月(WAVG)'!U:U,'逐券逐月(WAVG)'!$A:$A,逐券汇总!$D23)</f>
        <v>0</v>
      </c>
      <c r="AN23" s="24">
        <f>SUMIFS('逐券逐月(WAVG)'!V:V,'逐券逐月(WAVG)'!$A:$A,逐券汇总!$D23)</f>
        <v>54000</v>
      </c>
    </row>
    <row r="24" spans="1:40" x14ac:dyDescent="0.35">
      <c r="A24" s="36"/>
      <c r="B24" s="36"/>
      <c r="C24" s="37">
        <v>601825</v>
      </c>
      <c r="D24" s="37" t="s">
        <v>89</v>
      </c>
      <c r="E24" s="24">
        <f t="shared" si="11"/>
        <v>0</v>
      </c>
      <c r="F24" s="24">
        <f t="shared" si="0"/>
        <v>0</v>
      </c>
      <c r="G24" s="24">
        <f t="shared" si="1"/>
        <v>0</v>
      </c>
      <c r="H24" s="24">
        <f t="shared" si="2"/>
        <v>82.840000000000146</v>
      </c>
      <c r="I24" s="24">
        <f t="shared" si="3"/>
        <v>0</v>
      </c>
      <c r="J24" s="24">
        <f t="shared" si="4"/>
        <v>0</v>
      </c>
      <c r="K24" s="24">
        <f t="shared" si="5"/>
        <v>861.47999999999593</v>
      </c>
      <c r="L24" s="24">
        <f t="shared" si="6"/>
        <v>-82.839999999996508</v>
      </c>
      <c r="M24" s="24">
        <f t="shared" si="7"/>
        <v>0</v>
      </c>
      <c r="N24" s="24">
        <f t="shared" si="8"/>
        <v>0</v>
      </c>
      <c r="O24" s="24">
        <f t="shared" si="9"/>
        <v>0</v>
      </c>
      <c r="P24" s="24">
        <f t="shared" si="10"/>
        <v>0</v>
      </c>
      <c r="Q24" s="38"/>
      <c r="R24" s="38"/>
      <c r="S24" s="38"/>
      <c r="T24" s="39">
        <v>-27982.84</v>
      </c>
      <c r="U24" s="38"/>
      <c r="V24" s="39">
        <v>105000</v>
      </c>
      <c r="W24" s="39">
        <v>89738.52</v>
      </c>
      <c r="X24" s="39">
        <v>-77017.16</v>
      </c>
      <c r="Y24" s="38"/>
      <c r="Z24" s="38"/>
      <c r="AA24" s="38"/>
      <c r="AB24" s="38"/>
      <c r="AC24" s="24">
        <f>SUMIFS('逐券逐月(WAVG)'!K:K,'逐券逐月(WAVG)'!$A:$A,逐券汇总!$D24)</f>
        <v>0</v>
      </c>
      <c r="AD24" s="24">
        <f>SUMIFS('逐券逐月(WAVG)'!L:L,'逐券逐月(WAVG)'!$A:$A,逐券汇总!$D24)</f>
        <v>0</v>
      </c>
      <c r="AE24" s="24">
        <f>SUMIFS('逐券逐月(WAVG)'!M:M,'逐券逐月(WAVG)'!$A:$A,逐券汇总!$D24)</f>
        <v>0</v>
      </c>
      <c r="AF24" s="24">
        <f>SUMIFS('逐券逐月(WAVG)'!N:N,'逐券逐月(WAVG)'!$A:$A,逐券汇总!$D24)</f>
        <v>-27900</v>
      </c>
      <c r="AG24" s="24">
        <f>SUMIFS('逐券逐月(WAVG)'!O:O,'逐券逐月(WAVG)'!$A:$A,逐券汇总!$D24)</f>
        <v>0</v>
      </c>
      <c r="AH24" s="24">
        <f>SUMIFS('逐券逐月(WAVG)'!P:P,'逐券逐月(WAVG)'!$A:$A,逐券汇总!$D24)</f>
        <v>105000</v>
      </c>
      <c r="AI24" s="24">
        <f>SUMIFS('逐券逐月(WAVG)'!Q:Q,'逐券逐月(WAVG)'!$A:$A,逐券汇总!$D24)</f>
        <v>90600</v>
      </c>
      <c r="AJ24" s="24">
        <f>SUMIFS('逐券逐月(WAVG)'!R:R,'逐券逐月(WAVG)'!$A:$A,逐券汇总!$D24)</f>
        <v>-77100</v>
      </c>
      <c r="AK24" s="24">
        <f>SUMIFS('逐券逐月(WAVG)'!S:S,'逐券逐月(WAVG)'!$A:$A,逐券汇总!$D24)</f>
        <v>0</v>
      </c>
      <c r="AL24" s="24">
        <f>SUMIFS('逐券逐月(WAVG)'!T:T,'逐券逐月(WAVG)'!$A:$A,逐券汇总!$D24)</f>
        <v>0</v>
      </c>
      <c r="AM24" s="24">
        <f>SUMIFS('逐券逐月(WAVG)'!U:U,'逐券逐月(WAVG)'!$A:$A,逐券汇总!$D24)</f>
        <v>0</v>
      </c>
      <c r="AN24" s="24">
        <f>SUMIFS('逐券逐月(WAVG)'!V:V,'逐券逐月(WAVG)'!$A:$A,逐券汇总!$D24)</f>
        <v>0</v>
      </c>
    </row>
    <row r="25" spans="1:40" x14ac:dyDescent="0.35">
      <c r="A25" s="36"/>
      <c r="B25" s="36"/>
      <c r="C25" s="37">
        <v>601900</v>
      </c>
      <c r="D25" s="37" t="s">
        <v>92</v>
      </c>
      <c r="E25" s="24">
        <f t="shared" si="11"/>
        <v>1843.1699999999837</v>
      </c>
      <c r="F25" s="24">
        <f t="shared" si="0"/>
        <v>0</v>
      </c>
      <c r="G25" s="24">
        <f t="shared" si="1"/>
        <v>0</v>
      </c>
      <c r="H25" s="24">
        <f t="shared" si="2"/>
        <v>0</v>
      </c>
      <c r="I25" s="24">
        <f t="shared" si="3"/>
        <v>0</v>
      </c>
      <c r="J25" s="24">
        <f t="shared" si="4"/>
        <v>0</v>
      </c>
      <c r="K25" s="24">
        <f t="shared" si="5"/>
        <v>0</v>
      </c>
      <c r="L25" s="24">
        <f t="shared" si="6"/>
        <v>0</v>
      </c>
      <c r="M25" s="24">
        <f t="shared" si="7"/>
        <v>0</v>
      </c>
      <c r="N25" s="24">
        <f t="shared" si="8"/>
        <v>0</v>
      </c>
      <c r="O25" s="24">
        <f t="shared" si="9"/>
        <v>0</v>
      </c>
      <c r="P25" s="24">
        <f t="shared" si="10"/>
        <v>0</v>
      </c>
      <c r="Q25" s="39">
        <v>171789.54</v>
      </c>
      <c r="R25" s="39">
        <v>411896.29</v>
      </c>
      <c r="S25" s="38">
        <v>0</v>
      </c>
      <c r="T25" s="38"/>
      <c r="U25" s="38"/>
      <c r="V25" s="38"/>
      <c r="W25" s="38"/>
      <c r="X25" s="38"/>
      <c r="Y25" s="38"/>
      <c r="Z25" s="38"/>
      <c r="AA25" s="38"/>
      <c r="AB25" s="38"/>
      <c r="AC25" s="24">
        <f>SUMIFS('逐券逐月(WAVG)'!K:K,'逐券逐月(WAVG)'!$A:$A,逐券汇总!$D25)</f>
        <v>173632.71</v>
      </c>
      <c r="AD25" s="24">
        <f>SUMIFS('逐券逐月(WAVG)'!L:L,'逐券逐月(WAVG)'!$A:$A,逐券汇总!$D25)</f>
        <v>411896.29</v>
      </c>
      <c r="AE25" s="24">
        <f>SUMIFS('逐券逐月(WAVG)'!M:M,'逐券逐月(WAVG)'!$A:$A,逐券汇总!$D25)</f>
        <v>0</v>
      </c>
      <c r="AF25" s="24">
        <f>SUMIFS('逐券逐月(WAVG)'!N:N,'逐券逐月(WAVG)'!$A:$A,逐券汇总!$D25)</f>
        <v>0</v>
      </c>
      <c r="AG25" s="24">
        <f>SUMIFS('逐券逐月(WAVG)'!O:O,'逐券逐月(WAVG)'!$A:$A,逐券汇总!$D25)</f>
        <v>0</v>
      </c>
      <c r="AH25" s="24">
        <f>SUMIFS('逐券逐月(WAVG)'!P:P,'逐券逐月(WAVG)'!$A:$A,逐券汇总!$D25)</f>
        <v>0</v>
      </c>
      <c r="AI25" s="24">
        <f>SUMIFS('逐券逐月(WAVG)'!Q:Q,'逐券逐月(WAVG)'!$A:$A,逐券汇总!$D25)</f>
        <v>0</v>
      </c>
      <c r="AJ25" s="24">
        <f>SUMIFS('逐券逐月(WAVG)'!R:R,'逐券逐月(WAVG)'!$A:$A,逐券汇总!$D25)</f>
        <v>0</v>
      </c>
      <c r="AK25" s="24">
        <f>SUMIFS('逐券逐月(WAVG)'!S:S,'逐券逐月(WAVG)'!$A:$A,逐券汇总!$D25)</f>
        <v>0</v>
      </c>
      <c r="AL25" s="24">
        <f>SUMIFS('逐券逐月(WAVG)'!T:T,'逐券逐月(WAVG)'!$A:$A,逐券汇总!$D25)</f>
        <v>0</v>
      </c>
      <c r="AM25" s="24">
        <f>SUMIFS('逐券逐月(WAVG)'!U:U,'逐券逐月(WAVG)'!$A:$A,逐券汇总!$D25)</f>
        <v>0</v>
      </c>
      <c r="AN25" s="24">
        <f>SUMIFS('逐券逐月(WAVG)'!V:V,'逐券逐月(WAVG)'!$A:$A,逐券汇总!$D25)</f>
        <v>0</v>
      </c>
    </row>
    <row r="26" spans="1:40" x14ac:dyDescent="0.35">
      <c r="A26" s="36"/>
      <c r="B26" s="36"/>
      <c r="C26" s="37">
        <v>603198</v>
      </c>
      <c r="D26" s="37" t="s">
        <v>95</v>
      </c>
      <c r="E26" s="24">
        <f t="shared" si="11"/>
        <v>1313.7999999999884</v>
      </c>
      <c r="F26" s="24">
        <f t="shared" si="0"/>
        <v>0</v>
      </c>
      <c r="G26" s="24">
        <f t="shared" si="1"/>
        <v>0</v>
      </c>
      <c r="H26" s="24">
        <f t="shared" si="2"/>
        <v>0</v>
      </c>
      <c r="I26" s="24">
        <f t="shared" si="3"/>
        <v>0</v>
      </c>
      <c r="J26" s="24">
        <f t="shared" si="4"/>
        <v>0</v>
      </c>
      <c r="K26" s="24">
        <f t="shared" si="5"/>
        <v>0</v>
      </c>
      <c r="L26" s="24">
        <f t="shared" si="6"/>
        <v>0</v>
      </c>
      <c r="M26" s="24">
        <f t="shared" si="7"/>
        <v>0</v>
      </c>
      <c r="N26" s="24">
        <f t="shared" si="8"/>
        <v>0</v>
      </c>
      <c r="O26" s="24">
        <f t="shared" si="9"/>
        <v>0</v>
      </c>
      <c r="P26" s="24">
        <f t="shared" si="10"/>
        <v>0</v>
      </c>
      <c r="Q26" s="39">
        <v>-310273.7</v>
      </c>
      <c r="R26" s="39">
        <v>264359.90000000002</v>
      </c>
      <c r="S26" s="38">
        <v>0</v>
      </c>
      <c r="T26" s="38"/>
      <c r="U26" s="38"/>
      <c r="V26" s="38"/>
      <c r="W26" s="38"/>
      <c r="X26" s="38"/>
      <c r="Y26" s="38"/>
      <c r="Z26" s="38"/>
      <c r="AA26" s="38"/>
      <c r="AB26" s="38"/>
      <c r="AC26" s="24">
        <f>SUMIFS('逐券逐月(WAVG)'!K:K,'逐券逐月(WAVG)'!$A:$A,逐券汇总!$D26)</f>
        <v>-308959.90000000002</v>
      </c>
      <c r="AD26" s="24">
        <f>SUMIFS('逐券逐月(WAVG)'!L:L,'逐券逐月(WAVG)'!$A:$A,逐券汇总!$D26)</f>
        <v>264359.90000000002</v>
      </c>
      <c r="AE26" s="24">
        <f>SUMIFS('逐券逐月(WAVG)'!M:M,'逐券逐月(WAVG)'!$A:$A,逐券汇总!$D26)</f>
        <v>0</v>
      </c>
      <c r="AF26" s="24">
        <f>SUMIFS('逐券逐月(WAVG)'!N:N,'逐券逐月(WAVG)'!$A:$A,逐券汇总!$D26)</f>
        <v>0</v>
      </c>
      <c r="AG26" s="24">
        <f>SUMIFS('逐券逐月(WAVG)'!O:O,'逐券逐月(WAVG)'!$A:$A,逐券汇总!$D26)</f>
        <v>0</v>
      </c>
      <c r="AH26" s="24">
        <f>SUMIFS('逐券逐月(WAVG)'!P:P,'逐券逐月(WAVG)'!$A:$A,逐券汇总!$D26)</f>
        <v>0</v>
      </c>
      <c r="AI26" s="24">
        <f>SUMIFS('逐券逐月(WAVG)'!Q:Q,'逐券逐月(WAVG)'!$A:$A,逐券汇总!$D26)</f>
        <v>0</v>
      </c>
      <c r="AJ26" s="24">
        <f>SUMIFS('逐券逐月(WAVG)'!R:R,'逐券逐月(WAVG)'!$A:$A,逐券汇总!$D26)</f>
        <v>0</v>
      </c>
      <c r="AK26" s="24">
        <f>SUMIFS('逐券逐月(WAVG)'!S:S,'逐券逐月(WAVG)'!$A:$A,逐券汇总!$D26)</f>
        <v>0</v>
      </c>
      <c r="AL26" s="24">
        <f>SUMIFS('逐券逐月(WAVG)'!T:T,'逐券逐月(WAVG)'!$A:$A,逐券汇总!$D26)</f>
        <v>0</v>
      </c>
      <c r="AM26" s="24">
        <f>SUMIFS('逐券逐月(WAVG)'!U:U,'逐券逐月(WAVG)'!$A:$A,逐券汇总!$D26)</f>
        <v>0</v>
      </c>
      <c r="AN26" s="24">
        <f>SUMIFS('逐券逐月(WAVG)'!V:V,'逐券逐月(WAVG)'!$A:$A,逐券汇总!$D26)</f>
        <v>0</v>
      </c>
    </row>
    <row r="27" spans="1:40" x14ac:dyDescent="0.35">
      <c r="A27" s="36"/>
      <c r="B27" s="36"/>
      <c r="C27" s="37">
        <v>603369</v>
      </c>
      <c r="D27" s="37" t="s">
        <v>98</v>
      </c>
      <c r="E27" s="24">
        <f t="shared" si="11"/>
        <v>1152.2800000000279</v>
      </c>
      <c r="F27" s="24">
        <f t="shared" si="0"/>
        <v>0</v>
      </c>
      <c r="G27" s="24">
        <f t="shared" si="1"/>
        <v>0</v>
      </c>
      <c r="H27" s="24">
        <f t="shared" si="2"/>
        <v>0</v>
      </c>
      <c r="I27" s="24">
        <f t="shared" si="3"/>
        <v>0</v>
      </c>
      <c r="J27" s="24">
        <f t="shared" si="4"/>
        <v>0</v>
      </c>
      <c r="K27" s="24">
        <f t="shared" si="5"/>
        <v>0</v>
      </c>
      <c r="L27" s="24">
        <f t="shared" si="6"/>
        <v>0</v>
      </c>
      <c r="M27" s="24">
        <f t="shared" si="7"/>
        <v>0</v>
      </c>
      <c r="N27" s="24">
        <f t="shared" si="8"/>
        <v>0</v>
      </c>
      <c r="O27" s="24">
        <f t="shared" si="9"/>
        <v>0</v>
      </c>
      <c r="P27" s="24">
        <f t="shared" si="10"/>
        <v>0</v>
      </c>
      <c r="Q27" s="39">
        <v>-419369.95</v>
      </c>
      <c r="R27" s="39">
        <v>374195.67</v>
      </c>
      <c r="S27" s="38">
        <v>0</v>
      </c>
      <c r="T27" s="38"/>
      <c r="U27" s="38"/>
      <c r="V27" s="38"/>
      <c r="W27" s="38"/>
      <c r="X27" s="38"/>
      <c r="Y27" s="38"/>
      <c r="Z27" s="38"/>
      <c r="AA27" s="38"/>
      <c r="AB27" s="38"/>
      <c r="AC27" s="24">
        <f>SUMIFS('逐券逐月(WAVG)'!K:K,'逐券逐月(WAVG)'!$A:$A,逐券汇总!$D27)</f>
        <v>-418217.67</v>
      </c>
      <c r="AD27" s="24">
        <f>SUMIFS('逐券逐月(WAVG)'!L:L,'逐券逐月(WAVG)'!$A:$A,逐券汇总!$D27)</f>
        <v>374195.67</v>
      </c>
      <c r="AE27" s="24">
        <f>SUMIFS('逐券逐月(WAVG)'!M:M,'逐券逐月(WAVG)'!$A:$A,逐券汇总!$D27)</f>
        <v>0</v>
      </c>
      <c r="AF27" s="24">
        <f>SUMIFS('逐券逐月(WAVG)'!N:N,'逐券逐月(WAVG)'!$A:$A,逐券汇总!$D27)</f>
        <v>0</v>
      </c>
      <c r="AG27" s="24">
        <f>SUMIFS('逐券逐月(WAVG)'!O:O,'逐券逐月(WAVG)'!$A:$A,逐券汇总!$D27)</f>
        <v>0</v>
      </c>
      <c r="AH27" s="24">
        <f>SUMIFS('逐券逐月(WAVG)'!P:P,'逐券逐月(WAVG)'!$A:$A,逐券汇总!$D27)</f>
        <v>0</v>
      </c>
      <c r="AI27" s="24">
        <f>SUMIFS('逐券逐月(WAVG)'!Q:Q,'逐券逐月(WAVG)'!$A:$A,逐券汇总!$D27)</f>
        <v>0</v>
      </c>
      <c r="AJ27" s="24">
        <f>SUMIFS('逐券逐月(WAVG)'!R:R,'逐券逐月(WAVG)'!$A:$A,逐券汇总!$D27)</f>
        <v>0</v>
      </c>
      <c r="AK27" s="24">
        <f>SUMIFS('逐券逐月(WAVG)'!S:S,'逐券逐月(WAVG)'!$A:$A,逐券汇总!$D27)</f>
        <v>0</v>
      </c>
      <c r="AL27" s="24">
        <f>SUMIFS('逐券逐月(WAVG)'!T:T,'逐券逐月(WAVG)'!$A:$A,逐券汇总!$D27)</f>
        <v>0</v>
      </c>
      <c r="AM27" s="24">
        <f>SUMIFS('逐券逐月(WAVG)'!U:U,'逐券逐月(WAVG)'!$A:$A,逐券汇总!$D27)</f>
        <v>0</v>
      </c>
      <c r="AN27" s="24">
        <f>SUMIFS('逐券逐月(WAVG)'!V:V,'逐券逐月(WAVG)'!$A:$A,逐券汇总!$D27)</f>
        <v>0</v>
      </c>
    </row>
    <row r="28" spans="1:40" ht="19" x14ac:dyDescent="0.35">
      <c r="A28" s="36"/>
      <c r="B28" s="36"/>
      <c r="C28" s="37" t="s">
        <v>254</v>
      </c>
      <c r="D28" s="37" t="s">
        <v>101</v>
      </c>
      <c r="E28" s="24">
        <f t="shared" si="11"/>
        <v>0</v>
      </c>
      <c r="F28" s="24">
        <f t="shared" si="0"/>
        <v>0</v>
      </c>
      <c r="G28" s="24">
        <f t="shared" si="1"/>
        <v>0</v>
      </c>
      <c r="H28" s="24">
        <f t="shared" si="2"/>
        <v>0</v>
      </c>
      <c r="I28" s="24">
        <f t="shared" si="3"/>
        <v>0</v>
      </c>
      <c r="J28" s="24">
        <f t="shared" si="4"/>
        <v>0</v>
      </c>
      <c r="K28" s="24">
        <f t="shared" si="5"/>
        <v>0</v>
      </c>
      <c r="L28" s="24">
        <f t="shared" si="6"/>
        <v>0</v>
      </c>
      <c r="M28" s="24">
        <f t="shared" si="7"/>
        <v>0</v>
      </c>
      <c r="N28" s="24">
        <f t="shared" si="8"/>
        <v>0</v>
      </c>
      <c r="O28" s="24">
        <f t="shared" si="9"/>
        <v>0</v>
      </c>
      <c r="P28" s="24">
        <f t="shared" si="10"/>
        <v>0</v>
      </c>
      <c r="Q28" s="38"/>
      <c r="R28" s="39">
        <v>127935.6</v>
      </c>
      <c r="S28" s="38"/>
      <c r="T28" s="39">
        <v>-171944.5</v>
      </c>
      <c r="U28" s="38"/>
      <c r="V28" s="39">
        <v>7897.5</v>
      </c>
      <c r="W28" s="38"/>
      <c r="X28" s="39">
        <v>236692.3</v>
      </c>
      <c r="Y28" s="38"/>
      <c r="Z28" s="39">
        <v>-120127.8</v>
      </c>
      <c r="AA28" s="38"/>
      <c r="AB28" s="39">
        <v>283260.90000000002</v>
      </c>
      <c r="AC28" s="24">
        <f>SUMIFS('逐券逐月(WAVG)'!K:K,'逐券逐月(WAVG)'!$A:$A,逐券汇总!$D28)</f>
        <v>0</v>
      </c>
      <c r="AD28" s="24">
        <f>SUMIFS('逐券逐月(WAVG)'!L:L,'逐券逐月(WAVG)'!$A:$A,逐券汇总!$D28)</f>
        <v>127935.6</v>
      </c>
      <c r="AE28" s="24">
        <f>SUMIFS('逐券逐月(WAVG)'!M:M,'逐券逐月(WAVG)'!$A:$A,逐券汇总!$D28)</f>
        <v>0</v>
      </c>
      <c r="AF28" s="24">
        <f>SUMIFS('逐券逐月(WAVG)'!N:N,'逐券逐月(WAVG)'!$A:$A,逐券汇总!$D28)</f>
        <v>-171944.5</v>
      </c>
      <c r="AG28" s="24">
        <f>SUMIFS('逐券逐月(WAVG)'!O:O,'逐券逐月(WAVG)'!$A:$A,逐券汇总!$D28)</f>
        <v>0</v>
      </c>
      <c r="AH28" s="24">
        <f>SUMIFS('逐券逐月(WAVG)'!P:P,'逐券逐月(WAVG)'!$A:$A,逐券汇总!$D28)</f>
        <v>7897.5</v>
      </c>
      <c r="AI28" s="24">
        <f>SUMIFS('逐券逐月(WAVG)'!Q:Q,'逐券逐月(WAVG)'!$A:$A,逐券汇总!$D28)</f>
        <v>0</v>
      </c>
      <c r="AJ28" s="24">
        <f>SUMIFS('逐券逐月(WAVG)'!R:R,'逐券逐月(WAVG)'!$A:$A,逐券汇总!$D28)</f>
        <v>236692.3</v>
      </c>
      <c r="AK28" s="24">
        <f>SUMIFS('逐券逐月(WAVG)'!S:S,'逐券逐月(WAVG)'!$A:$A,逐券汇总!$D28)</f>
        <v>0</v>
      </c>
      <c r="AL28" s="24">
        <f>SUMIFS('逐券逐月(WAVG)'!T:T,'逐券逐月(WAVG)'!$A:$A,逐券汇总!$D28)</f>
        <v>-120127.8</v>
      </c>
      <c r="AM28" s="24">
        <f>SUMIFS('逐券逐月(WAVG)'!U:U,'逐券逐月(WAVG)'!$A:$A,逐券汇总!$D28)</f>
        <v>0</v>
      </c>
      <c r="AN28" s="24">
        <f>SUMIFS('逐券逐月(WAVG)'!V:V,'逐券逐月(WAVG)'!$A:$A,逐券汇总!$D28)</f>
        <v>283260.90000000002</v>
      </c>
    </row>
    <row r="29" spans="1:40" x14ac:dyDescent="0.35">
      <c r="A29" s="36"/>
      <c r="B29" s="36"/>
      <c r="C29" s="37" t="s">
        <v>255</v>
      </c>
      <c r="D29" s="37" t="s">
        <v>35</v>
      </c>
      <c r="E29" s="24">
        <f t="shared" si="11"/>
        <v>0</v>
      </c>
      <c r="F29" s="24">
        <f t="shared" si="0"/>
        <v>0</v>
      </c>
      <c r="G29" s="24">
        <f t="shared" si="1"/>
        <v>9219.4699999999721</v>
      </c>
      <c r="H29" s="24">
        <f t="shared" si="2"/>
        <v>0</v>
      </c>
      <c r="I29" s="24">
        <f t="shared" si="3"/>
        <v>0</v>
      </c>
      <c r="J29" s="24">
        <f t="shared" si="4"/>
        <v>0</v>
      </c>
      <c r="K29" s="24">
        <f t="shared" si="5"/>
        <v>0</v>
      </c>
      <c r="L29" s="24">
        <f t="shared" si="6"/>
        <v>0</v>
      </c>
      <c r="M29" s="24">
        <f t="shared" si="7"/>
        <v>0</v>
      </c>
      <c r="N29" s="24">
        <f t="shared" si="8"/>
        <v>0</v>
      </c>
      <c r="O29" s="24">
        <f t="shared" si="9"/>
        <v>0</v>
      </c>
      <c r="P29" s="24">
        <f t="shared" si="10"/>
        <v>0</v>
      </c>
      <c r="Q29" s="38"/>
      <c r="R29" s="39">
        <v>-4845.5</v>
      </c>
      <c r="S29" s="39">
        <v>1193681.33</v>
      </c>
      <c r="T29" s="39">
        <v>-684712.61</v>
      </c>
      <c r="U29" s="38"/>
      <c r="V29" s="38"/>
      <c r="W29" s="38"/>
      <c r="X29" s="38"/>
      <c r="Y29" s="38"/>
      <c r="Z29" s="38"/>
      <c r="AA29" s="38"/>
      <c r="AB29" s="38"/>
      <c r="AC29" s="24">
        <f>SUMIFS('逐券逐月(WAVG)'!K:K,'逐券逐月(WAVG)'!$A:$A,逐券汇总!$D29)-AC5</f>
        <v>0</v>
      </c>
      <c r="AD29" s="24">
        <f>SUMIFS('逐券逐月(WAVG)'!L:L,'逐券逐月(WAVG)'!$A:$A,逐券汇总!$D29)-AD5</f>
        <v>-4845.5</v>
      </c>
      <c r="AE29" s="24">
        <f>SUMIFS('逐券逐月(WAVG)'!M:M,'逐券逐月(WAVG)'!$A:$A,逐券汇总!$D29)-AE5</f>
        <v>1202900.8</v>
      </c>
      <c r="AF29" s="24">
        <f>SUMIFS('逐券逐月(WAVG)'!N:N,'逐券逐月(WAVG)'!$A:$A,逐券汇总!$D29)-AF5</f>
        <v>-684712.61</v>
      </c>
      <c r="AG29" s="24">
        <f>SUMIFS('逐券逐月(WAVG)'!O:O,'逐券逐月(WAVG)'!$A:$A,逐券汇总!$D29)-AG5</f>
        <v>0</v>
      </c>
      <c r="AH29" s="24">
        <f>SUMIFS('逐券逐月(WAVG)'!P:P,'逐券逐月(WAVG)'!$A:$A,逐券汇总!$D29)-AH5</f>
        <v>0</v>
      </c>
      <c r="AI29" s="24">
        <f>SUMIFS('逐券逐月(WAVG)'!Q:Q,'逐券逐月(WAVG)'!$A:$A,逐券汇总!$D29)-AI5</f>
        <v>0</v>
      </c>
      <c r="AJ29" s="24">
        <f>SUMIFS('逐券逐月(WAVG)'!R:R,'逐券逐月(WAVG)'!$A:$A,逐券汇总!$D29)-AJ5</f>
        <v>0</v>
      </c>
      <c r="AK29" s="24">
        <f>SUMIFS('逐券逐月(WAVG)'!S:S,'逐券逐月(WAVG)'!$A:$A,逐券汇总!$D29)-AK5</f>
        <v>0</v>
      </c>
      <c r="AL29" s="24">
        <f>SUMIFS('逐券逐月(WAVG)'!T:T,'逐券逐月(WAVG)'!$A:$A,逐券汇总!$D29)-AL5</f>
        <v>0</v>
      </c>
      <c r="AM29" s="24">
        <f>SUMIFS('逐券逐月(WAVG)'!U:U,'逐券逐月(WAVG)'!$A:$A,逐券汇总!$D29)-AM5</f>
        <v>0</v>
      </c>
      <c r="AN29" s="24">
        <f>SUMIFS('逐券逐月(WAVG)'!V:V,'逐券逐月(WAVG)'!$A:$A,逐券汇总!$D29)-AN5</f>
        <v>0</v>
      </c>
    </row>
    <row r="30" spans="1:40" x14ac:dyDescent="0.35">
      <c r="A30" s="36"/>
      <c r="B30" s="36"/>
      <c r="C30" s="37" t="s">
        <v>256</v>
      </c>
      <c r="D30" s="37" t="s">
        <v>106</v>
      </c>
      <c r="E30" s="24">
        <f t="shared" si="11"/>
        <v>0</v>
      </c>
      <c r="F30" s="24">
        <f t="shared" si="0"/>
        <v>595.69000000000051</v>
      </c>
      <c r="G30" s="24">
        <f t="shared" si="1"/>
        <v>0</v>
      </c>
      <c r="H30" s="24">
        <f t="shared" si="2"/>
        <v>0</v>
      </c>
      <c r="I30" s="24">
        <f t="shared" si="3"/>
        <v>0</v>
      </c>
      <c r="J30" s="24">
        <f t="shared" si="4"/>
        <v>0</v>
      </c>
      <c r="K30" s="24">
        <f t="shared" si="5"/>
        <v>0</v>
      </c>
      <c r="L30" s="24">
        <f t="shared" si="6"/>
        <v>0</v>
      </c>
      <c r="M30" s="24">
        <f t="shared" si="7"/>
        <v>0</v>
      </c>
      <c r="N30" s="24">
        <f t="shared" si="8"/>
        <v>0</v>
      </c>
      <c r="O30" s="24">
        <f t="shared" si="9"/>
        <v>0</v>
      </c>
      <c r="P30" s="24">
        <f t="shared" si="10"/>
        <v>0</v>
      </c>
      <c r="Q30" s="38"/>
      <c r="R30" s="39">
        <v>-7193.55</v>
      </c>
      <c r="S30" s="38"/>
      <c r="T30" s="39">
        <v>579273.5</v>
      </c>
      <c r="U30" s="38"/>
      <c r="V30" s="39">
        <v>13442</v>
      </c>
      <c r="W30" s="38"/>
      <c r="X30" s="39">
        <v>-616798</v>
      </c>
      <c r="Y30" s="38"/>
      <c r="Z30" s="39">
        <v>-109525</v>
      </c>
      <c r="AA30" s="38"/>
      <c r="AB30" s="39">
        <v>-38187.5</v>
      </c>
      <c r="AC30" s="24">
        <f>SUMIFS('逐券逐月(WAVG)'!K:K,'逐券逐月(WAVG)'!$A:$A,逐券汇总!$D30)</f>
        <v>0</v>
      </c>
      <c r="AD30" s="24">
        <f>SUMIFS('逐券逐月(WAVG)'!L:L,'逐券逐月(WAVG)'!$A:$A,逐券汇总!$D30)</f>
        <v>-6597.86</v>
      </c>
      <c r="AE30" s="24">
        <f>SUMIFS('逐券逐月(WAVG)'!M:M,'逐券逐月(WAVG)'!$A:$A,逐券汇总!$D30)</f>
        <v>0</v>
      </c>
      <c r="AF30" s="24">
        <f>SUMIFS('逐券逐月(WAVG)'!N:N,'逐券逐月(WAVG)'!$A:$A,逐券汇总!$D30)</f>
        <v>579273.5</v>
      </c>
      <c r="AG30" s="24">
        <f>SUMIFS('逐券逐月(WAVG)'!O:O,'逐券逐月(WAVG)'!$A:$A,逐券汇总!$D30)</f>
        <v>0</v>
      </c>
      <c r="AH30" s="24">
        <f>SUMIFS('逐券逐月(WAVG)'!P:P,'逐券逐月(WAVG)'!$A:$A,逐券汇总!$D30)</f>
        <v>13442</v>
      </c>
      <c r="AI30" s="24">
        <f>SUMIFS('逐券逐月(WAVG)'!Q:Q,'逐券逐月(WAVG)'!$A:$A,逐券汇总!$D30)</f>
        <v>0</v>
      </c>
      <c r="AJ30" s="24">
        <f>SUMIFS('逐券逐月(WAVG)'!R:R,'逐券逐月(WAVG)'!$A:$A,逐券汇总!$D30)</f>
        <v>-616798</v>
      </c>
      <c r="AK30" s="24">
        <f>SUMIFS('逐券逐月(WAVG)'!S:S,'逐券逐月(WAVG)'!$A:$A,逐券汇总!$D30)</f>
        <v>0</v>
      </c>
      <c r="AL30" s="24">
        <f>SUMIFS('逐券逐月(WAVG)'!T:T,'逐券逐月(WAVG)'!$A:$A,逐券汇总!$D30)</f>
        <v>-109525</v>
      </c>
      <c r="AM30" s="24">
        <f>SUMIFS('逐券逐月(WAVG)'!U:U,'逐券逐月(WAVG)'!$A:$A,逐券汇总!$D30)</f>
        <v>0</v>
      </c>
      <c r="AN30" s="24">
        <f>SUMIFS('逐券逐月(WAVG)'!V:V,'逐券逐月(WAVG)'!$A:$A,逐券汇总!$D30)</f>
        <v>-38187.5</v>
      </c>
    </row>
    <row r="31" spans="1:40" x14ac:dyDescent="0.35">
      <c r="A31" s="36"/>
      <c r="B31" s="36"/>
      <c r="C31" s="37" t="s">
        <v>257</v>
      </c>
      <c r="D31" s="37" t="s">
        <v>109</v>
      </c>
      <c r="E31" s="24">
        <f t="shared" si="11"/>
        <v>0</v>
      </c>
      <c r="F31" s="24">
        <f t="shared" si="0"/>
        <v>0</v>
      </c>
      <c r="G31" s="24">
        <f t="shared" si="1"/>
        <v>0</v>
      </c>
      <c r="H31" s="24">
        <f t="shared" si="2"/>
        <v>0</v>
      </c>
      <c r="I31" s="24">
        <f t="shared" si="3"/>
        <v>0</v>
      </c>
      <c r="J31" s="24">
        <f t="shared" si="4"/>
        <v>0</v>
      </c>
      <c r="K31" s="24">
        <f t="shared" si="5"/>
        <v>0</v>
      </c>
      <c r="L31" s="24">
        <f t="shared" si="6"/>
        <v>0</v>
      </c>
      <c r="M31" s="24">
        <f t="shared" si="7"/>
        <v>0</v>
      </c>
      <c r="N31" s="24">
        <f t="shared" si="8"/>
        <v>0</v>
      </c>
      <c r="O31" s="24">
        <f t="shared" si="9"/>
        <v>0</v>
      </c>
      <c r="P31" s="24">
        <f t="shared" si="10"/>
        <v>0</v>
      </c>
      <c r="Q31" s="38"/>
      <c r="R31" s="39">
        <v>370302</v>
      </c>
      <c r="S31" s="38"/>
      <c r="T31" s="39">
        <v>161330</v>
      </c>
      <c r="U31" s="38"/>
      <c r="V31" s="39">
        <v>-160980</v>
      </c>
      <c r="W31" s="38"/>
      <c r="X31" s="39">
        <v>29788</v>
      </c>
      <c r="Y31" s="38"/>
      <c r="Z31" s="39">
        <v>-106784</v>
      </c>
      <c r="AA31" s="38"/>
      <c r="AB31" s="39">
        <v>-404650</v>
      </c>
      <c r="AC31" s="24">
        <f>SUMIFS('逐券逐月(WAVG)'!K:K,'逐券逐月(WAVG)'!$A:$A,逐券汇总!$D31)</f>
        <v>0</v>
      </c>
      <c r="AD31" s="24">
        <f>SUMIFS('逐券逐月(WAVG)'!L:L,'逐券逐月(WAVG)'!$A:$A,逐券汇总!$D31)</f>
        <v>370302</v>
      </c>
      <c r="AE31" s="24">
        <f>SUMIFS('逐券逐月(WAVG)'!M:M,'逐券逐月(WAVG)'!$A:$A,逐券汇总!$D31)</f>
        <v>0</v>
      </c>
      <c r="AF31" s="24">
        <f>SUMIFS('逐券逐月(WAVG)'!N:N,'逐券逐月(WAVG)'!$A:$A,逐券汇总!$D31)</f>
        <v>161330</v>
      </c>
      <c r="AG31" s="24">
        <f>SUMIFS('逐券逐月(WAVG)'!O:O,'逐券逐月(WAVG)'!$A:$A,逐券汇总!$D31)</f>
        <v>0</v>
      </c>
      <c r="AH31" s="24">
        <f>SUMIFS('逐券逐月(WAVG)'!P:P,'逐券逐月(WAVG)'!$A:$A,逐券汇总!$D31)</f>
        <v>-160980</v>
      </c>
      <c r="AI31" s="24">
        <f>SUMIFS('逐券逐月(WAVG)'!Q:Q,'逐券逐月(WAVG)'!$A:$A,逐券汇总!$D31)</f>
        <v>0</v>
      </c>
      <c r="AJ31" s="24">
        <f>SUMIFS('逐券逐月(WAVG)'!R:R,'逐券逐月(WAVG)'!$A:$A,逐券汇总!$D31)</f>
        <v>29788</v>
      </c>
      <c r="AK31" s="24">
        <f>SUMIFS('逐券逐月(WAVG)'!S:S,'逐券逐月(WAVG)'!$A:$A,逐券汇总!$D31)</f>
        <v>0</v>
      </c>
      <c r="AL31" s="24">
        <f>SUMIFS('逐券逐月(WAVG)'!T:T,'逐券逐月(WAVG)'!$A:$A,逐券汇总!$D31)</f>
        <v>-106784</v>
      </c>
      <c r="AM31" s="24">
        <f>SUMIFS('逐券逐月(WAVG)'!U:U,'逐券逐月(WAVG)'!$A:$A,逐券汇总!$D31)</f>
        <v>0</v>
      </c>
      <c r="AN31" s="24">
        <f>SUMIFS('逐券逐月(WAVG)'!V:V,'逐券逐月(WAVG)'!$A:$A,逐券汇总!$D31)</f>
        <v>-404650</v>
      </c>
    </row>
    <row r="32" spans="1:40" x14ac:dyDescent="0.35">
      <c r="A32" s="36"/>
      <c r="B32" s="36"/>
      <c r="C32" s="37" t="s">
        <v>258</v>
      </c>
      <c r="D32" s="37" t="s">
        <v>112</v>
      </c>
      <c r="E32" s="24">
        <f t="shared" si="11"/>
        <v>0</v>
      </c>
      <c r="F32" s="24">
        <f t="shared" si="0"/>
        <v>0</v>
      </c>
      <c r="G32" s="24">
        <f t="shared" si="1"/>
        <v>0</v>
      </c>
      <c r="H32" s="24">
        <f t="shared" si="2"/>
        <v>0</v>
      </c>
      <c r="I32" s="24">
        <f t="shared" si="3"/>
        <v>0</v>
      </c>
      <c r="J32" s="24">
        <f t="shared" si="4"/>
        <v>0</v>
      </c>
      <c r="K32" s="24">
        <f t="shared" si="5"/>
        <v>0</v>
      </c>
      <c r="L32" s="24">
        <f t="shared" si="6"/>
        <v>0</v>
      </c>
      <c r="M32" s="24">
        <f t="shared" si="7"/>
        <v>0</v>
      </c>
      <c r="N32" s="24">
        <f t="shared" si="8"/>
        <v>4341.6399999998976</v>
      </c>
      <c r="O32" s="24">
        <f t="shared" si="9"/>
        <v>0</v>
      </c>
      <c r="P32" s="24">
        <f t="shared" si="10"/>
        <v>0</v>
      </c>
      <c r="Q32" s="38"/>
      <c r="R32" s="39">
        <v>72754.2</v>
      </c>
      <c r="S32" s="38"/>
      <c r="T32" s="39">
        <v>-341229</v>
      </c>
      <c r="U32" s="38"/>
      <c r="V32" s="39">
        <v>211824</v>
      </c>
      <c r="W32" s="38"/>
      <c r="X32" s="39">
        <v>257930.4</v>
      </c>
      <c r="Y32" s="38"/>
      <c r="Z32" s="39">
        <v>-910373.2</v>
      </c>
      <c r="AA32" s="38"/>
      <c r="AB32" s="39">
        <v>10260</v>
      </c>
      <c r="AC32" s="24">
        <f>SUMIFS('逐券逐月(WAVG)'!K:K,'逐券逐月(WAVG)'!$A:$A,逐券汇总!$D32)</f>
        <v>0</v>
      </c>
      <c r="AD32" s="24">
        <f>SUMIFS('逐券逐月(WAVG)'!L:L,'逐券逐月(WAVG)'!$A:$A,逐券汇总!$D32)</f>
        <v>72754.2</v>
      </c>
      <c r="AE32" s="24">
        <f>SUMIFS('逐券逐月(WAVG)'!M:M,'逐券逐月(WAVG)'!$A:$A,逐券汇总!$D32)</f>
        <v>0</v>
      </c>
      <c r="AF32" s="24">
        <f>SUMIFS('逐券逐月(WAVG)'!N:N,'逐券逐月(WAVG)'!$A:$A,逐券汇总!$D32)</f>
        <v>-341229</v>
      </c>
      <c r="AG32" s="24">
        <f>SUMIFS('逐券逐月(WAVG)'!O:O,'逐券逐月(WAVG)'!$A:$A,逐券汇总!$D32)</f>
        <v>0</v>
      </c>
      <c r="AH32" s="24">
        <f>SUMIFS('逐券逐月(WAVG)'!P:P,'逐券逐月(WAVG)'!$A:$A,逐券汇总!$D32)</f>
        <v>211824</v>
      </c>
      <c r="AI32" s="24">
        <f>SUMIFS('逐券逐月(WAVG)'!Q:Q,'逐券逐月(WAVG)'!$A:$A,逐券汇总!$D32)</f>
        <v>0</v>
      </c>
      <c r="AJ32" s="24">
        <f>SUMIFS('逐券逐月(WAVG)'!R:R,'逐券逐月(WAVG)'!$A:$A,逐券汇总!$D32)</f>
        <v>257930.4</v>
      </c>
      <c r="AK32" s="24">
        <f>SUMIFS('逐券逐月(WAVG)'!S:S,'逐券逐月(WAVG)'!$A:$A,逐券汇总!$D32)</f>
        <v>0</v>
      </c>
      <c r="AL32" s="24">
        <f>SUMIFS('逐券逐月(WAVG)'!T:T,'逐券逐月(WAVG)'!$A:$A,逐券汇总!$D32)</f>
        <v>-906031.56</v>
      </c>
      <c r="AM32" s="24">
        <f>SUMIFS('逐券逐月(WAVG)'!U:U,'逐券逐月(WAVG)'!$A:$A,逐券汇总!$D32)</f>
        <v>0</v>
      </c>
      <c r="AN32" s="24">
        <f>SUMIFS('逐券逐月(WAVG)'!V:V,'逐券逐月(WAVG)'!$A:$A,逐券汇总!$D32)</f>
        <v>10260</v>
      </c>
    </row>
    <row r="33" spans="1:40" x14ac:dyDescent="0.35">
      <c r="A33" s="36"/>
      <c r="B33" s="36"/>
      <c r="C33" s="37" t="s">
        <v>259</v>
      </c>
      <c r="D33" s="37" t="s">
        <v>115</v>
      </c>
      <c r="E33" s="24">
        <f t="shared" si="11"/>
        <v>0</v>
      </c>
      <c r="F33" s="24">
        <f t="shared" si="0"/>
        <v>0</v>
      </c>
      <c r="G33" s="24">
        <f t="shared" si="1"/>
        <v>0</v>
      </c>
      <c r="H33" s="24">
        <f t="shared" si="2"/>
        <v>991.01999999990221</v>
      </c>
      <c r="I33" s="24">
        <f t="shared" si="3"/>
        <v>0</v>
      </c>
      <c r="J33" s="24">
        <f t="shared" si="4"/>
        <v>0</v>
      </c>
      <c r="K33" s="24">
        <f t="shared" si="5"/>
        <v>3231.539999999979</v>
      </c>
      <c r="L33" s="24">
        <f t="shared" si="6"/>
        <v>-312.95000000006985</v>
      </c>
      <c r="M33" s="24">
        <f t="shared" si="7"/>
        <v>7876.9400000000023</v>
      </c>
      <c r="N33" s="24">
        <f t="shared" si="8"/>
        <v>-678.07000000006519</v>
      </c>
      <c r="O33" s="24">
        <f t="shared" si="9"/>
        <v>0</v>
      </c>
      <c r="P33" s="24">
        <f t="shared" si="10"/>
        <v>0</v>
      </c>
      <c r="Q33" s="38"/>
      <c r="R33" s="39">
        <v>-87509.2</v>
      </c>
      <c r="S33" s="38"/>
      <c r="T33" s="39">
        <v>-743627.7</v>
      </c>
      <c r="U33" s="38"/>
      <c r="V33" s="39">
        <v>-166497</v>
      </c>
      <c r="W33" s="39">
        <v>-474137.66</v>
      </c>
      <c r="X33" s="39">
        <v>861656.17</v>
      </c>
      <c r="Y33" s="39">
        <v>-285936.45</v>
      </c>
      <c r="Z33" s="39">
        <v>712962.4</v>
      </c>
      <c r="AA33" s="38"/>
      <c r="AB33" s="38"/>
      <c r="AC33" s="24">
        <f>SUMIFS('逐券逐月(WAVG)'!K:K,'逐券逐月(WAVG)'!$A:$A,逐券汇总!$D33)</f>
        <v>0</v>
      </c>
      <c r="AD33" s="24">
        <f>SUMIFS('逐券逐月(WAVG)'!L:L,'逐券逐月(WAVG)'!$A:$A,逐券汇总!$D33)</f>
        <v>-87509.2</v>
      </c>
      <c r="AE33" s="24">
        <f>SUMIFS('逐券逐月(WAVG)'!M:M,'逐券逐月(WAVG)'!$A:$A,逐券汇总!$D33)</f>
        <v>0</v>
      </c>
      <c r="AF33" s="24">
        <f>SUMIFS('逐券逐月(WAVG)'!N:N,'逐券逐月(WAVG)'!$A:$A,逐券汇总!$D33)</f>
        <v>-742636.68</v>
      </c>
      <c r="AG33" s="24">
        <f>SUMIFS('逐券逐月(WAVG)'!O:O,'逐券逐月(WAVG)'!$A:$A,逐券汇总!$D33)</f>
        <v>0</v>
      </c>
      <c r="AH33" s="24">
        <f>SUMIFS('逐券逐月(WAVG)'!P:P,'逐券逐月(WAVG)'!$A:$A,逐券汇总!$D33)</f>
        <v>-166497</v>
      </c>
      <c r="AI33" s="24">
        <f>SUMIFS('逐券逐月(WAVG)'!Q:Q,'逐券逐月(WAVG)'!$A:$A,逐券汇总!$D33)</f>
        <v>-470906.12</v>
      </c>
      <c r="AJ33" s="24">
        <f>SUMIFS('逐券逐月(WAVG)'!R:R,'逐券逐月(WAVG)'!$A:$A,逐券汇总!$D33)</f>
        <v>861343.22</v>
      </c>
      <c r="AK33" s="24">
        <f>SUMIFS('逐券逐月(WAVG)'!S:S,'逐券逐月(WAVG)'!$A:$A,逐券汇总!$D33)</f>
        <v>-278059.51</v>
      </c>
      <c r="AL33" s="24">
        <f>SUMIFS('逐券逐月(WAVG)'!T:T,'逐券逐月(WAVG)'!$A:$A,逐券汇总!$D33)</f>
        <v>712284.33</v>
      </c>
      <c r="AM33" s="24">
        <f>SUMIFS('逐券逐月(WAVG)'!U:U,'逐券逐月(WAVG)'!$A:$A,逐券汇总!$D33)</f>
        <v>0</v>
      </c>
      <c r="AN33" s="24">
        <f>SUMIFS('逐券逐月(WAVG)'!V:V,'逐券逐月(WAVG)'!$A:$A,逐券汇总!$D33)</f>
        <v>0</v>
      </c>
    </row>
    <row r="34" spans="1:40" x14ac:dyDescent="0.35">
      <c r="A34" s="36"/>
      <c r="B34" s="36"/>
      <c r="C34" s="37" t="s">
        <v>260</v>
      </c>
      <c r="D34" s="37" t="s">
        <v>118</v>
      </c>
      <c r="E34" s="24">
        <f t="shared" si="11"/>
        <v>0</v>
      </c>
      <c r="F34" s="24">
        <f t="shared" si="0"/>
        <v>0</v>
      </c>
      <c r="G34" s="24">
        <f t="shared" si="1"/>
        <v>0</v>
      </c>
      <c r="H34" s="24">
        <f t="shared" si="2"/>
        <v>0</v>
      </c>
      <c r="I34" s="24">
        <f t="shared" si="3"/>
        <v>0</v>
      </c>
      <c r="J34" s="24">
        <f t="shared" si="4"/>
        <v>0</v>
      </c>
      <c r="K34" s="24">
        <f t="shared" si="5"/>
        <v>3194.3099999999395</v>
      </c>
      <c r="L34" s="24">
        <f t="shared" si="6"/>
        <v>-1.0000000009313226E-2</v>
      </c>
      <c r="M34" s="24">
        <f t="shared" si="7"/>
        <v>0</v>
      </c>
      <c r="N34" s="24">
        <f t="shared" si="8"/>
        <v>0</v>
      </c>
      <c r="O34" s="24">
        <f t="shared" si="9"/>
        <v>1326515.72</v>
      </c>
      <c r="P34" s="24">
        <f t="shared" si="10"/>
        <v>-1371993.42</v>
      </c>
      <c r="Q34" s="38"/>
      <c r="R34" s="39">
        <v>111293.72</v>
      </c>
      <c r="S34" s="38"/>
      <c r="T34" s="39">
        <v>-586303</v>
      </c>
      <c r="U34" s="38"/>
      <c r="V34" s="39">
        <v>-441303.6</v>
      </c>
      <c r="W34" s="39">
        <v>-713365.61</v>
      </c>
      <c r="X34" s="39">
        <v>898417.99</v>
      </c>
      <c r="Y34" s="38"/>
      <c r="Z34" s="39">
        <v>174848</v>
      </c>
      <c r="AA34" s="39">
        <v>-1326515.72</v>
      </c>
      <c r="AB34" s="39">
        <v>1135883.02</v>
      </c>
      <c r="AC34" s="24">
        <f>SUMIFS('逐券逐月(WAVG)'!K:K,'逐券逐月(WAVG)'!$A:$A,逐券汇总!$D34)</f>
        <v>0</v>
      </c>
      <c r="AD34" s="24">
        <f>SUMIFS('逐券逐月(WAVG)'!L:L,'逐券逐月(WAVG)'!$A:$A,逐券汇总!$D34)</f>
        <v>111293.72</v>
      </c>
      <c r="AE34" s="24">
        <f>SUMIFS('逐券逐月(WAVG)'!M:M,'逐券逐月(WAVG)'!$A:$A,逐券汇总!$D34)</f>
        <v>0</v>
      </c>
      <c r="AF34" s="24">
        <f>SUMIFS('逐券逐月(WAVG)'!N:N,'逐券逐月(WAVG)'!$A:$A,逐券汇总!$D34)</f>
        <v>-586303</v>
      </c>
      <c r="AG34" s="24">
        <f>SUMIFS('逐券逐月(WAVG)'!O:O,'逐券逐月(WAVG)'!$A:$A,逐券汇总!$D34)</f>
        <v>0</v>
      </c>
      <c r="AH34" s="24">
        <f>SUMIFS('逐券逐月(WAVG)'!P:P,'逐券逐月(WAVG)'!$A:$A,逐券汇总!$D34)</f>
        <v>-441303.6</v>
      </c>
      <c r="AI34" s="24">
        <f>SUMIFS('逐券逐月(WAVG)'!Q:Q,'逐券逐月(WAVG)'!$A:$A,逐券汇总!$D34)</f>
        <v>-710171.3</v>
      </c>
      <c r="AJ34" s="24">
        <f>SUMIFS('逐券逐月(WAVG)'!R:R,'逐券逐月(WAVG)'!$A:$A,逐券汇总!$D34)</f>
        <v>898417.98</v>
      </c>
      <c r="AK34" s="24">
        <f>SUMIFS('逐券逐月(WAVG)'!S:S,'逐券逐月(WAVG)'!$A:$A,逐券汇总!$D34)</f>
        <v>0</v>
      </c>
      <c r="AL34" s="24">
        <f>SUMIFS('逐券逐月(WAVG)'!T:T,'逐券逐月(WAVG)'!$A:$A,逐券汇总!$D34)</f>
        <v>174848</v>
      </c>
      <c r="AM34" s="24">
        <f>SUMIFS('逐券逐月(WAVG)'!U:U,'逐券逐月(WAVG)'!$A:$A,逐券汇总!$D34)</f>
        <v>0</v>
      </c>
      <c r="AN34" s="24">
        <f>SUMIFS('逐券逐月(WAVG)'!V:V,'逐券逐月(WAVG)'!$A:$A,逐券汇总!$D34)</f>
        <v>-236110.4</v>
      </c>
    </row>
    <row r="35" spans="1:40" x14ac:dyDescent="0.35">
      <c r="A35" s="36"/>
      <c r="B35" s="36"/>
      <c r="C35" s="37" t="s">
        <v>261</v>
      </c>
      <c r="D35" s="37" t="s">
        <v>121</v>
      </c>
      <c r="E35" s="24">
        <f t="shared" si="11"/>
        <v>0</v>
      </c>
      <c r="F35" s="24">
        <f t="shared" si="0"/>
        <v>4628.4700000000012</v>
      </c>
      <c r="G35" s="24">
        <f t="shared" si="1"/>
        <v>0</v>
      </c>
      <c r="H35" s="24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1874.8099999999977</v>
      </c>
      <c r="L35" s="24">
        <f t="shared" si="6"/>
        <v>-771.41000000000349</v>
      </c>
      <c r="M35" s="24">
        <f t="shared" si="7"/>
        <v>0</v>
      </c>
      <c r="N35" s="24">
        <f t="shared" si="8"/>
        <v>0</v>
      </c>
      <c r="O35" s="24">
        <f t="shared" si="9"/>
        <v>0</v>
      </c>
      <c r="P35" s="24">
        <f t="shared" si="10"/>
        <v>2218.4199999999983</v>
      </c>
      <c r="Q35" s="38"/>
      <c r="R35" s="39">
        <v>-143798.5</v>
      </c>
      <c r="S35" s="38"/>
      <c r="T35" s="39">
        <v>-162402</v>
      </c>
      <c r="U35" s="38"/>
      <c r="V35" s="39">
        <v>-188796</v>
      </c>
      <c r="W35" s="39">
        <v>-59246.93</v>
      </c>
      <c r="X35" s="39">
        <v>208148.34</v>
      </c>
      <c r="Y35" s="38"/>
      <c r="Z35" s="39">
        <v>-539720</v>
      </c>
      <c r="AA35" s="38"/>
      <c r="AB35" s="39">
        <v>-86453.42</v>
      </c>
      <c r="AC35" s="24">
        <f>SUMIFS('逐券逐月(WAVG)'!K:K,'逐券逐月(WAVG)'!$A:$A,逐券汇总!$D35)</f>
        <v>0</v>
      </c>
      <c r="AD35" s="24">
        <f>SUMIFS('逐券逐月(WAVG)'!L:L,'逐券逐月(WAVG)'!$A:$A,逐券汇总!$D35)</f>
        <v>-139170.03</v>
      </c>
      <c r="AE35" s="24">
        <f>SUMIFS('逐券逐月(WAVG)'!M:M,'逐券逐月(WAVG)'!$A:$A,逐券汇总!$D35)</f>
        <v>0</v>
      </c>
      <c r="AF35" s="24">
        <f>SUMIFS('逐券逐月(WAVG)'!N:N,'逐券逐月(WAVG)'!$A:$A,逐券汇总!$D35)</f>
        <v>-162402</v>
      </c>
      <c r="AG35" s="24">
        <f>SUMIFS('逐券逐月(WAVG)'!O:O,'逐券逐月(WAVG)'!$A:$A,逐券汇总!$D35)</f>
        <v>0</v>
      </c>
      <c r="AH35" s="24">
        <f>SUMIFS('逐券逐月(WAVG)'!P:P,'逐券逐月(WAVG)'!$A:$A,逐券汇总!$D35)</f>
        <v>-188796</v>
      </c>
      <c r="AI35" s="24">
        <f>SUMIFS('逐券逐月(WAVG)'!Q:Q,'逐券逐月(WAVG)'!$A:$A,逐券汇总!$D35)</f>
        <v>-57372.12</v>
      </c>
      <c r="AJ35" s="24">
        <f>SUMIFS('逐券逐月(WAVG)'!R:R,'逐券逐月(WAVG)'!$A:$A,逐券汇总!$D35)</f>
        <v>207376.93</v>
      </c>
      <c r="AK35" s="24">
        <f>SUMIFS('逐券逐月(WAVG)'!S:S,'逐券逐月(WAVG)'!$A:$A,逐券汇总!$D35)</f>
        <v>0</v>
      </c>
      <c r="AL35" s="24">
        <f>SUMIFS('逐券逐月(WAVG)'!T:T,'逐券逐月(WAVG)'!$A:$A,逐券汇总!$D35)</f>
        <v>-539720</v>
      </c>
      <c r="AM35" s="24">
        <f>SUMIFS('逐券逐月(WAVG)'!U:U,'逐券逐月(WAVG)'!$A:$A,逐券汇总!$D35)</f>
        <v>0</v>
      </c>
      <c r="AN35" s="24">
        <f>SUMIFS('逐券逐月(WAVG)'!V:V,'逐券逐月(WAVG)'!$A:$A,逐券汇总!$D35)</f>
        <v>-84235</v>
      </c>
    </row>
    <row r="36" spans="1:40" x14ac:dyDescent="0.35">
      <c r="A36" s="36"/>
      <c r="B36" s="36"/>
      <c r="C36" s="37" t="s">
        <v>262</v>
      </c>
      <c r="D36" s="37" t="s">
        <v>124</v>
      </c>
      <c r="E36" s="24">
        <f t="shared" si="11"/>
        <v>0</v>
      </c>
      <c r="F36" s="24">
        <f t="shared" si="0"/>
        <v>0</v>
      </c>
      <c r="G36" s="24">
        <f t="shared" si="1"/>
        <v>0</v>
      </c>
      <c r="H36" s="24">
        <f t="shared" si="2"/>
        <v>0</v>
      </c>
      <c r="I36" s="24">
        <f t="shared" si="3"/>
        <v>0</v>
      </c>
      <c r="J36" s="24">
        <f t="shared" si="4"/>
        <v>0</v>
      </c>
      <c r="K36" s="24">
        <f t="shared" si="5"/>
        <v>0</v>
      </c>
      <c r="L36" s="24">
        <f t="shared" si="6"/>
        <v>0</v>
      </c>
      <c r="M36" s="24">
        <f t="shared" si="7"/>
        <v>0</v>
      </c>
      <c r="N36" s="24">
        <f t="shared" si="8"/>
        <v>0</v>
      </c>
      <c r="O36" s="24">
        <f t="shared" si="9"/>
        <v>0</v>
      </c>
      <c r="P36" s="24">
        <f t="shared" si="10"/>
        <v>0</v>
      </c>
      <c r="Q36" s="38"/>
      <c r="R36" s="39">
        <v>165194.70000000001</v>
      </c>
      <c r="S36" s="38"/>
      <c r="T36" s="39">
        <v>-231835.5</v>
      </c>
      <c r="U36" s="38"/>
      <c r="V36" s="39">
        <v>64788</v>
      </c>
      <c r="W36" s="38"/>
      <c r="X36" s="39">
        <v>-54009.599999999999</v>
      </c>
      <c r="Y36" s="38"/>
      <c r="Z36" s="39">
        <v>-156086.39999999999</v>
      </c>
      <c r="AA36" s="38"/>
      <c r="AB36" s="39">
        <v>-29751</v>
      </c>
      <c r="AC36" s="24">
        <f>SUMIFS('逐券逐月(WAVG)'!K:K,'逐券逐月(WAVG)'!$A:$A,逐券汇总!$D36)</f>
        <v>0</v>
      </c>
      <c r="AD36" s="24">
        <f>SUMIFS('逐券逐月(WAVG)'!L:L,'逐券逐月(WAVG)'!$A:$A,逐券汇总!$D36)</f>
        <v>165194.70000000001</v>
      </c>
      <c r="AE36" s="24">
        <f>SUMIFS('逐券逐月(WAVG)'!M:M,'逐券逐月(WAVG)'!$A:$A,逐券汇总!$D36)</f>
        <v>0</v>
      </c>
      <c r="AF36" s="24">
        <f>SUMIFS('逐券逐月(WAVG)'!N:N,'逐券逐月(WAVG)'!$A:$A,逐券汇总!$D36)</f>
        <v>-231835.5</v>
      </c>
      <c r="AG36" s="24">
        <f>SUMIFS('逐券逐月(WAVG)'!O:O,'逐券逐月(WAVG)'!$A:$A,逐券汇总!$D36)</f>
        <v>0</v>
      </c>
      <c r="AH36" s="24">
        <f>SUMIFS('逐券逐月(WAVG)'!P:P,'逐券逐月(WAVG)'!$A:$A,逐券汇总!$D36)</f>
        <v>64788</v>
      </c>
      <c r="AI36" s="24">
        <f>SUMIFS('逐券逐月(WAVG)'!Q:Q,'逐券逐月(WAVG)'!$A:$A,逐券汇总!$D36)</f>
        <v>0</v>
      </c>
      <c r="AJ36" s="24">
        <f>SUMIFS('逐券逐月(WAVG)'!R:R,'逐券逐月(WAVG)'!$A:$A,逐券汇总!$D36)</f>
        <v>-54009.599999999999</v>
      </c>
      <c r="AK36" s="24">
        <f>SUMIFS('逐券逐月(WAVG)'!S:S,'逐券逐月(WAVG)'!$A:$A,逐券汇总!$D36)</f>
        <v>0</v>
      </c>
      <c r="AL36" s="24">
        <f>SUMIFS('逐券逐月(WAVG)'!T:T,'逐券逐月(WAVG)'!$A:$A,逐券汇总!$D36)</f>
        <v>-156086.39999999999</v>
      </c>
      <c r="AM36" s="24">
        <f>SUMIFS('逐券逐月(WAVG)'!U:U,'逐券逐月(WAVG)'!$A:$A,逐券汇总!$D36)</f>
        <v>0</v>
      </c>
      <c r="AN36" s="24">
        <f>SUMIFS('逐券逐月(WAVG)'!V:V,'逐券逐月(WAVG)'!$A:$A,逐券汇总!$D36)</f>
        <v>-29751</v>
      </c>
    </row>
    <row r="37" spans="1:40" x14ac:dyDescent="0.35">
      <c r="A37" s="36"/>
      <c r="B37" s="36"/>
      <c r="C37" s="37" t="s">
        <v>263</v>
      </c>
      <c r="D37" s="37" t="s">
        <v>127</v>
      </c>
      <c r="E37" s="24">
        <f t="shared" si="11"/>
        <v>0</v>
      </c>
      <c r="F37" s="24">
        <f t="shared" si="0"/>
        <v>0</v>
      </c>
      <c r="G37" s="24">
        <f t="shared" si="1"/>
        <v>3601.7599999999802</v>
      </c>
      <c r="H37" s="24">
        <f t="shared" si="2"/>
        <v>0</v>
      </c>
      <c r="I37" s="24">
        <f t="shared" si="3"/>
        <v>0</v>
      </c>
      <c r="J37" s="24">
        <f t="shared" si="4"/>
        <v>0</v>
      </c>
      <c r="K37" s="24">
        <f t="shared" si="5"/>
        <v>0</v>
      </c>
      <c r="L37" s="24">
        <f t="shared" si="6"/>
        <v>0</v>
      </c>
      <c r="M37" s="24">
        <f t="shared" si="7"/>
        <v>0</v>
      </c>
      <c r="N37" s="24">
        <f t="shared" si="8"/>
        <v>0</v>
      </c>
      <c r="O37" s="24">
        <f t="shared" si="9"/>
        <v>0</v>
      </c>
      <c r="P37" s="24">
        <f t="shared" si="10"/>
        <v>0</v>
      </c>
      <c r="Q37" s="38"/>
      <c r="R37" s="39">
        <v>59821.2</v>
      </c>
      <c r="S37" s="39">
        <v>-152960.10999999999</v>
      </c>
      <c r="T37" s="39">
        <v>172872.34</v>
      </c>
      <c r="U37" s="38"/>
      <c r="V37" s="38"/>
      <c r="W37" s="38"/>
      <c r="X37" s="38"/>
      <c r="Y37" s="38"/>
      <c r="Z37" s="38"/>
      <c r="AA37" s="38"/>
      <c r="AB37" s="38"/>
      <c r="AC37" s="24">
        <f>SUMIFS('逐券逐月(WAVG)'!K:K,'逐券逐月(WAVG)'!$A:$A,逐券汇总!$D37)</f>
        <v>0</v>
      </c>
      <c r="AD37" s="24">
        <f>SUMIFS('逐券逐月(WAVG)'!L:L,'逐券逐月(WAVG)'!$A:$A,逐券汇总!$D37)</f>
        <v>59821.2</v>
      </c>
      <c r="AE37" s="24">
        <f>SUMIFS('逐券逐月(WAVG)'!M:M,'逐券逐月(WAVG)'!$A:$A,逐券汇总!$D37)</f>
        <v>-149358.35</v>
      </c>
      <c r="AF37" s="24">
        <f>SUMIFS('逐券逐月(WAVG)'!N:N,'逐券逐月(WAVG)'!$A:$A,逐券汇总!$D37)</f>
        <v>172872.34</v>
      </c>
      <c r="AG37" s="24">
        <f>SUMIFS('逐券逐月(WAVG)'!O:O,'逐券逐月(WAVG)'!$A:$A,逐券汇总!$D37)</f>
        <v>0</v>
      </c>
      <c r="AH37" s="24">
        <f>SUMIFS('逐券逐月(WAVG)'!P:P,'逐券逐月(WAVG)'!$A:$A,逐券汇总!$D37)</f>
        <v>0</v>
      </c>
      <c r="AI37" s="24">
        <f>SUMIFS('逐券逐月(WAVG)'!Q:Q,'逐券逐月(WAVG)'!$A:$A,逐券汇总!$D37)</f>
        <v>0</v>
      </c>
      <c r="AJ37" s="24">
        <f>SUMIFS('逐券逐月(WAVG)'!R:R,'逐券逐月(WAVG)'!$A:$A,逐券汇总!$D37)</f>
        <v>0</v>
      </c>
      <c r="AK37" s="24">
        <f>SUMIFS('逐券逐月(WAVG)'!S:S,'逐券逐月(WAVG)'!$A:$A,逐券汇总!$D37)</f>
        <v>0</v>
      </c>
      <c r="AL37" s="24">
        <f>SUMIFS('逐券逐月(WAVG)'!T:T,'逐券逐月(WAVG)'!$A:$A,逐券汇总!$D37)</f>
        <v>0</v>
      </c>
      <c r="AM37" s="24">
        <f>SUMIFS('逐券逐月(WAVG)'!U:U,'逐券逐月(WAVG)'!$A:$A,逐券汇总!$D37)</f>
        <v>0</v>
      </c>
      <c r="AN37" s="24">
        <f>SUMIFS('逐券逐月(WAVG)'!V:V,'逐券逐月(WAVG)'!$A:$A,逐券汇总!$D37)</f>
        <v>0</v>
      </c>
    </row>
    <row r="38" spans="1:40" x14ac:dyDescent="0.35">
      <c r="A38" s="36"/>
      <c r="B38" s="36"/>
      <c r="C38" s="37" t="s">
        <v>264</v>
      </c>
      <c r="D38" s="37" t="s">
        <v>130</v>
      </c>
      <c r="E38" s="24">
        <f t="shared" si="11"/>
        <v>0</v>
      </c>
      <c r="F38" s="24">
        <f t="shared" si="0"/>
        <v>0</v>
      </c>
      <c r="G38" s="24">
        <f t="shared" si="1"/>
        <v>0</v>
      </c>
      <c r="H38" s="24">
        <f t="shared" si="2"/>
        <v>3821.7000000000044</v>
      </c>
      <c r="I38" s="24">
        <f t="shared" si="3"/>
        <v>0</v>
      </c>
      <c r="J38" s="24">
        <f t="shared" si="4"/>
        <v>0</v>
      </c>
      <c r="K38" s="24">
        <f t="shared" si="5"/>
        <v>0</v>
      </c>
      <c r="L38" s="24">
        <f t="shared" si="6"/>
        <v>0</v>
      </c>
      <c r="M38" s="24">
        <f t="shared" si="7"/>
        <v>7765.6000000000058</v>
      </c>
      <c r="N38" s="24">
        <f t="shared" si="8"/>
        <v>-3821.7000000000116</v>
      </c>
      <c r="O38" s="24">
        <f t="shared" si="9"/>
        <v>0</v>
      </c>
      <c r="P38" s="24">
        <f t="shared" si="10"/>
        <v>0</v>
      </c>
      <c r="Q38" s="38"/>
      <c r="R38" s="38"/>
      <c r="S38" s="38"/>
      <c r="T38" s="39">
        <v>-61393.91</v>
      </c>
      <c r="U38" s="38"/>
      <c r="V38" s="39">
        <v>389148</v>
      </c>
      <c r="W38" s="38"/>
      <c r="X38" s="39">
        <v>136066.79999999999</v>
      </c>
      <c r="Y38" s="39">
        <v>114675.78</v>
      </c>
      <c r="Z38" s="39">
        <v>-463820.89</v>
      </c>
      <c r="AA38" s="38"/>
      <c r="AB38" s="38"/>
      <c r="AC38" s="24">
        <f>SUMIFS('逐券逐月(WAVG)'!K:K,'逐券逐月(WAVG)'!$A:$A,逐券汇总!$D38)</f>
        <v>0</v>
      </c>
      <c r="AD38" s="24">
        <f>SUMIFS('逐券逐月(WAVG)'!L:L,'逐券逐月(WAVG)'!$A:$A,逐券汇总!$D38)</f>
        <v>0</v>
      </c>
      <c r="AE38" s="24">
        <f>SUMIFS('逐券逐月(WAVG)'!M:M,'逐券逐月(WAVG)'!$A:$A,逐券汇总!$D38)</f>
        <v>0</v>
      </c>
      <c r="AF38" s="24">
        <f>SUMIFS('逐券逐月(WAVG)'!N:N,'逐券逐月(WAVG)'!$A:$A,逐券汇总!$D38)</f>
        <v>-57572.21</v>
      </c>
      <c r="AG38" s="24">
        <f>SUMIFS('逐券逐月(WAVG)'!O:O,'逐券逐月(WAVG)'!$A:$A,逐券汇总!$D38)</f>
        <v>0</v>
      </c>
      <c r="AH38" s="24">
        <f>SUMIFS('逐券逐月(WAVG)'!P:P,'逐券逐月(WAVG)'!$A:$A,逐券汇总!$D38)</f>
        <v>389148</v>
      </c>
      <c r="AI38" s="24">
        <f>SUMIFS('逐券逐月(WAVG)'!Q:Q,'逐券逐月(WAVG)'!$A:$A,逐券汇总!$D38)</f>
        <v>0</v>
      </c>
      <c r="AJ38" s="24">
        <f>SUMIFS('逐券逐月(WAVG)'!R:R,'逐券逐月(WAVG)'!$A:$A,逐券汇总!$D38)</f>
        <v>136066.79999999999</v>
      </c>
      <c r="AK38" s="24">
        <f>SUMIFS('逐券逐月(WAVG)'!S:S,'逐券逐月(WAVG)'!$A:$A,逐券汇总!$D38)</f>
        <v>122441.38</v>
      </c>
      <c r="AL38" s="24">
        <f>SUMIFS('逐券逐月(WAVG)'!T:T,'逐券逐月(WAVG)'!$A:$A,逐券汇总!$D38)</f>
        <v>-467642.59</v>
      </c>
      <c r="AM38" s="24">
        <f>SUMIFS('逐券逐月(WAVG)'!U:U,'逐券逐月(WAVG)'!$A:$A,逐券汇总!$D38)</f>
        <v>0</v>
      </c>
      <c r="AN38" s="24">
        <f>SUMIFS('逐券逐月(WAVG)'!V:V,'逐券逐月(WAVG)'!$A:$A,逐券汇总!$D38)</f>
        <v>0</v>
      </c>
    </row>
    <row r="39" spans="1:40" x14ac:dyDescent="0.35">
      <c r="A39" s="36"/>
      <c r="B39" s="36"/>
      <c r="C39" s="37" t="s">
        <v>265</v>
      </c>
      <c r="D39" s="37" t="s">
        <v>133</v>
      </c>
      <c r="E39" s="24">
        <f t="shared" si="11"/>
        <v>0</v>
      </c>
      <c r="F39" s="24">
        <f t="shared" si="0"/>
        <v>0</v>
      </c>
      <c r="G39" s="24">
        <f t="shared" si="1"/>
        <v>0</v>
      </c>
      <c r="H39" s="24">
        <f t="shared" si="2"/>
        <v>0</v>
      </c>
      <c r="I39" s="24">
        <f t="shared" si="3"/>
        <v>0</v>
      </c>
      <c r="J39" s="24">
        <f t="shared" si="4"/>
        <v>0</v>
      </c>
      <c r="K39" s="24">
        <f t="shared" si="5"/>
        <v>2552.2599999999802</v>
      </c>
      <c r="L39" s="24">
        <f t="shared" si="6"/>
        <v>9.9999999947613105E-3</v>
      </c>
      <c r="M39" s="24">
        <f t="shared" si="7"/>
        <v>0</v>
      </c>
      <c r="N39" s="24">
        <f t="shared" si="8"/>
        <v>0</v>
      </c>
      <c r="O39" s="24">
        <f t="shared" si="9"/>
        <v>-425256.2</v>
      </c>
      <c r="P39" s="24">
        <f t="shared" si="10"/>
        <v>480559.34</v>
      </c>
      <c r="Q39" s="38"/>
      <c r="R39" s="39">
        <v>148432.9</v>
      </c>
      <c r="S39" s="38"/>
      <c r="T39" s="39">
        <v>-57953.5</v>
      </c>
      <c r="U39" s="38"/>
      <c r="V39" s="39">
        <v>467621</v>
      </c>
      <c r="W39" s="39">
        <v>170160.57</v>
      </c>
      <c r="X39" s="39">
        <v>69701.240000000005</v>
      </c>
      <c r="Y39" s="38"/>
      <c r="Z39" s="39">
        <v>-248582.39999999999</v>
      </c>
      <c r="AA39" s="39">
        <v>425256.2</v>
      </c>
      <c r="AB39" s="39">
        <v>-302700.14</v>
      </c>
      <c r="AC39" s="24">
        <f>SUMIFS('逐券逐月(WAVG)'!K:K,'逐券逐月(WAVG)'!$A:$A,逐券汇总!$D39)</f>
        <v>0</v>
      </c>
      <c r="AD39" s="24">
        <f>SUMIFS('逐券逐月(WAVG)'!L:L,'逐券逐月(WAVG)'!$A:$A,逐券汇总!$D39)</f>
        <v>148432.9</v>
      </c>
      <c r="AE39" s="24">
        <f>SUMIFS('逐券逐月(WAVG)'!M:M,'逐券逐月(WAVG)'!$A:$A,逐券汇总!$D39)</f>
        <v>0</v>
      </c>
      <c r="AF39" s="24">
        <f>SUMIFS('逐券逐月(WAVG)'!N:N,'逐券逐月(WAVG)'!$A:$A,逐券汇总!$D39)</f>
        <v>-57953.5</v>
      </c>
      <c r="AG39" s="24">
        <f>SUMIFS('逐券逐月(WAVG)'!O:O,'逐券逐月(WAVG)'!$A:$A,逐券汇总!$D39)</f>
        <v>0</v>
      </c>
      <c r="AH39" s="24">
        <f>SUMIFS('逐券逐月(WAVG)'!P:P,'逐券逐月(WAVG)'!$A:$A,逐券汇总!$D39)</f>
        <v>467621</v>
      </c>
      <c r="AI39" s="24">
        <f>SUMIFS('逐券逐月(WAVG)'!Q:Q,'逐券逐月(WAVG)'!$A:$A,逐券汇总!$D39)</f>
        <v>172712.83</v>
      </c>
      <c r="AJ39" s="24">
        <f>SUMIFS('逐券逐月(WAVG)'!R:R,'逐券逐月(WAVG)'!$A:$A,逐券汇总!$D39)</f>
        <v>69701.25</v>
      </c>
      <c r="AK39" s="24">
        <f>SUMIFS('逐券逐月(WAVG)'!S:S,'逐券逐月(WAVG)'!$A:$A,逐券汇总!$D39)</f>
        <v>0</v>
      </c>
      <c r="AL39" s="24">
        <f>SUMIFS('逐券逐月(WAVG)'!T:T,'逐券逐月(WAVG)'!$A:$A,逐券汇总!$D39)</f>
        <v>-248582.39999999999</v>
      </c>
      <c r="AM39" s="24">
        <f>SUMIFS('逐券逐月(WAVG)'!U:U,'逐券逐月(WAVG)'!$A:$A,逐券汇总!$D39)</f>
        <v>0</v>
      </c>
      <c r="AN39" s="24">
        <f>SUMIFS('逐券逐月(WAVG)'!V:V,'逐券逐月(WAVG)'!$A:$A,逐券汇总!$D39)</f>
        <v>177859.20000000001</v>
      </c>
    </row>
    <row r="40" spans="1:40" x14ac:dyDescent="0.35">
      <c r="A40" s="36"/>
      <c r="B40" s="36"/>
      <c r="C40" s="37" t="s">
        <v>266</v>
      </c>
      <c r="D40" s="37" t="s">
        <v>136</v>
      </c>
      <c r="E40" s="24">
        <f t="shared" si="11"/>
        <v>0</v>
      </c>
      <c r="F40" s="24">
        <f t="shared" si="0"/>
        <v>0</v>
      </c>
      <c r="G40" s="24">
        <f t="shared" si="1"/>
        <v>0</v>
      </c>
      <c r="H40" s="24">
        <f t="shared" si="2"/>
        <v>0</v>
      </c>
      <c r="I40" s="24">
        <f t="shared" si="3"/>
        <v>0</v>
      </c>
      <c r="J40" s="24">
        <f t="shared" si="4"/>
        <v>0</v>
      </c>
      <c r="K40" s="24">
        <f t="shared" si="5"/>
        <v>1600.7300000000105</v>
      </c>
      <c r="L40" s="24">
        <f t="shared" si="6"/>
        <v>0</v>
      </c>
      <c r="M40" s="24">
        <f t="shared" si="7"/>
        <v>0</v>
      </c>
      <c r="N40" s="24">
        <f t="shared" si="8"/>
        <v>0</v>
      </c>
      <c r="O40" s="24">
        <f t="shared" si="9"/>
        <v>0</v>
      </c>
      <c r="P40" s="24">
        <f t="shared" si="10"/>
        <v>0</v>
      </c>
      <c r="Q40" s="38"/>
      <c r="R40" s="39">
        <v>-280257.59999999998</v>
      </c>
      <c r="S40" s="38"/>
      <c r="T40" s="39">
        <v>-200868</v>
      </c>
      <c r="U40" s="38"/>
      <c r="V40" s="39">
        <v>69750</v>
      </c>
      <c r="W40" s="39">
        <v>-191322.13</v>
      </c>
      <c r="X40" s="39">
        <v>602684.30000000005</v>
      </c>
      <c r="Y40" s="38"/>
      <c r="Z40" s="39">
        <v>-9920</v>
      </c>
      <c r="AA40" s="38"/>
      <c r="AB40" s="39">
        <v>-248752</v>
      </c>
      <c r="AC40" s="24">
        <f>SUMIFS('逐券逐月(WAVG)'!K:K,'逐券逐月(WAVG)'!$A:$A,逐券汇总!$D40)</f>
        <v>0</v>
      </c>
      <c r="AD40" s="24">
        <f>SUMIFS('逐券逐月(WAVG)'!L:L,'逐券逐月(WAVG)'!$A:$A,逐券汇总!$D40)</f>
        <v>-280257.59999999998</v>
      </c>
      <c r="AE40" s="24">
        <f>SUMIFS('逐券逐月(WAVG)'!M:M,'逐券逐月(WAVG)'!$A:$A,逐券汇总!$D40)</f>
        <v>0</v>
      </c>
      <c r="AF40" s="24">
        <f>SUMIFS('逐券逐月(WAVG)'!N:N,'逐券逐月(WAVG)'!$A:$A,逐券汇总!$D40)</f>
        <v>-200868</v>
      </c>
      <c r="AG40" s="24">
        <f>SUMIFS('逐券逐月(WAVG)'!O:O,'逐券逐月(WAVG)'!$A:$A,逐券汇总!$D40)</f>
        <v>0</v>
      </c>
      <c r="AH40" s="24">
        <f>SUMIFS('逐券逐月(WAVG)'!P:P,'逐券逐月(WAVG)'!$A:$A,逐券汇总!$D40)</f>
        <v>69750</v>
      </c>
      <c r="AI40" s="24">
        <f>SUMIFS('逐券逐月(WAVG)'!Q:Q,'逐券逐月(WAVG)'!$A:$A,逐券汇总!$D40)</f>
        <v>-189721.4</v>
      </c>
      <c r="AJ40" s="24">
        <f>SUMIFS('逐券逐月(WAVG)'!R:R,'逐券逐月(WAVG)'!$A:$A,逐券汇总!$D40)</f>
        <v>602684.30000000005</v>
      </c>
      <c r="AK40" s="24">
        <f>SUMIFS('逐券逐月(WAVG)'!S:S,'逐券逐月(WAVG)'!$A:$A,逐券汇总!$D40)</f>
        <v>0</v>
      </c>
      <c r="AL40" s="24">
        <f>SUMIFS('逐券逐月(WAVG)'!T:T,'逐券逐月(WAVG)'!$A:$A,逐券汇总!$D40)</f>
        <v>-9920</v>
      </c>
      <c r="AM40" s="24">
        <f>SUMIFS('逐券逐月(WAVG)'!U:U,'逐券逐月(WAVG)'!$A:$A,逐券汇总!$D40)</f>
        <v>0</v>
      </c>
      <c r="AN40" s="24">
        <f>SUMIFS('逐券逐月(WAVG)'!V:V,'逐券逐月(WAVG)'!$A:$A,逐券汇总!$D40)</f>
        <v>-248752</v>
      </c>
    </row>
    <row r="41" spans="1:40" ht="19" x14ac:dyDescent="0.35">
      <c r="A41" s="36"/>
      <c r="B41" s="36"/>
      <c r="C41" s="37" t="s">
        <v>267</v>
      </c>
      <c r="D41" s="37" t="s">
        <v>139</v>
      </c>
      <c r="E41" s="24">
        <f t="shared" si="11"/>
        <v>0</v>
      </c>
      <c r="F41" s="24">
        <f t="shared" si="0"/>
        <v>0</v>
      </c>
      <c r="G41" s="24">
        <f t="shared" si="1"/>
        <v>0</v>
      </c>
      <c r="H41" s="24">
        <f t="shared" si="2"/>
        <v>663.30999999999949</v>
      </c>
      <c r="I41" s="24">
        <f t="shared" si="3"/>
        <v>1486.0399999999991</v>
      </c>
      <c r="J41" s="24">
        <f t="shared" si="4"/>
        <v>-663.31000000000131</v>
      </c>
      <c r="K41" s="24">
        <f t="shared" si="5"/>
        <v>0</v>
      </c>
      <c r="L41" s="24">
        <f t="shared" si="6"/>
        <v>0</v>
      </c>
      <c r="M41" s="24">
        <f t="shared" si="7"/>
        <v>0</v>
      </c>
      <c r="N41" s="24">
        <f t="shared" si="8"/>
        <v>0</v>
      </c>
      <c r="O41" s="24">
        <f t="shared" si="9"/>
        <v>0</v>
      </c>
      <c r="P41" s="24">
        <f t="shared" si="10"/>
        <v>0</v>
      </c>
      <c r="Q41" s="38"/>
      <c r="R41" s="39">
        <v>6349.53</v>
      </c>
      <c r="S41" s="38"/>
      <c r="T41" s="39">
        <v>15261.95</v>
      </c>
      <c r="U41" s="39">
        <v>16184.65</v>
      </c>
      <c r="V41" s="39">
        <v>-18372.23</v>
      </c>
      <c r="W41" s="38"/>
      <c r="X41" s="38"/>
      <c r="Y41" s="38"/>
      <c r="Z41" s="38"/>
      <c r="AA41" s="38"/>
      <c r="AB41" s="38"/>
      <c r="AC41" s="24">
        <f>SUMIFS('逐券逐月(WAVG)'!K:K,'逐券逐月(WAVG)'!$A:$A,逐券汇总!$D41)</f>
        <v>0</v>
      </c>
      <c r="AD41" s="24">
        <f>SUMIFS('逐券逐月(WAVG)'!L:L,'逐券逐月(WAVG)'!$A:$A,逐券汇总!$D41)</f>
        <v>6349.53</v>
      </c>
      <c r="AE41" s="24">
        <f>SUMIFS('逐券逐月(WAVG)'!M:M,'逐券逐月(WAVG)'!$A:$A,逐券汇总!$D41)</f>
        <v>0</v>
      </c>
      <c r="AF41" s="24">
        <f>SUMIFS('逐券逐月(WAVG)'!N:N,'逐券逐月(WAVG)'!$A:$A,逐券汇总!$D41)</f>
        <v>15925.26</v>
      </c>
      <c r="AG41" s="24">
        <f>SUMIFS('逐券逐月(WAVG)'!O:O,'逐券逐月(WAVG)'!$A:$A,逐券汇总!$D41)</f>
        <v>17670.689999999999</v>
      </c>
      <c r="AH41" s="24">
        <f>SUMIFS('逐券逐月(WAVG)'!P:P,'逐券逐月(WAVG)'!$A:$A,逐券汇总!$D41)</f>
        <v>-19035.54</v>
      </c>
      <c r="AI41" s="24">
        <f>SUMIFS('逐券逐月(WAVG)'!Q:Q,'逐券逐月(WAVG)'!$A:$A,逐券汇总!$D41)</f>
        <v>0</v>
      </c>
      <c r="AJ41" s="24">
        <f>SUMIFS('逐券逐月(WAVG)'!R:R,'逐券逐月(WAVG)'!$A:$A,逐券汇总!$D41)</f>
        <v>0</v>
      </c>
      <c r="AK41" s="24">
        <f>SUMIFS('逐券逐月(WAVG)'!S:S,'逐券逐月(WAVG)'!$A:$A,逐券汇总!$D41)</f>
        <v>0</v>
      </c>
      <c r="AL41" s="24">
        <f>SUMIFS('逐券逐月(WAVG)'!T:T,'逐券逐月(WAVG)'!$A:$A,逐券汇总!$D41)</f>
        <v>0</v>
      </c>
      <c r="AM41" s="24">
        <f>SUMIFS('逐券逐月(WAVG)'!U:U,'逐券逐月(WAVG)'!$A:$A,逐券汇总!$D41)</f>
        <v>0</v>
      </c>
      <c r="AN41" s="24">
        <f>SUMIFS('逐券逐月(WAVG)'!V:V,'逐券逐月(WAVG)'!$A:$A,逐券汇总!$D41)</f>
        <v>0</v>
      </c>
    </row>
    <row r="42" spans="1:40" x14ac:dyDescent="0.35">
      <c r="A42" s="36"/>
      <c r="B42" s="36"/>
      <c r="C42" s="37" t="s">
        <v>268</v>
      </c>
      <c r="D42" s="37" t="s">
        <v>142</v>
      </c>
      <c r="E42" s="24">
        <f t="shared" si="11"/>
        <v>0</v>
      </c>
      <c r="F42" s="24">
        <f t="shared" si="0"/>
        <v>0</v>
      </c>
      <c r="G42" s="24">
        <f t="shared" si="1"/>
        <v>0</v>
      </c>
      <c r="H42" s="24">
        <f t="shared" si="2"/>
        <v>0</v>
      </c>
      <c r="I42" s="24">
        <f t="shared" si="3"/>
        <v>0</v>
      </c>
      <c r="J42" s="24">
        <f t="shared" si="4"/>
        <v>0</v>
      </c>
      <c r="K42" s="24">
        <f t="shared" si="5"/>
        <v>2323.1100000000006</v>
      </c>
      <c r="L42" s="24">
        <f t="shared" si="6"/>
        <v>0</v>
      </c>
      <c r="M42" s="24">
        <f t="shared" si="7"/>
        <v>0</v>
      </c>
      <c r="N42" s="24">
        <f t="shared" si="8"/>
        <v>0</v>
      </c>
      <c r="O42" s="24">
        <f t="shared" si="9"/>
        <v>0</v>
      </c>
      <c r="P42" s="24">
        <f t="shared" si="10"/>
        <v>0</v>
      </c>
      <c r="Q42" s="38"/>
      <c r="R42" s="39">
        <v>321885.2</v>
      </c>
      <c r="S42" s="38"/>
      <c r="T42" s="39">
        <v>-226226</v>
      </c>
      <c r="U42" s="38"/>
      <c r="V42" s="39">
        <v>876408</v>
      </c>
      <c r="W42" s="39">
        <v>57554.83</v>
      </c>
      <c r="X42" s="39">
        <v>86710.33</v>
      </c>
      <c r="Y42" s="38"/>
      <c r="Z42" s="39">
        <v>-843456</v>
      </c>
      <c r="AA42" s="38"/>
      <c r="AB42" s="39">
        <v>284385</v>
      </c>
      <c r="AC42" s="24">
        <f>SUMIFS('逐券逐月(WAVG)'!K:K,'逐券逐月(WAVG)'!$A:$A,逐券汇总!$D42)</f>
        <v>0</v>
      </c>
      <c r="AD42" s="24">
        <f>SUMIFS('逐券逐月(WAVG)'!L:L,'逐券逐月(WAVG)'!$A:$A,逐券汇总!$D42)</f>
        <v>321885.2</v>
      </c>
      <c r="AE42" s="24">
        <f>SUMIFS('逐券逐月(WAVG)'!M:M,'逐券逐月(WAVG)'!$A:$A,逐券汇总!$D42)</f>
        <v>0</v>
      </c>
      <c r="AF42" s="24">
        <f>SUMIFS('逐券逐月(WAVG)'!N:N,'逐券逐月(WAVG)'!$A:$A,逐券汇总!$D42)</f>
        <v>-226226</v>
      </c>
      <c r="AG42" s="24">
        <f>SUMIFS('逐券逐月(WAVG)'!O:O,'逐券逐月(WAVG)'!$A:$A,逐券汇总!$D42)</f>
        <v>0</v>
      </c>
      <c r="AH42" s="24">
        <f>SUMIFS('逐券逐月(WAVG)'!P:P,'逐券逐月(WAVG)'!$A:$A,逐券汇总!$D42)</f>
        <v>876408</v>
      </c>
      <c r="AI42" s="24">
        <f>SUMIFS('逐券逐月(WAVG)'!Q:Q,'逐券逐月(WAVG)'!$A:$A,逐券汇总!$D42)</f>
        <v>59877.94</v>
      </c>
      <c r="AJ42" s="24">
        <f>SUMIFS('逐券逐月(WAVG)'!R:R,'逐券逐月(WAVG)'!$A:$A,逐券汇总!$D42)</f>
        <v>86710.33</v>
      </c>
      <c r="AK42" s="24">
        <f>SUMIFS('逐券逐月(WAVG)'!S:S,'逐券逐月(WAVG)'!$A:$A,逐券汇总!$D42)</f>
        <v>0</v>
      </c>
      <c r="AL42" s="24">
        <f>SUMIFS('逐券逐月(WAVG)'!T:T,'逐券逐月(WAVG)'!$A:$A,逐券汇总!$D42)</f>
        <v>-843456</v>
      </c>
      <c r="AM42" s="24">
        <f>SUMIFS('逐券逐月(WAVG)'!U:U,'逐券逐月(WAVG)'!$A:$A,逐券汇总!$D42)</f>
        <v>0</v>
      </c>
      <c r="AN42" s="24">
        <f>SUMIFS('逐券逐月(WAVG)'!V:V,'逐券逐月(WAVG)'!$A:$A,逐券汇总!$D42)</f>
        <v>284385</v>
      </c>
    </row>
    <row r="43" spans="1:40" ht="19" x14ac:dyDescent="0.35">
      <c r="A43" s="36"/>
      <c r="B43" s="36"/>
      <c r="C43" s="37" t="s">
        <v>269</v>
      </c>
      <c r="D43" s="37" t="s">
        <v>145</v>
      </c>
      <c r="E43" s="24">
        <f t="shared" si="11"/>
        <v>0</v>
      </c>
      <c r="F43" s="24">
        <f t="shared" si="0"/>
        <v>0</v>
      </c>
      <c r="G43" s="24">
        <f t="shared" si="1"/>
        <v>6304.75</v>
      </c>
      <c r="H43" s="24">
        <f t="shared" si="2"/>
        <v>0</v>
      </c>
      <c r="I43" s="24">
        <f t="shared" si="3"/>
        <v>0</v>
      </c>
      <c r="J43" s="24">
        <f t="shared" si="4"/>
        <v>0</v>
      </c>
      <c r="K43" s="24">
        <f t="shared" si="5"/>
        <v>0</v>
      </c>
      <c r="L43" s="24">
        <f t="shared" si="6"/>
        <v>3189.1100000000151</v>
      </c>
      <c r="M43" s="24">
        <f t="shared" si="7"/>
        <v>0</v>
      </c>
      <c r="N43" s="24">
        <f t="shared" si="8"/>
        <v>0</v>
      </c>
      <c r="O43" s="24">
        <f t="shared" si="9"/>
        <v>-498780.48</v>
      </c>
      <c r="P43" s="24">
        <f t="shared" si="10"/>
        <v>309992.52999999997</v>
      </c>
      <c r="Q43" s="38"/>
      <c r="R43" s="39">
        <v>31825.5</v>
      </c>
      <c r="S43" s="39">
        <v>-518725.66</v>
      </c>
      <c r="T43" s="39">
        <v>566975.98</v>
      </c>
      <c r="U43" s="38"/>
      <c r="V43" s="38"/>
      <c r="W43" s="38"/>
      <c r="X43" s="39">
        <v>143929.32999999999</v>
      </c>
      <c r="Y43" s="38"/>
      <c r="Z43" s="39">
        <v>274646.40000000002</v>
      </c>
      <c r="AA43" s="39">
        <v>498780.48</v>
      </c>
      <c r="AB43" s="39">
        <v>-418575.73</v>
      </c>
      <c r="AC43" s="24">
        <f>SUMIFS('逐券逐月(WAVG)'!K:K,'逐券逐月(WAVG)'!$A:$A,逐券汇总!$D43)</f>
        <v>0</v>
      </c>
      <c r="AD43" s="24">
        <f>SUMIFS('逐券逐月(WAVG)'!L:L,'逐券逐月(WAVG)'!$A:$A,逐券汇总!$D43)</f>
        <v>31825.5</v>
      </c>
      <c r="AE43" s="24">
        <f>SUMIFS('逐券逐月(WAVG)'!M:M,'逐券逐月(WAVG)'!$A:$A,逐券汇总!$D43)</f>
        <v>-512420.91</v>
      </c>
      <c r="AF43" s="24">
        <f>SUMIFS('逐券逐月(WAVG)'!N:N,'逐券逐月(WAVG)'!$A:$A,逐券汇总!$D43)</f>
        <v>566975.98</v>
      </c>
      <c r="AG43" s="24">
        <f>SUMIFS('逐券逐月(WAVG)'!O:O,'逐券逐月(WAVG)'!$A:$A,逐券汇总!$D43)</f>
        <v>0</v>
      </c>
      <c r="AH43" s="24">
        <f>SUMIFS('逐券逐月(WAVG)'!P:P,'逐券逐月(WAVG)'!$A:$A,逐券汇总!$D43)</f>
        <v>0</v>
      </c>
      <c r="AI43" s="24">
        <f>SUMIFS('逐券逐月(WAVG)'!Q:Q,'逐券逐月(WAVG)'!$A:$A,逐券汇总!$D43)</f>
        <v>0</v>
      </c>
      <c r="AJ43" s="24">
        <f>SUMIFS('逐券逐月(WAVG)'!R:R,'逐券逐月(WAVG)'!$A:$A,逐券汇总!$D43)</f>
        <v>147118.44</v>
      </c>
      <c r="AK43" s="24">
        <f>SUMIFS('逐券逐月(WAVG)'!S:S,'逐券逐月(WAVG)'!$A:$A,逐券汇总!$D43)</f>
        <v>0</v>
      </c>
      <c r="AL43" s="24">
        <f>SUMIFS('逐券逐月(WAVG)'!T:T,'逐券逐月(WAVG)'!$A:$A,逐券汇总!$D43)</f>
        <v>274646.40000000002</v>
      </c>
      <c r="AM43" s="24">
        <f>SUMIFS('逐券逐月(WAVG)'!U:U,'逐券逐月(WAVG)'!$A:$A,逐券汇总!$D43)</f>
        <v>0</v>
      </c>
      <c r="AN43" s="24">
        <f>SUMIFS('逐券逐月(WAVG)'!V:V,'逐券逐月(WAVG)'!$A:$A,逐券汇总!$D43)</f>
        <v>-108583.2</v>
      </c>
    </row>
    <row r="44" spans="1:40" x14ac:dyDescent="0.35">
      <c r="A44" s="36"/>
      <c r="B44" s="36"/>
      <c r="C44" s="37" t="s">
        <v>270</v>
      </c>
      <c r="D44" s="37" t="s">
        <v>148</v>
      </c>
      <c r="E44" s="24">
        <f t="shared" si="11"/>
        <v>0</v>
      </c>
      <c r="F44" s="24">
        <f t="shared" si="0"/>
        <v>0</v>
      </c>
      <c r="G44" s="24">
        <f t="shared" si="1"/>
        <v>0</v>
      </c>
      <c r="H44" s="24">
        <f t="shared" si="2"/>
        <v>4389.7000000000044</v>
      </c>
      <c r="I44" s="24">
        <f t="shared" si="3"/>
        <v>0</v>
      </c>
      <c r="J44" s="24">
        <f t="shared" si="4"/>
        <v>0</v>
      </c>
      <c r="K44" s="24">
        <f t="shared" si="5"/>
        <v>0</v>
      </c>
      <c r="L44" s="24">
        <f t="shared" si="6"/>
        <v>0</v>
      </c>
      <c r="M44" s="24">
        <f t="shared" si="7"/>
        <v>0</v>
      </c>
      <c r="N44" s="24">
        <f t="shared" si="8"/>
        <v>0</v>
      </c>
      <c r="O44" s="24">
        <f t="shared" si="9"/>
        <v>-151511.56</v>
      </c>
      <c r="P44" s="24">
        <f t="shared" si="10"/>
        <v>139976.73000000001</v>
      </c>
      <c r="Q44" s="38"/>
      <c r="R44" s="38"/>
      <c r="S44" s="38"/>
      <c r="T44" s="39">
        <v>48757.13</v>
      </c>
      <c r="U44" s="38"/>
      <c r="V44" s="39">
        <v>142892</v>
      </c>
      <c r="W44" s="38"/>
      <c r="X44" s="39">
        <v>143040.79999999999</v>
      </c>
      <c r="Y44" s="38"/>
      <c r="Z44" s="39">
        <v>-313312</v>
      </c>
      <c r="AA44" s="39">
        <v>151511.56</v>
      </c>
      <c r="AB44" s="39">
        <v>-21377.93</v>
      </c>
      <c r="AC44" s="24">
        <f>SUMIFS('逐券逐月(WAVG)'!K:K,'逐券逐月(WAVG)'!$A:$A,逐券汇总!$D44)</f>
        <v>0</v>
      </c>
      <c r="AD44" s="24">
        <f>SUMIFS('逐券逐月(WAVG)'!L:L,'逐券逐月(WAVG)'!$A:$A,逐券汇总!$D44)</f>
        <v>0</v>
      </c>
      <c r="AE44" s="24">
        <f>SUMIFS('逐券逐月(WAVG)'!M:M,'逐券逐月(WAVG)'!$A:$A,逐券汇总!$D44)</f>
        <v>0</v>
      </c>
      <c r="AF44" s="24">
        <f>SUMIFS('逐券逐月(WAVG)'!N:N,'逐券逐月(WAVG)'!$A:$A,逐券汇总!$D44)</f>
        <v>53146.83</v>
      </c>
      <c r="AG44" s="24">
        <f>SUMIFS('逐券逐月(WAVG)'!O:O,'逐券逐月(WAVG)'!$A:$A,逐券汇总!$D44)</f>
        <v>0</v>
      </c>
      <c r="AH44" s="24">
        <f>SUMIFS('逐券逐月(WAVG)'!P:P,'逐券逐月(WAVG)'!$A:$A,逐券汇总!$D44)</f>
        <v>142892</v>
      </c>
      <c r="AI44" s="24">
        <f>SUMIFS('逐券逐月(WAVG)'!Q:Q,'逐券逐月(WAVG)'!$A:$A,逐券汇总!$D44)</f>
        <v>0</v>
      </c>
      <c r="AJ44" s="24">
        <f>SUMIFS('逐券逐月(WAVG)'!R:R,'逐券逐月(WAVG)'!$A:$A,逐券汇总!$D44)</f>
        <v>143040.79999999999</v>
      </c>
      <c r="AK44" s="24">
        <f>SUMIFS('逐券逐月(WAVG)'!S:S,'逐券逐月(WAVG)'!$A:$A,逐券汇总!$D44)</f>
        <v>0</v>
      </c>
      <c r="AL44" s="24">
        <f>SUMIFS('逐券逐月(WAVG)'!T:T,'逐券逐月(WAVG)'!$A:$A,逐券汇总!$D44)</f>
        <v>-313312</v>
      </c>
      <c r="AM44" s="24">
        <f>SUMIFS('逐券逐月(WAVG)'!U:U,'逐券逐月(WAVG)'!$A:$A,逐券汇总!$D44)</f>
        <v>0</v>
      </c>
      <c r="AN44" s="24">
        <f>SUMIFS('逐券逐月(WAVG)'!V:V,'逐券逐月(WAVG)'!$A:$A,逐券汇总!$D44)</f>
        <v>118598.8</v>
      </c>
    </row>
    <row r="45" spans="1:40" x14ac:dyDescent="0.35">
      <c r="A45" s="36"/>
      <c r="B45" s="36"/>
      <c r="C45" s="37" t="s">
        <v>271</v>
      </c>
      <c r="D45" s="37" t="s">
        <v>151</v>
      </c>
      <c r="E45" s="24">
        <f t="shared" si="11"/>
        <v>0</v>
      </c>
      <c r="F45" s="24">
        <f t="shared" si="0"/>
        <v>0</v>
      </c>
      <c r="G45" s="24">
        <f t="shared" si="1"/>
        <v>0</v>
      </c>
      <c r="H45" s="24">
        <f t="shared" si="2"/>
        <v>0</v>
      </c>
      <c r="I45" s="24">
        <f t="shared" si="3"/>
        <v>2551.2200000000303</v>
      </c>
      <c r="J45" s="24">
        <f t="shared" si="4"/>
        <v>936.61000000001513</v>
      </c>
      <c r="K45" s="24">
        <f t="shared" si="5"/>
        <v>0</v>
      </c>
      <c r="L45" s="24">
        <f t="shared" si="6"/>
        <v>1371.0100000000093</v>
      </c>
      <c r="M45" s="24">
        <f t="shared" si="7"/>
        <v>0</v>
      </c>
      <c r="N45" s="24">
        <f t="shared" si="8"/>
        <v>0</v>
      </c>
      <c r="O45" s="24">
        <f t="shared" si="9"/>
        <v>0</v>
      </c>
      <c r="P45" s="24">
        <f t="shared" si="10"/>
        <v>0</v>
      </c>
      <c r="Q45" s="38"/>
      <c r="R45" s="39">
        <v>-135214.79999999999</v>
      </c>
      <c r="S45" s="38"/>
      <c r="T45" s="39">
        <v>60473</v>
      </c>
      <c r="U45" s="39">
        <v>-404196.45</v>
      </c>
      <c r="V45" s="39">
        <v>140322.21</v>
      </c>
      <c r="W45" s="38"/>
      <c r="X45" s="39">
        <v>-165889.23000000001</v>
      </c>
      <c r="Y45" s="38"/>
      <c r="Z45" s="39">
        <v>-44609.599999999999</v>
      </c>
      <c r="AA45" s="38"/>
      <c r="AB45" s="39">
        <v>86893.1</v>
      </c>
      <c r="AC45" s="24">
        <f>SUMIFS('逐券逐月(WAVG)'!K:K,'逐券逐月(WAVG)'!$A:$A,逐券汇总!$D45)</f>
        <v>0</v>
      </c>
      <c r="AD45" s="24">
        <f>SUMIFS('逐券逐月(WAVG)'!L:L,'逐券逐月(WAVG)'!$A:$A,逐券汇总!$D45)</f>
        <v>-135214.79999999999</v>
      </c>
      <c r="AE45" s="24">
        <f>SUMIFS('逐券逐月(WAVG)'!M:M,'逐券逐月(WAVG)'!$A:$A,逐券汇总!$D45)</f>
        <v>0</v>
      </c>
      <c r="AF45" s="24">
        <f>SUMIFS('逐券逐月(WAVG)'!N:N,'逐券逐月(WAVG)'!$A:$A,逐券汇总!$D45)</f>
        <v>60473</v>
      </c>
      <c r="AG45" s="24">
        <f>SUMIFS('逐券逐月(WAVG)'!O:O,'逐券逐月(WAVG)'!$A:$A,逐券汇总!$D45)</f>
        <v>-401645.23</v>
      </c>
      <c r="AH45" s="24">
        <f>SUMIFS('逐券逐月(WAVG)'!P:P,'逐券逐月(WAVG)'!$A:$A,逐券汇总!$D45)</f>
        <v>141258.82</v>
      </c>
      <c r="AI45" s="24">
        <f>SUMIFS('逐券逐月(WAVG)'!Q:Q,'逐券逐月(WAVG)'!$A:$A,逐券汇总!$D45)</f>
        <v>0</v>
      </c>
      <c r="AJ45" s="24">
        <f>SUMIFS('逐券逐月(WAVG)'!R:R,'逐券逐月(WAVG)'!$A:$A,逐券汇总!$D45)</f>
        <v>-164518.22</v>
      </c>
      <c r="AK45" s="24">
        <f>SUMIFS('逐券逐月(WAVG)'!S:S,'逐券逐月(WAVG)'!$A:$A,逐券汇总!$D45)</f>
        <v>0</v>
      </c>
      <c r="AL45" s="24">
        <f>SUMIFS('逐券逐月(WAVG)'!T:T,'逐券逐月(WAVG)'!$A:$A,逐券汇总!$D45)</f>
        <v>-44609.599999999999</v>
      </c>
      <c r="AM45" s="24">
        <f>SUMIFS('逐券逐月(WAVG)'!U:U,'逐券逐月(WAVG)'!$A:$A,逐券汇总!$D45)</f>
        <v>0</v>
      </c>
      <c r="AN45" s="24">
        <f>SUMIFS('逐券逐月(WAVG)'!V:V,'逐券逐月(WAVG)'!$A:$A,逐券汇总!$D45)</f>
        <v>86893.1</v>
      </c>
    </row>
    <row r="46" spans="1:40" x14ac:dyDescent="0.35">
      <c r="A46" s="36"/>
      <c r="B46" s="36"/>
      <c r="C46" s="37" t="s">
        <v>272</v>
      </c>
      <c r="D46" s="37" t="s">
        <v>154</v>
      </c>
      <c r="E46" s="24">
        <f t="shared" si="11"/>
        <v>0</v>
      </c>
      <c r="F46" s="24">
        <f t="shared" si="0"/>
        <v>0</v>
      </c>
      <c r="G46" s="24">
        <f t="shared" si="1"/>
        <v>1289.9899999999907</v>
      </c>
      <c r="H46" s="24">
        <f t="shared" si="2"/>
        <v>0</v>
      </c>
      <c r="I46" s="24">
        <f t="shared" si="3"/>
        <v>0</v>
      </c>
      <c r="J46" s="24">
        <f t="shared" si="4"/>
        <v>0</v>
      </c>
      <c r="K46" s="24">
        <f t="shared" si="5"/>
        <v>3435.3699999999953</v>
      </c>
      <c r="L46" s="24">
        <f t="shared" si="6"/>
        <v>0</v>
      </c>
      <c r="M46" s="24">
        <f t="shared" si="7"/>
        <v>6817.5</v>
      </c>
      <c r="N46" s="24">
        <f t="shared" si="8"/>
        <v>0</v>
      </c>
      <c r="O46" s="24">
        <f t="shared" si="9"/>
        <v>0</v>
      </c>
      <c r="P46" s="24">
        <f t="shared" si="10"/>
        <v>0</v>
      </c>
      <c r="Q46" s="38"/>
      <c r="R46" s="39">
        <v>217955.3</v>
      </c>
      <c r="S46" s="39">
        <v>184550.57</v>
      </c>
      <c r="T46" s="39">
        <v>-399913.05</v>
      </c>
      <c r="U46" s="38"/>
      <c r="V46" s="39">
        <v>630120</v>
      </c>
      <c r="W46" s="39">
        <v>647494.31999999995</v>
      </c>
      <c r="X46" s="39">
        <v>-558121.87</v>
      </c>
      <c r="Y46" s="39">
        <v>1229376.08</v>
      </c>
      <c r="Z46" s="39">
        <v>-1343019.75</v>
      </c>
      <c r="AA46" s="38"/>
      <c r="AB46" s="38"/>
      <c r="AC46" s="24">
        <f>SUMIFS('逐券逐月(WAVG)'!K:K,'逐券逐月(WAVG)'!$A:$A,逐券汇总!$D46)</f>
        <v>0</v>
      </c>
      <c r="AD46" s="24">
        <f>SUMIFS('逐券逐月(WAVG)'!L:L,'逐券逐月(WAVG)'!$A:$A,逐券汇总!$D46)</f>
        <v>217955.3</v>
      </c>
      <c r="AE46" s="24">
        <f>SUMIFS('逐券逐月(WAVG)'!M:M,'逐券逐月(WAVG)'!$A:$A,逐券汇总!$D46)</f>
        <v>185840.56</v>
      </c>
      <c r="AF46" s="24">
        <f>SUMIFS('逐券逐月(WAVG)'!N:N,'逐券逐月(WAVG)'!$A:$A,逐券汇总!$D46)</f>
        <v>-399913.05</v>
      </c>
      <c r="AG46" s="24">
        <f>SUMIFS('逐券逐月(WAVG)'!O:O,'逐券逐月(WAVG)'!$A:$A,逐券汇总!$D46)</f>
        <v>0</v>
      </c>
      <c r="AH46" s="24">
        <f>SUMIFS('逐券逐月(WAVG)'!P:P,'逐券逐月(WAVG)'!$A:$A,逐券汇总!$D46)</f>
        <v>630120</v>
      </c>
      <c r="AI46" s="24">
        <f>SUMIFS('逐券逐月(WAVG)'!Q:Q,'逐券逐月(WAVG)'!$A:$A,逐券汇总!$D46)</f>
        <v>650929.68999999994</v>
      </c>
      <c r="AJ46" s="24">
        <f>SUMIFS('逐券逐月(WAVG)'!R:R,'逐券逐月(WAVG)'!$A:$A,逐券汇总!$D46)</f>
        <v>-558121.87</v>
      </c>
      <c r="AK46" s="24">
        <f>SUMIFS('逐券逐月(WAVG)'!S:S,'逐券逐月(WAVG)'!$A:$A,逐券汇总!$D46)</f>
        <v>1236193.58</v>
      </c>
      <c r="AL46" s="24">
        <f>SUMIFS('逐券逐月(WAVG)'!T:T,'逐券逐月(WAVG)'!$A:$A,逐券汇总!$D46)</f>
        <v>-1343019.75</v>
      </c>
      <c r="AM46" s="24">
        <f>SUMIFS('逐券逐月(WAVG)'!U:U,'逐券逐月(WAVG)'!$A:$A,逐券汇总!$D46)</f>
        <v>0</v>
      </c>
      <c r="AN46" s="24">
        <f>SUMIFS('逐券逐月(WAVG)'!V:V,'逐券逐月(WAVG)'!$A:$A,逐券汇总!$D46)</f>
        <v>0</v>
      </c>
    </row>
    <row r="47" spans="1:40" x14ac:dyDescent="0.35">
      <c r="A47" s="36"/>
      <c r="B47" s="36"/>
      <c r="C47" s="37" t="s">
        <v>273</v>
      </c>
      <c r="D47" s="37" t="s">
        <v>157</v>
      </c>
      <c r="E47" s="24">
        <f t="shared" si="11"/>
        <v>0</v>
      </c>
      <c r="F47" s="24">
        <f t="shared" si="0"/>
        <v>0</v>
      </c>
      <c r="G47" s="24">
        <f t="shared" si="1"/>
        <v>0</v>
      </c>
      <c r="H47" s="24">
        <f t="shared" si="2"/>
        <v>0</v>
      </c>
      <c r="I47" s="24">
        <f t="shared" si="3"/>
        <v>0</v>
      </c>
      <c r="J47" s="24">
        <f t="shared" si="4"/>
        <v>0</v>
      </c>
      <c r="K47" s="24">
        <f t="shared" si="5"/>
        <v>0</v>
      </c>
      <c r="L47" s="24">
        <f t="shared" si="6"/>
        <v>6349.5600000000049</v>
      </c>
      <c r="M47" s="24">
        <f t="shared" si="7"/>
        <v>0</v>
      </c>
      <c r="N47" s="24">
        <f t="shared" si="8"/>
        <v>995.27999999999884</v>
      </c>
      <c r="O47" s="24">
        <f t="shared" si="9"/>
        <v>0</v>
      </c>
      <c r="P47" s="24">
        <f t="shared" si="10"/>
        <v>0</v>
      </c>
      <c r="Q47" s="38"/>
      <c r="R47" s="38"/>
      <c r="S47" s="38"/>
      <c r="T47" s="38"/>
      <c r="U47" s="38"/>
      <c r="V47" s="38"/>
      <c r="W47" s="38"/>
      <c r="X47" s="39">
        <v>-48358.73</v>
      </c>
      <c r="Y47" s="38"/>
      <c r="Z47" s="39">
        <v>-113442.61</v>
      </c>
      <c r="AA47" s="38"/>
      <c r="AB47" s="39">
        <v>301710</v>
      </c>
      <c r="AC47" s="24">
        <f>SUMIFS('逐券逐月(WAVG)'!K:K,'逐券逐月(WAVG)'!$A:$A,逐券汇总!$D47)</f>
        <v>0</v>
      </c>
      <c r="AD47" s="24">
        <f>SUMIFS('逐券逐月(WAVG)'!L:L,'逐券逐月(WAVG)'!$A:$A,逐券汇总!$D47)</f>
        <v>0</v>
      </c>
      <c r="AE47" s="24">
        <f>SUMIFS('逐券逐月(WAVG)'!M:M,'逐券逐月(WAVG)'!$A:$A,逐券汇总!$D47)</f>
        <v>0</v>
      </c>
      <c r="AF47" s="24">
        <f>SUMIFS('逐券逐月(WAVG)'!N:N,'逐券逐月(WAVG)'!$A:$A,逐券汇总!$D47)</f>
        <v>0</v>
      </c>
      <c r="AG47" s="24">
        <f>SUMIFS('逐券逐月(WAVG)'!O:O,'逐券逐月(WAVG)'!$A:$A,逐券汇总!$D47)</f>
        <v>0</v>
      </c>
      <c r="AH47" s="24">
        <f>SUMIFS('逐券逐月(WAVG)'!P:P,'逐券逐月(WAVG)'!$A:$A,逐券汇总!$D47)</f>
        <v>0</v>
      </c>
      <c r="AI47" s="24">
        <f>SUMIFS('逐券逐月(WAVG)'!Q:Q,'逐券逐月(WAVG)'!$A:$A,逐券汇总!$D47)</f>
        <v>0</v>
      </c>
      <c r="AJ47" s="24">
        <f>SUMIFS('逐券逐月(WAVG)'!R:R,'逐券逐月(WAVG)'!$A:$A,逐券汇总!$D47)</f>
        <v>-42009.17</v>
      </c>
      <c r="AK47" s="24">
        <f>SUMIFS('逐券逐月(WAVG)'!S:S,'逐券逐月(WAVG)'!$A:$A,逐券汇总!$D47)</f>
        <v>0</v>
      </c>
      <c r="AL47" s="24">
        <f>SUMIFS('逐券逐月(WAVG)'!T:T,'逐券逐月(WAVG)'!$A:$A,逐券汇总!$D47)</f>
        <v>-112447.33</v>
      </c>
      <c r="AM47" s="24">
        <f>SUMIFS('逐券逐月(WAVG)'!U:U,'逐券逐月(WAVG)'!$A:$A,逐券汇总!$D47)</f>
        <v>0</v>
      </c>
      <c r="AN47" s="24">
        <f>SUMIFS('逐券逐月(WAVG)'!V:V,'逐券逐月(WAVG)'!$A:$A,逐券汇总!$D47)</f>
        <v>301710</v>
      </c>
    </row>
    <row r="48" spans="1:40" x14ac:dyDescent="0.35">
      <c r="A48" s="36"/>
      <c r="B48" s="36"/>
      <c r="C48" s="37" t="s">
        <v>274</v>
      </c>
      <c r="D48" s="37" t="s">
        <v>160</v>
      </c>
      <c r="E48" s="24">
        <f t="shared" si="11"/>
        <v>0</v>
      </c>
      <c r="F48" s="24">
        <f t="shared" si="0"/>
        <v>0</v>
      </c>
      <c r="G48" s="24">
        <f t="shared" si="1"/>
        <v>0</v>
      </c>
      <c r="H48" s="24">
        <f t="shared" si="2"/>
        <v>0</v>
      </c>
      <c r="I48" s="24">
        <f t="shared" si="3"/>
        <v>0</v>
      </c>
      <c r="J48" s="24">
        <f t="shared" si="4"/>
        <v>788.95999999996275</v>
      </c>
      <c r="K48" s="24">
        <f t="shared" si="5"/>
        <v>1819.2700000000004</v>
      </c>
      <c r="L48" s="24">
        <f t="shared" si="6"/>
        <v>-143.44000000000233</v>
      </c>
      <c r="M48" s="24">
        <f t="shared" si="7"/>
        <v>0</v>
      </c>
      <c r="N48" s="24">
        <f t="shared" si="8"/>
        <v>775.89000000001397</v>
      </c>
      <c r="O48" s="24">
        <f t="shared" si="9"/>
        <v>0</v>
      </c>
      <c r="P48" s="24">
        <f t="shared" si="10"/>
        <v>0</v>
      </c>
      <c r="Q48" s="38"/>
      <c r="R48" s="39">
        <v>-268219.5</v>
      </c>
      <c r="S48" s="38"/>
      <c r="T48" s="39">
        <v>473032.5</v>
      </c>
      <c r="U48" s="38"/>
      <c r="V48" s="39">
        <v>-772209.85</v>
      </c>
      <c r="W48" s="39">
        <v>-21943.34</v>
      </c>
      <c r="X48" s="39">
        <v>524127.08</v>
      </c>
      <c r="Y48" s="38"/>
      <c r="Z48" s="39">
        <v>-495295.13</v>
      </c>
      <c r="AA48" s="38"/>
      <c r="AB48" s="39">
        <v>-187035.5</v>
      </c>
      <c r="AC48" s="24">
        <f>SUMIFS('逐券逐月(WAVG)'!K:K,'逐券逐月(WAVG)'!$A:$A,逐券汇总!$D48)</f>
        <v>0</v>
      </c>
      <c r="AD48" s="24">
        <f>SUMIFS('逐券逐月(WAVG)'!L:L,'逐券逐月(WAVG)'!$A:$A,逐券汇总!$D48)</f>
        <v>-268219.5</v>
      </c>
      <c r="AE48" s="24">
        <f>SUMIFS('逐券逐月(WAVG)'!M:M,'逐券逐月(WAVG)'!$A:$A,逐券汇总!$D48)</f>
        <v>0</v>
      </c>
      <c r="AF48" s="24">
        <f>SUMIFS('逐券逐月(WAVG)'!N:N,'逐券逐月(WAVG)'!$A:$A,逐券汇总!$D48)</f>
        <v>473032.5</v>
      </c>
      <c r="AG48" s="24">
        <f>SUMIFS('逐券逐月(WAVG)'!O:O,'逐券逐月(WAVG)'!$A:$A,逐券汇总!$D48)</f>
        <v>0</v>
      </c>
      <c r="AH48" s="24">
        <f>SUMIFS('逐券逐月(WAVG)'!P:P,'逐券逐月(WAVG)'!$A:$A,逐券汇总!$D48)</f>
        <v>-771420.89</v>
      </c>
      <c r="AI48" s="24">
        <f>SUMIFS('逐券逐月(WAVG)'!Q:Q,'逐券逐月(WAVG)'!$A:$A,逐券汇总!$D48)</f>
        <v>-20124.07</v>
      </c>
      <c r="AJ48" s="24">
        <f>SUMIFS('逐券逐月(WAVG)'!R:R,'逐券逐月(WAVG)'!$A:$A,逐券汇总!$D48)</f>
        <v>523983.64</v>
      </c>
      <c r="AK48" s="24">
        <f>SUMIFS('逐券逐月(WAVG)'!S:S,'逐券逐月(WAVG)'!$A:$A,逐券汇总!$D48)</f>
        <v>0</v>
      </c>
      <c r="AL48" s="24">
        <f>SUMIFS('逐券逐月(WAVG)'!T:T,'逐券逐月(WAVG)'!$A:$A,逐券汇总!$D48)</f>
        <v>-494519.24</v>
      </c>
      <c r="AM48" s="24">
        <f>SUMIFS('逐券逐月(WAVG)'!U:U,'逐券逐月(WAVG)'!$A:$A,逐券汇总!$D48)</f>
        <v>0</v>
      </c>
      <c r="AN48" s="24">
        <f>SUMIFS('逐券逐月(WAVG)'!V:V,'逐券逐月(WAVG)'!$A:$A,逐券汇总!$D48)</f>
        <v>-187035.5</v>
      </c>
    </row>
    <row r="49" spans="1:40" x14ac:dyDescent="0.35">
      <c r="A49" s="36"/>
      <c r="B49" s="36"/>
      <c r="C49" s="37" t="s">
        <v>275</v>
      </c>
      <c r="D49" s="37" t="s">
        <v>163</v>
      </c>
      <c r="E49" s="24">
        <f t="shared" si="11"/>
        <v>1393.0300000000279</v>
      </c>
      <c r="F49" s="24">
        <f t="shared" si="0"/>
        <v>0</v>
      </c>
      <c r="G49" s="24">
        <f t="shared" si="1"/>
        <v>0</v>
      </c>
      <c r="H49" s="24">
        <f t="shared" si="2"/>
        <v>0</v>
      </c>
      <c r="I49" s="24">
        <f t="shared" si="3"/>
        <v>0</v>
      </c>
      <c r="J49" s="24">
        <f t="shared" si="4"/>
        <v>0</v>
      </c>
      <c r="K49" s="24">
        <f t="shared" si="5"/>
        <v>0</v>
      </c>
      <c r="L49" s="24">
        <f t="shared" si="6"/>
        <v>0</v>
      </c>
      <c r="M49" s="24">
        <f t="shared" si="7"/>
        <v>5757.3399999999674</v>
      </c>
      <c r="N49" s="24">
        <f t="shared" si="8"/>
        <v>0</v>
      </c>
      <c r="O49" s="24">
        <f t="shared" si="9"/>
        <v>0</v>
      </c>
      <c r="P49" s="24">
        <f t="shared" si="10"/>
        <v>0</v>
      </c>
      <c r="Q49" s="39">
        <v>381504.47</v>
      </c>
      <c r="R49" s="39">
        <v>299199.55</v>
      </c>
      <c r="S49" s="38">
        <v>0</v>
      </c>
      <c r="T49" s="39">
        <v>-523465</v>
      </c>
      <c r="U49" s="38"/>
      <c r="V49" s="39">
        <v>-693765</v>
      </c>
      <c r="W49" s="38"/>
      <c r="X49" s="39">
        <v>246685</v>
      </c>
      <c r="Y49" s="39">
        <v>859184.93</v>
      </c>
      <c r="Z49" s="39">
        <v>-1254081.25</v>
      </c>
      <c r="AA49" s="38"/>
      <c r="AB49" s="38"/>
      <c r="AC49" s="24">
        <f>SUMIFS('逐券逐月(WAVG)'!K:K,'逐券逐月(WAVG)'!$A:$A,逐券汇总!$D49)</f>
        <v>382897.5</v>
      </c>
      <c r="AD49" s="24">
        <f>SUMIFS('逐券逐月(WAVG)'!L:L,'逐券逐月(WAVG)'!$A:$A,逐券汇总!$D49)</f>
        <v>299199.55</v>
      </c>
      <c r="AE49" s="24">
        <f>SUMIFS('逐券逐月(WAVG)'!M:M,'逐券逐月(WAVG)'!$A:$A,逐券汇总!$D49)</f>
        <v>0</v>
      </c>
      <c r="AF49" s="24">
        <f>SUMIFS('逐券逐月(WAVG)'!N:N,'逐券逐月(WAVG)'!$A:$A,逐券汇总!$D49)</f>
        <v>-523465</v>
      </c>
      <c r="AG49" s="24">
        <f>SUMIFS('逐券逐月(WAVG)'!O:O,'逐券逐月(WAVG)'!$A:$A,逐券汇总!$D49)</f>
        <v>0</v>
      </c>
      <c r="AH49" s="24">
        <f>SUMIFS('逐券逐月(WAVG)'!P:P,'逐券逐月(WAVG)'!$A:$A,逐券汇总!$D49)</f>
        <v>-693765</v>
      </c>
      <c r="AI49" s="24">
        <f>SUMIFS('逐券逐月(WAVG)'!Q:Q,'逐券逐月(WAVG)'!$A:$A,逐券汇总!$D49)</f>
        <v>0</v>
      </c>
      <c r="AJ49" s="24">
        <f>SUMIFS('逐券逐月(WAVG)'!R:R,'逐券逐月(WAVG)'!$A:$A,逐券汇总!$D49)</f>
        <v>246685</v>
      </c>
      <c r="AK49" s="24">
        <f>SUMIFS('逐券逐月(WAVG)'!S:S,'逐券逐月(WAVG)'!$A:$A,逐券汇总!$D49)</f>
        <v>864942.27</v>
      </c>
      <c r="AL49" s="24">
        <f>SUMIFS('逐券逐月(WAVG)'!T:T,'逐券逐月(WAVG)'!$A:$A,逐券汇总!$D49)</f>
        <v>-1254081.25</v>
      </c>
      <c r="AM49" s="24">
        <f>SUMIFS('逐券逐月(WAVG)'!U:U,'逐券逐月(WAVG)'!$A:$A,逐券汇总!$D49)</f>
        <v>0</v>
      </c>
      <c r="AN49" s="24">
        <f>SUMIFS('逐券逐月(WAVG)'!V:V,'逐券逐月(WAVG)'!$A:$A,逐券汇总!$D49)</f>
        <v>0</v>
      </c>
    </row>
    <row r="50" spans="1:40" x14ac:dyDescent="0.35">
      <c r="A50" s="36"/>
      <c r="B50" s="36"/>
      <c r="C50" s="37" t="s">
        <v>276</v>
      </c>
      <c r="D50" s="37" t="s">
        <v>166</v>
      </c>
      <c r="E50" s="24">
        <f t="shared" si="11"/>
        <v>0</v>
      </c>
      <c r="F50" s="24">
        <f t="shared" si="0"/>
        <v>0</v>
      </c>
      <c r="G50" s="24">
        <f t="shared" si="1"/>
        <v>176.11000000000058</v>
      </c>
      <c r="H50" s="24">
        <f t="shared" si="2"/>
        <v>0</v>
      </c>
      <c r="I50" s="24">
        <f t="shared" si="3"/>
        <v>0</v>
      </c>
      <c r="J50" s="24">
        <f t="shared" si="4"/>
        <v>0</v>
      </c>
      <c r="K50" s="24">
        <f t="shared" si="5"/>
        <v>0</v>
      </c>
      <c r="L50" s="24">
        <f t="shared" si="6"/>
        <v>0</v>
      </c>
      <c r="M50" s="24">
        <f t="shared" si="7"/>
        <v>0</v>
      </c>
      <c r="N50" s="24">
        <f t="shared" si="8"/>
        <v>0</v>
      </c>
      <c r="O50" s="24">
        <f t="shared" si="9"/>
        <v>0</v>
      </c>
      <c r="P50" s="24">
        <f t="shared" si="10"/>
        <v>0</v>
      </c>
      <c r="Q50" s="38"/>
      <c r="R50" s="39">
        <v>11186.16</v>
      </c>
      <c r="S50" s="39">
        <v>-11414.84</v>
      </c>
      <c r="T50" s="39">
        <v>22037</v>
      </c>
      <c r="U50" s="38"/>
      <c r="V50" s="38"/>
      <c r="W50" s="38"/>
      <c r="X50" s="38"/>
      <c r="Y50" s="38"/>
      <c r="Z50" s="38"/>
      <c r="AA50" s="38"/>
      <c r="AB50" s="38"/>
      <c r="AC50" s="24">
        <f>SUMIFS('逐券逐月(WAVG)'!K:K,'逐券逐月(WAVG)'!$A:$A,逐券汇总!$D50)</f>
        <v>0</v>
      </c>
      <c r="AD50" s="24">
        <f>SUMIFS('逐券逐月(WAVG)'!L:L,'逐券逐月(WAVG)'!$A:$A,逐券汇总!$D50)</f>
        <v>11186.16</v>
      </c>
      <c r="AE50" s="24">
        <f>SUMIFS('逐券逐月(WAVG)'!M:M,'逐券逐月(WAVG)'!$A:$A,逐券汇总!$D50)</f>
        <v>-11238.73</v>
      </c>
      <c r="AF50" s="24">
        <f>SUMIFS('逐券逐月(WAVG)'!N:N,'逐券逐月(WAVG)'!$A:$A,逐券汇总!$D50)</f>
        <v>22037</v>
      </c>
      <c r="AG50" s="24">
        <f>SUMIFS('逐券逐月(WAVG)'!O:O,'逐券逐月(WAVG)'!$A:$A,逐券汇总!$D50)</f>
        <v>0</v>
      </c>
      <c r="AH50" s="24">
        <f>SUMIFS('逐券逐月(WAVG)'!P:P,'逐券逐月(WAVG)'!$A:$A,逐券汇总!$D50)</f>
        <v>0</v>
      </c>
      <c r="AI50" s="24">
        <f>SUMIFS('逐券逐月(WAVG)'!Q:Q,'逐券逐月(WAVG)'!$A:$A,逐券汇总!$D50)</f>
        <v>0</v>
      </c>
      <c r="AJ50" s="24">
        <f>SUMIFS('逐券逐月(WAVG)'!R:R,'逐券逐月(WAVG)'!$A:$A,逐券汇总!$D50)</f>
        <v>0</v>
      </c>
      <c r="AK50" s="24">
        <f>SUMIFS('逐券逐月(WAVG)'!S:S,'逐券逐月(WAVG)'!$A:$A,逐券汇总!$D50)</f>
        <v>0</v>
      </c>
      <c r="AL50" s="24">
        <f>SUMIFS('逐券逐月(WAVG)'!T:T,'逐券逐月(WAVG)'!$A:$A,逐券汇总!$D50)</f>
        <v>0</v>
      </c>
      <c r="AM50" s="24">
        <f>SUMIFS('逐券逐月(WAVG)'!U:U,'逐券逐月(WAVG)'!$A:$A,逐券汇总!$D50)</f>
        <v>0</v>
      </c>
      <c r="AN50" s="24">
        <f>SUMIFS('逐券逐月(WAVG)'!V:V,'逐券逐月(WAVG)'!$A:$A,逐券汇总!$D50)</f>
        <v>0</v>
      </c>
    </row>
    <row r="51" spans="1:40" x14ac:dyDescent="0.35">
      <c r="A51" s="36"/>
      <c r="B51" s="36"/>
      <c r="C51" s="37" t="s">
        <v>277</v>
      </c>
      <c r="D51" s="37" t="s">
        <v>169</v>
      </c>
      <c r="E51" s="24">
        <f t="shared" si="11"/>
        <v>1219.5300000000134</v>
      </c>
      <c r="F51" s="24">
        <f t="shared" si="0"/>
        <v>0</v>
      </c>
      <c r="G51" s="24">
        <f t="shared" si="1"/>
        <v>0</v>
      </c>
      <c r="H51" s="24">
        <f t="shared" si="2"/>
        <v>0</v>
      </c>
      <c r="I51" s="24">
        <f t="shared" si="3"/>
        <v>0</v>
      </c>
      <c r="J51" s="24">
        <f t="shared" si="4"/>
        <v>0</v>
      </c>
      <c r="K51" s="24">
        <f t="shared" si="5"/>
        <v>0</v>
      </c>
      <c r="L51" s="24">
        <f t="shared" si="6"/>
        <v>0</v>
      </c>
      <c r="M51" s="24">
        <f t="shared" si="7"/>
        <v>0</v>
      </c>
      <c r="N51" s="24">
        <f t="shared" si="8"/>
        <v>0</v>
      </c>
      <c r="O51" s="24">
        <f t="shared" si="9"/>
        <v>0</v>
      </c>
      <c r="P51" s="24">
        <f t="shared" si="10"/>
        <v>0</v>
      </c>
      <c r="Q51" s="39">
        <v>-78039.210000000006</v>
      </c>
      <c r="R51" s="39">
        <v>132150.53</v>
      </c>
      <c r="S51" s="38">
        <v>0</v>
      </c>
      <c r="T51" s="38"/>
      <c r="U51" s="38"/>
      <c r="V51" s="38"/>
      <c r="W51" s="38"/>
      <c r="X51" s="38"/>
      <c r="Y51" s="38"/>
      <c r="Z51" s="38"/>
      <c r="AA51" s="38"/>
      <c r="AB51" s="38"/>
      <c r="AC51" s="24">
        <f>SUMIFS('逐券逐月(WAVG)'!K:K,'逐券逐月(WAVG)'!$A:$A,逐券汇总!$D51)</f>
        <v>-76819.679999999993</v>
      </c>
      <c r="AD51" s="24">
        <f>SUMIFS('逐券逐月(WAVG)'!L:L,'逐券逐月(WAVG)'!$A:$A,逐券汇总!$D51)</f>
        <v>132150.53</v>
      </c>
      <c r="AE51" s="24">
        <f>SUMIFS('逐券逐月(WAVG)'!M:M,'逐券逐月(WAVG)'!$A:$A,逐券汇总!$D51)</f>
        <v>0</v>
      </c>
      <c r="AF51" s="24">
        <f>SUMIFS('逐券逐月(WAVG)'!N:N,'逐券逐月(WAVG)'!$A:$A,逐券汇总!$D51)</f>
        <v>0</v>
      </c>
      <c r="AG51" s="24">
        <f>SUMIFS('逐券逐月(WAVG)'!O:O,'逐券逐月(WAVG)'!$A:$A,逐券汇总!$D51)</f>
        <v>0</v>
      </c>
      <c r="AH51" s="24">
        <f>SUMIFS('逐券逐月(WAVG)'!P:P,'逐券逐月(WAVG)'!$A:$A,逐券汇总!$D51)</f>
        <v>0</v>
      </c>
      <c r="AI51" s="24">
        <f>SUMIFS('逐券逐月(WAVG)'!Q:Q,'逐券逐月(WAVG)'!$A:$A,逐券汇总!$D51)</f>
        <v>0</v>
      </c>
      <c r="AJ51" s="24">
        <f>SUMIFS('逐券逐月(WAVG)'!R:R,'逐券逐月(WAVG)'!$A:$A,逐券汇总!$D51)</f>
        <v>0</v>
      </c>
      <c r="AK51" s="24">
        <f>SUMIFS('逐券逐月(WAVG)'!S:S,'逐券逐月(WAVG)'!$A:$A,逐券汇总!$D51)</f>
        <v>0</v>
      </c>
      <c r="AL51" s="24">
        <f>SUMIFS('逐券逐月(WAVG)'!T:T,'逐券逐月(WAVG)'!$A:$A,逐券汇总!$D51)</f>
        <v>0</v>
      </c>
      <c r="AM51" s="24">
        <f>SUMIFS('逐券逐月(WAVG)'!U:U,'逐券逐月(WAVG)'!$A:$A,逐券汇总!$D51)</f>
        <v>0</v>
      </c>
      <c r="AN51" s="24">
        <f>SUMIFS('逐券逐月(WAVG)'!V:V,'逐券逐月(WAVG)'!$A:$A,逐券汇总!$D51)</f>
        <v>0</v>
      </c>
    </row>
    <row r="52" spans="1:40" x14ac:dyDescent="0.35">
      <c r="A52" s="36"/>
      <c r="B52" s="36"/>
      <c r="C52" s="37" t="s">
        <v>278</v>
      </c>
      <c r="D52" s="37" t="s">
        <v>172</v>
      </c>
      <c r="E52" s="24">
        <f t="shared" si="11"/>
        <v>0</v>
      </c>
      <c r="F52" s="24">
        <f t="shared" si="0"/>
        <v>0</v>
      </c>
      <c r="G52" s="24">
        <f t="shared" si="1"/>
        <v>4146.3500000000058</v>
      </c>
      <c r="H52" s="24">
        <f t="shared" si="2"/>
        <v>0</v>
      </c>
      <c r="I52" s="24">
        <f t="shared" si="3"/>
        <v>5397.1900000000023</v>
      </c>
      <c r="J52" s="24">
        <f t="shared" si="4"/>
        <v>0</v>
      </c>
      <c r="K52" s="24">
        <f t="shared" si="5"/>
        <v>0</v>
      </c>
      <c r="L52" s="24">
        <f t="shared" si="6"/>
        <v>0</v>
      </c>
      <c r="M52" s="24">
        <f t="shared" si="7"/>
        <v>0</v>
      </c>
      <c r="N52" s="24">
        <f t="shared" si="8"/>
        <v>0</v>
      </c>
      <c r="O52" s="24">
        <f t="shared" si="9"/>
        <v>0</v>
      </c>
      <c r="P52" s="24">
        <f t="shared" si="10"/>
        <v>0</v>
      </c>
      <c r="Q52" s="38"/>
      <c r="R52" s="39">
        <v>264894</v>
      </c>
      <c r="S52" s="39">
        <v>-184674.41</v>
      </c>
      <c r="T52" s="39">
        <v>282714.44</v>
      </c>
      <c r="U52" s="39">
        <v>-368990.95</v>
      </c>
      <c r="V52" s="39">
        <v>342979.26</v>
      </c>
      <c r="W52" s="38"/>
      <c r="X52" s="38"/>
      <c r="Y52" s="38"/>
      <c r="Z52" s="38"/>
      <c r="AA52" s="38"/>
      <c r="AB52" s="38"/>
      <c r="AC52" s="24">
        <f>SUMIFS('逐券逐月(WAVG)'!K:K,'逐券逐月(WAVG)'!$A:$A,逐券汇总!$D52)</f>
        <v>0</v>
      </c>
      <c r="AD52" s="24">
        <f>SUMIFS('逐券逐月(WAVG)'!L:L,'逐券逐月(WAVG)'!$A:$A,逐券汇总!$D52)</f>
        <v>264894</v>
      </c>
      <c r="AE52" s="24">
        <f>SUMIFS('逐券逐月(WAVG)'!M:M,'逐券逐月(WAVG)'!$A:$A,逐券汇总!$D52)</f>
        <v>-180528.06</v>
      </c>
      <c r="AF52" s="24">
        <f>SUMIFS('逐券逐月(WAVG)'!N:N,'逐券逐月(WAVG)'!$A:$A,逐券汇总!$D52)</f>
        <v>282714.44</v>
      </c>
      <c r="AG52" s="24">
        <f>SUMIFS('逐券逐月(WAVG)'!O:O,'逐券逐月(WAVG)'!$A:$A,逐券汇总!$D52)</f>
        <v>-363593.76</v>
      </c>
      <c r="AH52" s="24">
        <f>SUMIFS('逐券逐月(WAVG)'!P:P,'逐券逐月(WAVG)'!$A:$A,逐券汇总!$D52)</f>
        <v>342979.26</v>
      </c>
      <c r="AI52" s="24">
        <f>SUMIFS('逐券逐月(WAVG)'!Q:Q,'逐券逐月(WAVG)'!$A:$A,逐券汇总!$D52)</f>
        <v>0</v>
      </c>
      <c r="AJ52" s="24">
        <f>SUMIFS('逐券逐月(WAVG)'!R:R,'逐券逐月(WAVG)'!$A:$A,逐券汇总!$D52)</f>
        <v>0</v>
      </c>
      <c r="AK52" s="24">
        <f>SUMIFS('逐券逐月(WAVG)'!S:S,'逐券逐月(WAVG)'!$A:$A,逐券汇总!$D52)</f>
        <v>0</v>
      </c>
      <c r="AL52" s="24">
        <f>SUMIFS('逐券逐月(WAVG)'!T:T,'逐券逐月(WAVG)'!$A:$A,逐券汇总!$D52)</f>
        <v>0</v>
      </c>
      <c r="AM52" s="24">
        <f>SUMIFS('逐券逐月(WAVG)'!U:U,'逐券逐月(WAVG)'!$A:$A,逐券汇总!$D52)</f>
        <v>0</v>
      </c>
      <c r="AN52" s="24">
        <f>SUMIFS('逐券逐月(WAVG)'!V:V,'逐券逐月(WAVG)'!$A:$A,逐券汇总!$D52)</f>
        <v>0</v>
      </c>
    </row>
    <row r="53" spans="1:40" x14ac:dyDescent="0.35">
      <c r="A53" s="36"/>
      <c r="B53" s="36"/>
      <c r="C53" s="37" t="s">
        <v>279</v>
      </c>
      <c r="D53" s="37" t="s">
        <v>175</v>
      </c>
      <c r="E53" s="24">
        <f t="shared" si="11"/>
        <v>0</v>
      </c>
      <c r="F53" s="24">
        <f t="shared" si="0"/>
        <v>0</v>
      </c>
      <c r="G53" s="24">
        <f t="shared" si="1"/>
        <v>0</v>
      </c>
      <c r="H53" s="24">
        <f t="shared" si="2"/>
        <v>1211.2999999999884</v>
      </c>
      <c r="I53" s="24">
        <f t="shared" si="3"/>
        <v>0</v>
      </c>
      <c r="J53" s="24">
        <f t="shared" si="4"/>
        <v>0</v>
      </c>
      <c r="K53" s="24">
        <f t="shared" si="5"/>
        <v>0</v>
      </c>
      <c r="L53" s="24">
        <f t="shared" si="6"/>
        <v>960.1699999999837</v>
      </c>
      <c r="M53" s="24">
        <f t="shared" si="7"/>
        <v>6984.1999999999534</v>
      </c>
      <c r="N53" s="24">
        <f t="shared" si="8"/>
        <v>-1527.0799999998417</v>
      </c>
      <c r="O53" s="24">
        <f t="shared" si="9"/>
        <v>0</v>
      </c>
      <c r="P53" s="24">
        <f t="shared" si="10"/>
        <v>10260.43</v>
      </c>
      <c r="Q53" s="38"/>
      <c r="R53" s="39">
        <v>73673.600000000006</v>
      </c>
      <c r="S53" s="38"/>
      <c r="T53" s="39">
        <v>374102.84</v>
      </c>
      <c r="U53" s="38"/>
      <c r="V53" s="39">
        <v>-1438185</v>
      </c>
      <c r="W53" s="38"/>
      <c r="X53" s="39">
        <v>-182472.71</v>
      </c>
      <c r="Y53" s="39">
        <v>-1640260.07</v>
      </c>
      <c r="Z53" s="39">
        <v>1211458.1499999999</v>
      </c>
      <c r="AA53" s="38"/>
      <c r="AB53" s="39">
        <v>-59945.08</v>
      </c>
      <c r="AC53" s="24">
        <f>SUMIFS('逐券逐月(WAVG)'!K:K,'逐券逐月(WAVG)'!$A:$A,逐券汇总!$D53)</f>
        <v>0</v>
      </c>
      <c r="AD53" s="24">
        <f>SUMIFS('逐券逐月(WAVG)'!L:L,'逐券逐月(WAVG)'!$A:$A,逐券汇总!$D53)</f>
        <v>73673.600000000006</v>
      </c>
      <c r="AE53" s="24">
        <f>SUMIFS('逐券逐月(WAVG)'!M:M,'逐券逐月(WAVG)'!$A:$A,逐券汇总!$D53)</f>
        <v>0</v>
      </c>
      <c r="AF53" s="24">
        <f>SUMIFS('逐券逐月(WAVG)'!N:N,'逐券逐月(WAVG)'!$A:$A,逐券汇总!$D53)</f>
        <v>375314.14</v>
      </c>
      <c r="AG53" s="24">
        <f>SUMIFS('逐券逐月(WAVG)'!O:O,'逐券逐月(WAVG)'!$A:$A,逐券汇总!$D53)</f>
        <v>0</v>
      </c>
      <c r="AH53" s="24">
        <f>SUMIFS('逐券逐月(WAVG)'!P:P,'逐券逐月(WAVG)'!$A:$A,逐券汇总!$D53)</f>
        <v>-1438185</v>
      </c>
      <c r="AI53" s="24">
        <f>SUMIFS('逐券逐月(WAVG)'!Q:Q,'逐券逐月(WAVG)'!$A:$A,逐券汇总!$D53)</f>
        <v>0</v>
      </c>
      <c r="AJ53" s="24">
        <f>SUMIFS('逐券逐月(WAVG)'!R:R,'逐券逐月(WAVG)'!$A:$A,逐券汇总!$D53)</f>
        <v>-181512.54</v>
      </c>
      <c r="AK53" s="24">
        <f>SUMIFS('逐券逐月(WAVG)'!S:S,'逐券逐月(WAVG)'!$A:$A,逐券汇总!$D53)</f>
        <v>-1633275.87</v>
      </c>
      <c r="AL53" s="24">
        <f>SUMIFS('逐券逐月(WAVG)'!T:T,'逐券逐月(WAVG)'!$A:$A,逐券汇总!$D53)</f>
        <v>1209931.07</v>
      </c>
      <c r="AM53" s="24">
        <f>SUMIFS('逐券逐月(WAVG)'!U:U,'逐券逐月(WAVG)'!$A:$A,逐券汇总!$D53)</f>
        <v>0</v>
      </c>
      <c r="AN53" s="24">
        <f>SUMIFS('逐券逐月(WAVG)'!V:V,'逐券逐月(WAVG)'!$A:$A,逐券汇总!$D53)</f>
        <v>-49684.65</v>
      </c>
    </row>
    <row r="54" spans="1:40" x14ac:dyDescent="0.35">
      <c r="A54" s="36"/>
      <c r="B54" s="36"/>
      <c r="C54" s="37" t="s">
        <v>280</v>
      </c>
      <c r="D54" s="37" t="s">
        <v>178</v>
      </c>
      <c r="E54" s="24">
        <f t="shared" si="11"/>
        <v>0</v>
      </c>
      <c r="F54" s="24">
        <f t="shared" si="0"/>
        <v>0</v>
      </c>
      <c r="G54" s="24">
        <f t="shared" si="1"/>
        <v>470.32999999999993</v>
      </c>
      <c r="H54" s="24">
        <f t="shared" si="2"/>
        <v>0</v>
      </c>
      <c r="I54" s="24">
        <f t="shared" si="3"/>
        <v>0</v>
      </c>
      <c r="J54" s="24">
        <f t="shared" si="4"/>
        <v>0</v>
      </c>
      <c r="K54" s="24">
        <f t="shared" si="5"/>
        <v>3507.4400000000023</v>
      </c>
      <c r="L54" s="24">
        <f t="shared" si="6"/>
        <v>-1.0000000002037268E-2</v>
      </c>
      <c r="M54" s="24">
        <f t="shared" si="7"/>
        <v>6582.4599999999627</v>
      </c>
      <c r="N54" s="24">
        <f t="shared" si="8"/>
        <v>9.9999999802093953E-3</v>
      </c>
      <c r="O54" s="24">
        <f t="shared" si="9"/>
        <v>0</v>
      </c>
      <c r="P54" s="24">
        <f t="shared" si="10"/>
        <v>0</v>
      </c>
      <c r="Q54" s="38"/>
      <c r="R54" s="39">
        <v>318278.09999999998</v>
      </c>
      <c r="S54" s="39">
        <v>-9441.19</v>
      </c>
      <c r="T54" s="39">
        <v>-187079.22</v>
      </c>
      <c r="U54" s="38"/>
      <c r="V54" s="39">
        <v>666300</v>
      </c>
      <c r="W54" s="39">
        <v>123808.94</v>
      </c>
      <c r="X54" s="39">
        <v>-59681.86</v>
      </c>
      <c r="Y54" s="39">
        <v>289974.59000000003</v>
      </c>
      <c r="Z54" s="39">
        <v>-206792.61</v>
      </c>
      <c r="AA54" s="38"/>
      <c r="AB54" s="38"/>
      <c r="AC54" s="24">
        <f>SUMIFS('逐券逐月(WAVG)'!K:K,'逐券逐月(WAVG)'!$A:$A,逐券汇总!$D54)</f>
        <v>0</v>
      </c>
      <c r="AD54" s="24">
        <f>SUMIFS('逐券逐月(WAVG)'!L:L,'逐券逐月(WAVG)'!$A:$A,逐券汇总!$D54)</f>
        <v>318278.09999999998</v>
      </c>
      <c r="AE54" s="24">
        <f>SUMIFS('逐券逐月(WAVG)'!M:M,'逐券逐月(WAVG)'!$A:$A,逐券汇总!$D54)</f>
        <v>-8970.86</v>
      </c>
      <c r="AF54" s="24">
        <f>SUMIFS('逐券逐月(WAVG)'!N:N,'逐券逐月(WAVG)'!$A:$A,逐券汇总!$D54)</f>
        <v>-187079.22</v>
      </c>
      <c r="AG54" s="24">
        <f>SUMIFS('逐券逐月(WAVG)'!O:O,'逐券逐月(WAVG)'!$A:$A,逐券汇总!$D54)</f>
        <v>0</v>
      </c>
      <c r="AH54" s="24">
        <f>SUMIFS('逐券逐月(WAVG)'!P:P,'逐券逐月(WAVG)'!$A:$A,逐券汇总!$D54)</f>
        <v>666300</v>
      </c>
      <c r="AI54" s="24">
        <f>SUMIFS('逐券逐月(WAVG)'!Q:Q,'逐券逐月(WAVG)'!$A:$A,逐券汇总!$D54)</f>
        <v>127316.38</v>
      </c>
      <c r="AJ54" s="24">
        <f>SUMIFS('逐券逐月(WAVG)'!R:R,'逐券逐月(WAVG)'!$A:$A,逐券汇总!$D54)</f>
        <v>-59681.87</v>
      </c>
      <c r="AK54" s="24">
        <f>SUMIFS('逐券逐月(WAVG)'!S:S,'逐券逐月(WAVG)'!$A:$A,逐券汇总!$D54)</f>
        <v>296557.05</v>
      </c>
      <c r="AL54" s="24">
        <f>SUMIFS('逐券逐月(WAVG)'!T:T,'逐券逐月(WAVG)'!$A:$A,逐券汇总!$D54)</f>
        <v>-206792.6</v>
      </c>
      <c r="AM54" s="24">
        <f>SUMIFS('逐券逐月(WAVG)'!U:U,'逐券逐月(WAVG)'!$A:$A,逐券汇总!$D54)</f>
        <v>0</v>
      </c>
      <c r="AN54" s="24">
        <f>SUMIFS('逐券逐月(WAVG)'!V:V,'逐券逐月(WAVG)'!$A:$A,逐券汇总!$D54)</f>
        <v>0</v>
      </c>
    </row>
    <row r="55" spans="1:40" x14ac:dyDescent="0.35">
      <c r="A55" s="36"/>
      <c r="B55" s="36"/>
      <c r="C55" s="37" t="s">
        <v>281</v>
      </c>
      <c r="D55" s="37" t="s">
        <v>181</v>
      </c>
      <c r="E55" s="24">
        <f t="shared" si="11"/>
        <v>0</v>
      </c>
      <c r="F55" s="24">
        <f t="shared" si="0"/>
        <v>0</v>
      </c>
      <c r="G55" s="24">
        <f t="shared" si="1"/>
        <v>0</v>
      </c>
      <c r="H55" s="24">
        <f t="shared" si="2"/>
        <v>0</v>
      </c>
      <c r="I55" s="24">
        <f t="shared" si="3"/>
        <v>0</v>
      </c>
      <c r="J55" s="24">
        <f t="shared" si="4"/>
        <v>2447.3499999999985</v>
      </c>
      <c r="K55" s="24">
        <f t="shared" si="5"/>
        <v>0</v>
      </c>
      <c r="L55" s="24">
        <f t="shared" si="6"/>
        <v>1667.7200000000012</v>
      </c>
      <c r="M55" s="24">
        <f t="shared" si="7"/>
        <v>0</v>
      </c>
      <c r="N55" s="24">
        <f t="shared" si="8"/>
        <v>0</v>
      </c>
      <c r="O55" s="24">
        <f t="shared" si="9"/>
        <v>0</v>
      </c>
      <c r="P55" s="24">
        <f t="shared" si="10"/>
        <v>0</v>
      </c>
      <c r="Q55" s="38"/>
      <c r="R55" s="38"/>
      <c r="S55" s="38"/>
      <c r="T55" s="38"/>
      <c r="U55" s="38"/>
      <c r="V55" s="39">
        <v>-44304.75</v>
      </c>
      <c r="W55" s="38"/>
      <c r="X55" s="39">
        <v>136968.94</v>
      </c>
      <c r="Y55" s="38"/>
      <c r="Z55" s="39">
        <v>-37624</v>
      </c>
      <c r="AA55" s="38"/>
      <c r="AB55" s="39">
        <v>-57383</v>
      </c>
      <c r="AC55" s="24">
        <f>SUMIFS('逐券逐月(WAVG)'!K:K,'逐券逐月(WAVG)'!$A:$A,逐券汇总!$D55)</f>
        <v>0</v>
      </c>
      <c r="AD55" s="24">
        <f>SUMIFS('逐券逐月(WAVG)'!L:L,'逐券逐月(WAVG)'!$A:$A,逐券汇总!$D55)</f>
        <v>0</v>
      </c>
      <c r="AE55" s="24">
        <f>SUMIFS('逐券逐月(WAVG)'!M:M,'逐券逐月(WAVG)'!$A:$A,逐券汇总!$D55)</f>
        <v>0</v>
      </c>
      <c r="AF55" s="24">
        <f>SUMIFS('逐券逐月(WAVG)'!N:N,'逐券逐月(WAVG)'!$A:$A,逐券汇总!$D55)</f>
        <v>0</v>
      </c>
      <c r="AG55" s="24">
        <f>SUMIFS('逐券逐月(WAVG)'!O:O,'逐券逐月(WAVG)'!$A:$A,逐券汇总!$D55)</f>
        <v>0</v>
      </c>
      <c r="AH55" s="24">
        <f>SUMIFS('逐券逐月(WAVG)'!P:P,'逐券逐月(WAVG)'!$A:$A,逐券汇总!$D55)</f>
        <v>-41857.4</v>
      </c>
      <c r="AI55" s="24">
        <f>SUMIFS('逐券逐月(WAVG)'!Q:Q,'逐券逐月(WAVG)'!$A:$A,逐券汇总!$D55)</f>
        <v>0</v>
      </c>
      <c r="AJ55" s="24">
        <f>SUMIFS('逐券逐月(WAVG)'!R:R,'逐券逐月(WAVG)'!$A:$A,逐券汇总!$D55)</f>
        <v>138636.66</v>
      </c>
      <c r="AK55" s="24">
        <f>SUMIFS('逐券逐月(WAVG)'!S:S,'逐券逐月(WAVG)'!$A:$A,逐券汇总!$D55)</f>
        <v>0</v>
      </c>
      <c r="AL55" s="24">
        <f>SUMIFS('逐券逐月(WAVG)'!T:T,'逐券逐月(WAVG)'!$A:$A,逐券汇总!$D55)</f>
        <v>-37624</v>
      </c>
      <c r="AM55" s="24">
        <f>SUMIFS('逐券逐月(WAVG)'!U:U,'逐券逐月(WAVG)'!$A:$A,逐券汇总!$D55)</f>
        <v>0</v>
      </c>
      <c r="AN55" s="24">
        <f>SUMIFS('逐券逐月(WAVG)'!V:V,'逐券逐月(WAVG)'!$A:$A,逐券汇总!$D55)</f>
        <v>-57383</v>
      </c>
    </row>
    <row r="56" spans="1:40" x14ac:dyDescent="0.35">
      <c r="A56" s="36"/>
      <c r="B56" s="36"/>
      <c r="C56" s="37" t="s">
        <v>282</v>
      </c>
      <c r="D56" s="37" t="s">
        <v>56</v>
      </c>
      <c r="E56" s="24">
        <f t="shared" si="11"/>
        <v>0</v>
      </c>
      <c r="F56" s="24">
        <f t="shared" si="0"/>
        <v>0</v>
      </c>
      <c r="G56" s="24">
        <f t="shared" si="1"/>
        <v>0</v>
      </c>
      <c r="H56" s="24">
        <f t="shared" si="2"/>
        <v>0</v>
      </c>
      <c r="I56" s="24">
        <f t="shared" si="3"/>
        <v>0</v>
      </c>
      <c r="J56" s="24">
        <f t="shared" si="4"/>
        <v>0</v>
      </c>
      <c r="K56" s="24">
        <f t="shared" si="5"/>
        <v>0</v>
      </c>
      <c r="L56" s="24">
        <f t="shared" si="6"/>
        <v>622.63999999998487</v>
      </c>
      <c r="M56" s="24">
        <f t="shared" si="7"/>
        <v>0</v>
      </c>
      <c r="N56" s="24">
        <f t="shared" si="8"/>
        <v>0</v>
      </c>
      <c r="O56" s="24">
        <f t="shared" si="9"/>
        <v>0</v>
      </c>
      <c r="P56" s="24">
        <f t="shared" si="10"/>
        <v>0</v>
      </c>
      <c r="Q56" s="38"/>
      <c r="R56" s="39">
        <v>232045.6</v>
      </c>
      <c r="S56" s="38"/>
      <c r="T56" s="39">
        <v>73844</v>
      </c>
      <c r="U56" s="38"/>
      <c r="V56" s="39">
        <v>-1004512</v>
      </c>
      <c r="W56" s="38"/>
      <c r="X56" s="39">
        <v>188890.47</v>
      </c>
      <c r="Y56" s="38"/>
      <c r="Z56" s="39">
        <v>-476258.24</v>
      </c>
      <c r="AA56" s="38"/>
      <c r="AB56" s="39">
        <v>173019.8</v>
      </c>
      <c r="AC56" s="24">
        <f>SUMIFS('逐券逐月(WAVG)'!K:K,'逐券逐月(WAVG)'!$A:$A,逐券汇总!$D56)-AC12</f>
        <v>0</v>
      </c>
      <c r="AD56" s="24">
        <f>SUMIFS('逐券逐月(WAVG)'!L:L,'逐券逐月(WAVG)'!$A:$A,逐券汇总!$D56)-AD12</f>
        <v>232045.6</v>
      </c>
      <c r="AE56" s="24">
        <f>SUMIFS('逐券逐月(WAVG)'!M:M,'逐券逐月(WAVG)'!$A:$A,逐券汇总!$D56)-AE12</f>
        <v>0</v>
      </c>
      <c r="AF56" s="24">
        <f>SUMIFS('逐券逐月(WAVG)'!N:N,'逐券逐月(WAVG)'!$A:$A,逐券汇总!$D56)-AF12</f>
        <v>73844</v>
      </c>
      <c r="AG56" s="24">
        <f>SUMIFS('逐券逐月(WAVG)'!O:O,'逐券逐月(WAVG)'!$A:$A,逐券汇总!$D56)-AG12</f>
        <v>0</v>
      </c>
      <c r="AH56" s="24">
        <f>SUMIFS('逐券逐月(WAVG)'!P:P,'逐券逐月(WAVG)'!$A:$A,逐券汇总!$D56)-AH12</f>
        <v>-1004512</v>
      </c>
      <c r="AI56" s="24">
        <f>SUMIFS('逐券逐月(WAVG)'!Q:Q,'逐券逐月(WAVG)'!$A:$A,逐券汇总!$D56)-AI12</f>
        <v>0</v>
      </c>
      <c r="AJ56" s="24">
        <f>SUMIFS('逐券逐月(WAVG)'!R:R,'逐券逐月(WAVG)'!$A:$A,逐券汇总!$D56)-AJ12</f>
        <v>189513.11</v>
      </c>
      <c r="AK56" s="24">
        <f>SUMIFS('逐券逐月(WAVG)'!S:S,'逐券逐月(WAVG)'!$A:$A,逐券汇总!$D56)-AK12</f>
        <v>0</v>
      </c>
      <c r="AL56" s="24">
        <f>SUMIFS('逐券逐月(WAVG)'!T:T,'逐券逐月(WAVG)'!$A:$A,逐券汇总!$D56)-AL12</f>
        <v>-476258.24</v>
      </c>
      <c r="AM56" s="24">
        <f>SUMIFS('逐券逐月(WAVG)'!U:U,'逐券逐月(WAVG)'!$A:$A,逐券汇总!$D56)-AM12</f>
        <v>0</v>
      </c>
      <c r="AN56" s="24">
        <f>SUMIFS('逐券逐月(WAVG)'!V:V,'逐券逐月(WAVG)'!$A:$A,逐券汇总!$D56)-AN12</f>
        <v>173019.8</v>
      </c>
    </row>
    <row r="57" spans="1:40" x14ac:dyDescent="0.35">
      <c r="A57" s="36"/>
      <c r="B57" s="36"/>
      <c r="C57" s="37" t="s">
        <v>283</v>
      </c>
      <c r="D57" s="37" t="s">
        <v>186</v>
      </c>
      <c r="E57" s="24">
        <f t="shared" si="11"/>
        <v>0</v>
      </c>
      <c r="F57" s="24">
        <f t="shared" si="0"/>
        <v>0</v>
      </c>
      <c r="G57" s="24">
        <f t="shared" si="1"/>
        <v>0</v>
      </c>
      <c r="H57" s="24">
        <f t="shared" si="2"/>
        <v>0</v>
      </c>
      <c r="I57" s="24">
        <f t="shared" si="3"/>
        <v>0</v>
      </c>
      <c r="J57" s="24">
        <f t="shared" si="4"/>
        <v>0</v>
      </c>
      <c r="K57" s="24">
        <f t="shared" si="5"/>
        <v>0</v>
      </c>
      <c r="L57" s="24">
        <f t="shared" si="6"/>
        <v>5598.1300000000047</v>
      </c>
      <c r="M57" s="24">
        <f t="shared" si="7"/>
        <v>0</v>
      </c>
      <c r="N57" s="24">
        <f t="shared" si="8"/>
        <v>0</v>
      </c>
      <c r="O57" s="24">
        <f t="shared" si="9"/>
        <v>0</v>
      </c>
      <c r="P57" s="24">
        <f t="shared" si="10"/>
        <v>0</v>
      </c>
      <c r="Q57" s="38"/>
      <c r="R57" s="38"/>
      <c r="S57" s="38"/>
      <c r="T57" s="38"/>
      <c r="U57" s="38"/>
      <c r="V57" s="38"/>
      <c r="W57" s="38"/>
      <c r="X57" s="39">
        <v>-42497.87</v>
      </c>
      <c r="Y57" s="38"/>
      <c r="Z57" s="39">
        <v>-100144.8</v>
      </c>
      <c r="AA57" s="38"/>
      <c r="AB57" s="39">
        <v>241781.4</v>
      </c>
      <c r="AC57" s="24">
        <f>SUMIFS('逐券逐月(WAVG)'!K:K,'逐券逐月(WAVG)'!$A:$A,逐券汇总!$D57)</f>
        <v>0</v>
      </c>
      <c r="AD57" s="24">
        <f>SUMIFS('逐券逐月(WAVG)'!L:L,'逐券逐月(WAVG)'!$A:$A,逐券汇总!$D57)</f>
        <v>0</v>
      </c>
      <c r="AE57" s="24">
        <f>SUMIFS('逐券逐月(WAVG)'!M:M,'逐券逐月(WAVG)'!$A:$A,逐券汇总!$D57)</f>
        <v>0</v>
      </c>
      <c r="AF57" s="24">
        <f>SUMIFS('逐券逐月(WAVG)'!N:N,'逐券逐月(WAVG)'!$A:$A,逐券汇总!$D57)</f>
        <v>0</v>
      </c>
      <c r="AG57" s="24">
        <f>SUMIFS('逐券逐月(WAVG)'!O:O,'逐券逐月(WAVG)'!$A:$A,逐券汇总!$D57)</f>
        <v>0</v>
      </c>
      <c r="AH57" s="24">
        <f>SUMIFS('逐券逐月(WAVG)'!P:P,'逐券逐月(WAVG)'!$A:$A,逐券汇总!$D57)</f>
        <v>0</v>
      </c>
      <c r="AI57" s="24">
        <f>SUMIFS('逐券逐月(WAVG)'!Q:Q,'逐券逐月(WAVG)'!$A:$A,逐券汇总!$D57)</f>
        <v>0</v>
      </c>
      <c r="AJ57" s="24">
        <f>SUMIFS('逐券逐月(WAVG)'!R:R,'逐券逐月(WAVG)'!$A:$A,逐券汇总!$D57)</f>
        <v>-36899.74</v>
      </c>
      <c r="AK57" s="24">
        <f>SUMIFS('逐券逐月(WAVG)'!S:S,'逐券逐月(WAVG)'!$A:$A,逐券汇总!$D57)</f>
        <v>0</v>
      </c>
      <c r="AL57" s="24">
        <f>SUMIFS('逐券逐月(WAVG)'!T:T,'逐券逐月(WAVG)'!$A:$A,逐券汇总!$D57)</f>
        <v>-100144.8</v>
      </c>
      <c r="AM57" s="24">
        <f>SUMIFS('逐券逐月(WAVG)'!U:U,'逐券逐月(WAVG)'!$A:$A,逐券汇总!$D57)</f>
        <v>0</v>
      </c>
      <c r="AN57" s="24">
        <f>SUMIFS('逐券逐月(WAVG)'!V:V,'逐券逐月(WAVG)'!$A:$A,逐券汇总!$D57)</f>
        <v>241781.4</v>
      </c>
    </row>
    <row r="58" spans="1:40" x14ac:dyDescent="0.35">
      <c r="A58" s="36"/>
      <c r="B58" s="36"/>
      <c r="C58" s="37" t="s">
        <v>284</v>
      </c>
      <c r="D58" s="37" t="s">
        <v>189</v>
      </c>
      <c r="E58" s="24">
        <f t="shared" si="11"/>
        <v>0</v>
      </c>
      <c r="F58" s="24">
        <f t="shared" si="0"/>
        <v>0</v>
      </c>
      <c r="G58" s="24">
        <f t="shared" si="1"/>
        <v>0</v>
      </c>
      <c r="H58" s="24">
        <f t="shared" si="2"/>
        <v>0</v>
      </c>
      <c r="I58" s="24">
        <f t="shared" si="3"/>
        <v>0</v>
      </c>
      <c r="J58" s="24">
        <f t="shared" si="4"/>
        <v>713.05000000004657</v>
      </c>
      <c r="K58" s="24">
        <f t="shared" si="5"/>
        <v>0</v>
      </c>
      <c r="L58" s="24">
        <f t="shared" si="6"/>
        <v>714.89000000000306</v>
      </c>
      <c r="M58" s="24">
        <f t="shared" si="7"/>
        <v>0</v>
      </c>
      <c r="N58" s="24">
        <f t="shared" si="8"/>
        <v>711.93000000005122</v>
      </c>
      <c r="O58" s="24">
        <f t="shared" si="9"/>
        <v>0</v>
      </c>
      <c r="P58" s="24">
        <f t="shared" si="10"/>
        <v>0</v>
      </c>
      <c r="Q58" s="38"/>
      <c r="R58" s="39">
        <v>570504</v>
      </c>
      <c r="S58" s="38"/>
      <c r="T58" s="39">
        <v>474268</v>
      </c>
      <c r="U58" s="38"/>
      <c r="V58" s="39">
        <v>-1120927.8400000001</v>
      </c>
      <c r="W58" s="38"/>
      <c r="X58" s="39">
        <v>-33273.65</v>
      </c>
      <c r="Y58" s="38"/>
      <c r="Z58" s="39">
        <v>-819071.77</v>
      </c>
      <c r="AA58" s="38"/>
      <c r="AB58" s="39">
        <v>-170747.5</v>
      </c>
      <c r="AC58" s="24">
        <f>SUMIFS('逐券逐月(WAVG)'!K:K,'逐券逐月(WAVG)'!$A:$A,逐券汇总!$D58)</f>
        <v>0</v>
      </c>
      <c r="AD58" s="24">
        <f>SUMIFS('逐券逐月(WAVG)'!L:L,'逐券逐月(WAVG)'!$A:$A,逐券汇总!$D58)</f>
        <v>570504</v>
      </c>
      <c r="AE58" s="24">
        <f>SUMIFS('逐券逐月(WAVG)'!M:M,'逐券逐月(WAVG)'!$A:$A,逐券汇总!$D58)</f>
        <v>0</v>
      </c>
      <c r="AF58" s="24">
        <f>SUMIFS('逐券逐月(WAVG)'!N:N,'逐券逐月(WAVG)'!$A:$A,逐券汇总!$D58)</f>
        <v>474268</v>
      </c>
      <c r="AG58" s="24">
        <f>SUMIFS('逐券逐月(WAVG)'!O:O,'逐券逐月(WAVG)'!$A:$A,逐券汇总!$D58)</f>
        <v>0</v>
      </c>
      <c r="AH58" s="24">
        <f>SUMIFS('逐券逐月(WAVG)'!P:P,'逐券逐月(WAVG)'!$A:$A,逐券汇总!$D58)</f>
        <v>-1120214.79</v>
      </c>
      <c r="AI58" s="24">
        <f>SUMIFS('逐券逐月(WAVG)'!Q:Q,'逐券逐月(WAVG)'!$A:$A,逐券汇总!$D58)</f>
        <v>0</v>
      </c>
      <c r="AJ58" s="24">
        <f>SUMIFS('逐券逐月(WAVG)'!R:R,'逐券逐月(WAVG)'!$A:$A,逐券汇总!$D58)</f>
        <v>-32558.76</v>
      </c>
      <c r="AK58" s="24">
        <f>SUMIFS('逐券逐月(WAVG)'!S:S,'逐券逐月(WAVG)'!$A:$A,逐券汇总!$D58)</f>
        <v>0</v>
      </c>
      <c r="AL58" s="24">
        <f>SUMIFS('逐券逐月(WAVG)'!T:T,'逐券逐月(WAVG)'!$A:$A,逐券汇总!$D58)</f>
        <v>-818359.84</v>
      </c>
      <c r="AM58" s="24">
        <f>SUMIFS('逐券逐月(WAVG)'!U:U,'逐券逐月(WAVG)'!$A:$A,逐券汇总!$D58)</f>
        <v>0</v>
      </c>
      <c r="AN58" s="24">
        <f>SUMIFS('逐券逐月(WAVG)'!V:V,'逐券逐月(WAVG)'!$A:$A,逐券汇总!$D58)</f>
        <v>-170747.5</v>
      </c>
    </row>
    <row r="59" spans="1:40" x14ac:dyDescent="0.35">
      <c r="A59" s="36"/>
      <c r="B59" s="36"/>
      <c r="C59" s="37" t="s">
        <v>285</v>
      </c>
      <c r="D59" s="37" t="s">
        <v>192</v>
      </c>
      <c r="E59" s="24">
        <f t="shared" si="11"/>
        <v>0</v>
      </c>
      <c r="F59" s="24">
        <f t="shared" si="0"/>
        <v>0</v>
      </c>
      <c r="G59" s="24">
        <f t="shared" si="1"/>
        <v>0</v>
      </c>
      <c r="H59" s="24">
        <f t="shared" si="2"/>
        <v>4182.890000000014</v>
      </c>
      <c r="I59" s="24">
        <f t="shared" si="3"/>
        <v>0</v>
      </c>
      <c r="J59" s="24">
        <f t="shared" si="4"/>
        <v>1597.0299999999115</v>
      </c>
      <c r="K59" s="24">
        <f t="shared" si="5"/>
        <v>0</v>
      </c>
      <c r="L59" s="24">
        <f t="shared" si="6"/>
        <v>1865.1900000000005</v>
      </c>
      <c r="M59" s="24">
        <f t="shared" si="7"/>
        <v>9397.2099999999627</v>
      </c>
      <c r="N59" s="24">
        <f t="shared" si="8"/>
        <v>-5460.7999999999884</v>
      </c>
      <c r="O59" s="24">
        <f t="shared" si="9"/>
        <v>0</v>
      </c>
      <c r="P59" s="24">
        <f t="shared" si="10"/>
        <v>-4647.3099999999977</v>
      </c>
      <c r="Q59" s="38"/>
      <c r="R59" s="38"/>
      <c r="S59" s="38"/>
      <c r="T59" s="39">
        <v>-83793.320000000007</v>
      </c>
      <c r="U59" s="38"/>
      <c r="V59" s="39">
        <v>-840637.19</v>
      </c>
      <c r="W59" s="38"/>
      <c r="X59" s="39">
        <v>13346.16</v>
      </c>
      <c r="Y59" s="39">
        <v>-1341975.42</v>
      </c>
      <c r="Z59" s="39">
        <v>404128.94</v>
      </c>
      <c r="AA59" s="38"/>
      <c r="AB59" s="39">
        <v>-38960.69</v>
      </c>
      <c r="AC59" s="24">
        <f>SUMIFS('逐券逐月(WAVG)'!K:K,'逐券逐月(WAVG)'!$A:$A,逐券汇总!$D59)</f>
        <v>0</v>
      </c>
      <c r="AD59" s="24">
        <f>SUMIFS('逐券逐月(WAVG)'!L:L,'逐券逐月(WAVG)'!$A:$A,逐券汇总!$D59)</f>
        <v>0</v>
      </c>
      <c r="AE59" s="24">
        <f>SUMIFS('逐券逐月(WAVG)'!M:M,'逐券逐月(WAVG)'!$A:$A,逐券汇总!$D59)</f>
        <v>0</v>
      </c>
      <c r="AF59" s="24">
        <f>SUMIFS('逐券逐月(WAVG)'!N:N,'逐券逐月(WAVG)'!$A:$A,逐券汇总!$D59)</f>
        <v>-79610.429999999993</v>
      </c>
      <c r="AG59" s="24">
        <f>SUMIFS('逐券逐月(WAVG)'!O:O,'逐券逐月(WAVG)'!$A:$A,逐券汇总!$D59)</f>
        <v>0</v>
      </c>
      <c r="AH59" s="24">
        <f>SUMIFS('逐券逐月(WAVG)'!P:P,'逐券逐月(WAVG)'!$A:$A,逐券汇总!$D59)</f>
        <v>-839040.16</v>
      </c>
      <c r="AI59" s="24">
        <f>SUMIFS('逐券逐月(WAVG)'!Q:Q,'逐券逐月(WAVG)'!$A:$A,逐券汇总!$D59)</f>
        <v>0</v>
      </c>
      <c r="AJ59" s="24">
        <f>SUMIFS('逐券逐月(WAVG)'!R:R,'逐券逐月(WAVG)'!$A:$A,逐券汇总!$D59)</f>
        <v>15211.35</v>
      </c>
      <c r="AK59" s="24">
        <f>SUMIFS('逐券逐月(WAVG)'!S:S,'逐券逐月(WAVG)'!$A:$A,逐券汇总!$D59)</f>
        <v>-1332578.21</v>
      </c>
      <c r="AL59" s="24">
        <f>SUMIFS('逐券逐月(WAVG)'!T:T,'逐券逐月(WAVG)'!$A:$A,逐券汇总!$D59)</f>
        <v>398668.14</v>
      </c>
      <c r="AM59" s="24">
        <f>SUMIFS('逐券逐月(WAVG)'!U:U,'逐券逐月(WAVG)'!$A:$A,逐券汇总!$D59)</f>
        <v>0</v>
      </c>
      <c r="AN59" s="24">
        <f>SUMIFS('逐券逐月(WAVG)'!V:V,'逐券逐月(WAVG)'!$A:$A,逐券汇总!$D59)</f>
        <v>-43608</v>
      </c>
    </row>
    <row r="60" spans="1:40" x14ac:dyDescent="0.35">
      <c r="A60" s="40" t="s">
        <v>195</v>
      </c>
      <c r="B60" s="40"/>
      <c r="C60" s="40"/>
      <c r="D60" s="40"/>
      <c r="E60" s="28">
        <f>SUM(E4:E59)</f>
        <v>8160.0700000000325</v>
      </c>
      <c r="F60" s="28">
        <f>SUM(F4:F59)</f>
        <v>5501.9999999999691</v>
      </c>
      <c r="G60" s="28">
        <f t="shared" ref="G60:P60" si="12">SUM(G4:G59)</f>
        <v>30298.899999999972</v>
      </c>
      <c r="H60" s="28">
        <f t="shared" si="12"/>
        <v>16218.199999999897</v>
      </c>
      <c r="I60" s="28">
        <f t="shared" si="12"/>
        <v>9434.4500000000317</v>
      </c>
      <c r="J60" s="28">
        <f t="shared" si="12"/>
        <v>6276.5199999999386</v>
      </c>
      <c r="K60" s="28">
        <f t="shared" si="12"/>
        <v>28080.229999999905</v>
      </c>
      <c r="L60" s="28">
        <f t="shared" si="12"/>
        <v>21117.359999999913</v>
      </c>
      <c r="M60" s="28">
        <f t="shared" si="12"/>
        <v>56143.119999999857</v>
      </c>
      <c r="N60" s="28">
        <f t="shared" si="12"/>
        <v>-5165.2399999999907</v>
      </c>
      <c r="O60" s="28">
        <f t="shared" si="12"/>
        <v>250690.35999999993</v>
      </c>
      <c r="P60" s="28">
        <f t="shared" si="12"/>
        <v>-460847.21999999986</v>
      </c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</row>
  </sheetData>
  <mergeCells count="29">
    <mergeCell ref="E1:P1"/>
    <mergeCell ref="Q1:AB1"/>
    <mergeCell ref="AC1:AN1"/>
    <mergeCell ref="A60:D60"/>
    <mergeCell ref="AC2:AD2"/>
    <mergeCell ref="AE2:AF2"/>
    <mergeCell ref="AG2:AH2"/>
    <mergeCell ref="AI2:AJ2"/>
    <mergeCell ref="AK2:AL2"/>
    <mergeCell ref="AM2:AN2"/>
    <mergeCell ref="U2:V2"/>
    <mergeCell ref="W2:X2"/>
    <mergeCell ref="Y2:Z2"/>
    <mergeCell ref="AA2:AB2"/>
    <mergeCell ref="A4:A59"/>
    <mergeCell ref="B4:B59"/>
    <mergeCell ref="C14:C15"/>
    <mergeCell ref="E2:F2"/>
    <mergeCell ref="G2:H2"/>
    <mergeCell ref="I2:J2"/>
    <mergeCell ref="A2:A3"/>
    <mergeCell ref="B2:B3"/>
    <mergeCell ref="C2:C3"/>
    <mergeCell ref="D2:D3"/>
    <mergeCell ref="Q2:R2"/>
    <mergeCell ref="S2:T2"/>
    <mergeCell ref="K2:L2"/>
    <mergeCell ref="M2:N2"/>
    <mergeCell ref="O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8505-F134-422D-96A7-1CF917BB53FD}">
  <sheetPr filterMode="1"/>
  <dimension ref="A2:B59"/>
  <sheetViews>
    <sheetView topLeftCell="A2" workbookViewId="0">
      <selection activeCell="B3" sqref="A3:XFD3"/>
    </sheetView>
  </sheetViews>
  <sheetFormatPr defaultRowHeight="14.5" x14ac:dyDescent="0.35"/>
  <sheetData>
    <row r="2" spans="1:2" x14ac:dyDescent="0.35">
      <c r="A2" s="22" t="s">
        <v>252</v>
      </c>
    </row>
    <row r="3" spans="1:2" x14ac:dyDescent="0.35">
      <c r="A3" s="22"/>
    </row>
    <row r="4" spans="1:2" hidden="1" x14ac:dyDescent="0.35">
      <c r="A4" s="23" t="s">
        <v>32</v>
      </c>
      <c r="B4">
        <f>COUNTIF(A:A,A4)</f>
        <v>1</v>
      </c>
    </row>
    <row r="5" spans="1:2" x14ac:dyDescent="0.35">
      <c r="A5" s="23" t="s">
        <v>35</v>
      </c>
      <c r="B5">
        <f t="shared" ref="B5:B59" si="0">COUNTIF(A:A,A5)</f>
        <v>2</v>
      </c>
    </row>
    <row r="6" spans="1:2" hidden="1" x14ac:dyDescent="0.35">
      <c r="A6" s="23" t="s">
        <v>38</v>
      </c>
      <c r="B6">
        <f t="shared" si="0"/>
        <v>1</v>
      </c>
    </row>
    <row r="7" spans="1:2" hidden="1" x14ac:dyDescent="0.35">
      <c r="A7" s="23" t="s">
        <v>41</v>
      </c>
      <c r="B7">
        <f t="shared" si="0"/>
        <v>1</v>
      </c>
    </row>
    <row r="8" spans="1:2" hidden="1" x14ac:dyDescent="0.35">
      <c r="A8" s="23" t="s">
        <v>44</v>
      </c>
      <c r="B8">
        <f t="shared" si="0"/>
        <v>1</v>
      </c>
    </row>
    <row r="9" spans="1:2" hidden="1" x14ac:dyDescent="0.35">
      <c r="A9" s="23" t="s">
        <v>47</v>
      </c>
      <c r="B9">
        <f t="shared" si="0"/>
        <v>1</v>
      </c>
    </row>
    <row r="10" spans="1:2" hidden="1" x14ac:dyDescent="0.35">
      <c r="A10" s="23" t="s">
        <v>50</v>
      </c>
      <c r="B10">
        <f t="shared" si="0"/>
        <v>1</v>
      </c>
    </row>
    <row r="11" spans="1:2" hidden="1" x14ac:dyDescent="0.35">
      <c r="A11" s="23" t="s">
        <v>53</v>
      </c>
      <c r="B11">
        <f t="shared" si="0"/>
        <v>1</v>
      </c>
    </row>
    <row r="12" spans="1:2" x14ac:dyDescent="0.35">
      <c r="A12" s="23" t="s">
        <v>56</v>
      </c>
      <c r="B12">
        <f t="shared" si="0"/>
        <v>2</v>
      </c>
    </row>
    <row r="13" spans="1:2" hidden="1" x14ac:dyDescent="0.35">
      <c r="A13" s="23" t="s">
        <v>59</v>
      </c>
      <c r="B13">
        <f t="shared" si="0"/>
        <v>1</v>
      </c>
    </row>
    <row r="14" spans="1:2" hidden="1" x14ac:dyDescent="0.35">
      <c r="A14" s="23" t="s">
        <v>253</v>
      </c>
      <c r="B14">
        <f t="shared" si="0"/>
        <v>1</v>
      </c>
    </row>
    <row r="15" spans="1:2" hidden="1" x14ac:dyDescent="0.35">
      <c r="A15" s="23" t="s">
        <v>62</v>
      </c>
      <c r="B15">
        <f t="shared" si="0"/>
        <v>1</v>
      </c>
    </row>
    <row r="16" spans="1:2" hidden="1" x14ac:dyDescent="0.35">
      <c r="A16" s="23" t="s">
        <v>65</v>
      </c>
      <c r="B16">
        <f t="shared" si="0"/>
        <v>1</v>
      </c>
    </row>
    <row r="17" spans="1:2" hidden="1" x14ac:dyDescent="0.35">
      <c r="A17" s="23" t="s">
        <v>68</v>
      </c>
      <c r="B17">
        <f t="shared" si="0"/>
        <v>1</v>
      </c>
    </row>
    <row r="18" spans="1:2" hidden="1" x14ac:dyDescent="0.35">
      <c r="A18" s="23" t="s">
        <v>71</v>
      </c>
      <c r="B18">
        <f t="shared" si="0"/>
        <v>1</v>
      </c>
    </row>
    <row r="19" spans="1:2" hidden="1" x14ac:dyDescent="0.35">
      <c r="A19" s="23" t="s">
        <v>74</v>
      </c>
      <c r="B19">
        <f t="shared" si="0"/>
        <v>1</v>
      </c>
    </row>
    <row r="20" spans="1:2" hidden="1" x14ac:dyDescent="0.35">
      <c r="A20" s="23" t="s">
        <v>77</v>
      </c>
      <c r="B20">
        <f t="shared" si="0"/>
        <v>1</v>
      </c>
    </row>
    <row r="21" spans="1:2" hidden="1" x14ac:dyDescent="0.35">
      <c r="A21" s="23" t="s">
        <v>80</v>
      </c>
      <c r="B21">
        <f t="shared" si="0"/>
        <v>1</v>
      </c>
    </row>
    <row r="22" spans="1:2" hidden="1" x14ac:dyDescent="0.35">
      <c r="A22" s="23" t="s">
        <v>83</v>
      </c>
      <c r="B22">
        <f t="shared" si="0"/>
        <v>1</v>
      </c>
    </row>
    <row r="23" spans="1:2" hidden="1" x14ac:dyDescent="0.35">
      <c r="A23" s="23" t="s">
        <v>86</v>
      </c>
      <c r="B23">
        <f t="shared" si="0"/>
        <v>1</v>
      </c>
    </row>
    <row r="24" spans="1:2" hidden="1" x14ac:dyDescent="0.35">
      <c r="A24" s="23" t="s">
        <v>89</v>
      </c>
      <c r="B24">
        <f t="shared" si="0"/>
        <v>1</v>
      </c>
    </row>
    <row r="25" spans="1:2" hidden="1" x14ac:dyDescent="0.35">
      <c r="A25" s="23" t="s">
        <v>92</v>
      </c>
      <c r="B25">
        <f t="shared" si="0"/>
        <v>1</v>
      </c>
    </row>
    <row r="26" spans="1:2" hidden="1" x14ac:dyDescent="0.35">
      <c r="A26" s="23" t="s">
        <v>95</v>
      </c>
      <c r="B26">
        <f t="shared" si="0"/>
        <v>1</v>
      </c>
    </row>
    <row r="27" spans="1:2" hidden="1" x14ac:dyDescent="0.35">
      <c r="A27" s="23" t="s">
        <v>98</v>
      </c>
      <c r="B27">
        <f t="shared" si="0"/>
        <v>1</v>
      </c>
    </row>
    <row r="28" spans="1:2" ht="19" hidden="1" x14ac:dyDescent="0.35">
      <c r="A28" s="23" t="s">
        <v>101</v>
      </c>
      <c r="B28">
        <f t="shared" si="0"/>
        <v>1</v>
      </c>
    </row>
    <row r="29" spans="1:2" x14ac:dyDescent="0.35">
      <c r="A29" s="23" t="s">
        <v>35</v>
      </c>
      <c r="B29">
        <f t="shared" si="0"/>
        <v>2</v>
      </c>
    </row>
    <row r="30" spans="1:2" hidden="1" x14ac:dyDescent="0.35">
      <c r="A30" s="23" t="s">
        <v>106</v>
      </c>
      <c r="B30">
        <f t="shared" si="0"/>
        <v>1</v>
      </c>
    </row>
    <row r="31" spans="1:2" hidden="1" x14ac:dyDescent="0.35">
      <c r="A31" s="23" t="s">
        <v>109</v>
      </c>
      <c r="B31">
        <f t="shared" si="0"/>
        <v>1</v>
      </c>
    </row>
    <row r="32" spans="1:2" hidden="1" x14ac:dyDescent="0.35">
      <c r="A32" s="23" t="s">
        <v>112</v>
      </c>
      <c r="B32">
        <f t="shared" si="0"/>
        <v>1</v>
      </c>
    </row>
    <row r="33" spans="1:2" hidden="1" x14ac:dyDescent="0.35">
      <c r="A33" s="23" t="s">
        <v>115</v>
      </c>
      <c r="B33">
        <f t="shared" si="0"/>
        <v>1</v>
      </c>
    </row>
    <row r="34" spans="1:2" hidden="1" x14ac:dyDescent="0.35">
      <c r="A34" s="23" t="s">
        <v>118</v>
      </c>
      <c r="B34">
        <f t="shared" si="0"/>
        <v>1</v>
      </c>
    </row>
    <row r="35" spans="1:2" hidden="1" x14ac:dyDescent="0.35">
      <c r="A35" s="23" t="s">
        <v>121</v>
      </c>
      <c r="B35">
        <f t="shared" si="0"/>
        <v>1</v>
      </c>
    </row>
    <row r="36" spans="1:2" hidden="1" x14ac:dyDescent="0.35">
      <c r="A36" s="23" t="s">
        <v>124</v>
      </c>
      <c r="B36">
        <f t="shared" si="0"/>
        <v>1</v>
      </c>
    </row>
    <row r="37" spans="1:2" hidden="1" x14ac:dyDescent="0.35">
      <c r="A37" s="23" t="s">
        <v>127</v>
      </c>
      <c r="B37">
        <f t="shared" si="0"/>
        <v>1</v>
      </c>
    </row>
    <row r="38" spans="1:2" hidden="1" x14ac:dyDescent="0.35">
      <c r="A38" s="23" t="s">
        <v>130</v>
      </c>
      <c r="B38">
        <f t="shared" si="0"/>
        <v>1</v>
      </c>
    </row>
    <row r="39" spans="1:2" hidden="1" x14ac:dyDescent="0.35">
      <c r="A39" s="23" t="s">
        <v>133</v>
      </c>
      <c r="B39">
        <f t="shared" si="0"/>
        <v>1</v>
      </c>
    </row>
    <row r="40" spans="1:2" hidden="1" x14ac:dyDescent="0.35">
      <c r="A40" s="23" t="s">
        <v>136</v>
      </c>
      <c r="B40">
        <f t="shared" si="0"/>
        <v>1</v>
      </c>
    </row>
    <row r="41" spans="1:2" ht="19" hidden="1" x14ac:dyDescent="0.35">
      <c r="A41" s="23" t="s">
        <v>139</v>
      </c>
      <c r="B41">
        <f t="shared" si="0"/>
        <v>1</v>
      </c>
    </row>
    <row r="42" spans="1:2" hidden="1" x14ac:dyDescent="0.35">
      <c r="A42" s="23" t="s">
        <v>142</v>
      </c>
      <c r="B42">
        <f t="shared" si="0"/>
        <v>1</v>
      </c>
    </row>
    <row r="43" spans="1:2" ht="19" hidden="1" x14ac:dyDescent="0.35">
      <c r="A43" s="23" t="s">
        <v>145</v>
      </c>
      <c r="B43">
        <f t="shared" si="0"/>
        <v>1</v>
      </c>
    </row>
    <row r="44" spans="1:2" hidden="1" x14ac:dyDescent="0.35">
      <c r="A44" s="23" t="s">
        <v>148</v>
      </c>
      <c r="B44">
        <f t="shared" si="0"/>
        <v>1</v>
      </c>
    </row>
    <row r="45" spans="1:2" hidden="1" x14ac:dyDescent="0.35">
      <c r="A45" s="23" t="s">
        <v>151</v>
      </c>
      <c r="B45">
        <f t="shared" si="0"/>
        <v>1</v>
      </c>
    </row>
    <row r="46" spans="1:2" hidden="1" x14ac:dyDescent="0.35">
      <c r="A46" s="23" t="s">
        <v>154</v>
      </c>
      <c r="B46">
        <f t="shared" si="0"/>
        <v>1</v>
      </c>
    </row>
    <row r="47" spans="1:2" hidden="1" x14ac:dyDescent="0.35">
      <c r="A47" s="23" t="s">
        <v>157</v>
      </c>
      <c r="B47">
        <f t="shared" si="0"/>
        <v>1</v>
      </c>
    </row>
    <row r="48" spans="1:2" hidden="1" x14ac:dyDescent="0.35">
      <c r="A48" s="23" t="s">
        <v>160</v>
      </c>
      <c r="B48">
        <f t="shared" si="0"/>
        <v>1</v>
      </c>
    </row>
    <row r="49" spans="1:2" hidden="1" x14ac:dyDescent="0.35">
      <c r="A49" s="23" t="s">
        <v>163</v>
      </c>
      <c r="B49">
        <f t="shared" si="0"/>
        <v>1</v>
      </c>
    </row>
    <row r="50" spans="1:2" hidden="1" x14ac:dyDescent="0.35">
      <c r="A50" s="23" t="s">
        <v>166</v>
      </c>
      <c r="B50">
        <f t="shared" si="0"/>
        <v>1</v>
      </c>
    </row>
    <row r="51" spans="1:2" hidden="1" x14ac:dyDescent="0.35">
      <c r="A51" s="23" t="s">
        <v>169</v>
      </c>
      <c r="B51">
        <f t="shared" si="0"/>
        <v>1</v>
      </c>
    </row>
    <row r="52" spans="1:2" hidden="1" x14ac:dyDescent="0.35">
      <c r="A52" s="23" t="s">
        <v>172</v>
      </c>
      <c r="B52">
        <f t="shared" si="0"/>
        <v>1</v>
      </c>
    </row>
    <row r="53" spans="1:2" hidden="1" x14ac:dyDescent="0.35">
      <c r="A53" s="23" t="s">
        <v>175</v>
      </c>
      <c r="B53">
        <f t="shared" si="0"/>
        <v>1</v>
      </c>
    </row>
    <row r="54" spans="1:2" hidden="1" x14ac:dyDescent="0.35">
      <c r="A54" s="23" t="s">
        <v>178</v>
      </c>
      <c r="B54">
        <f t="shared" si="0"/>
        <v>1</v>
      </c>
    </row>
    <row r="55" spans="1:2" hidden="1" x14ac:dyDescent="0.35">
      <c r="A55" s="23" t="s">
        <v>181</v>
      </c>
      <c r="B55">
        <f t="shared" si="0"/>
        <v>1</v>
      </c>
    </row>
    <row r="56" spans="1:2" x14ac:dyDescent="0.35">
      <c r="A56" s="23" t="s">
        <v>56</v>
      </c>
      <c r="B56">
        <f t="shared" si="0"/>
        <v>2</v>
      </c>
    </row>
    <row r="57" spans="1:2" hidden="1" x14ac:dyDescent="0.35">
      <c r="A57" s="23" t="s">
        <v>186</v>
      </c>
      <c r="B57">
        <f t="shared" si="0"/>
        <v>1</v>
      </c>
    </row>
    <row r="58" spans="1:2" hidden="1" x14ac:dyDescent="0.35">
      <c r="A58" s="23" t="s">
        <v>189</v>
      </c>
      <c r="B58">
        <f t="shared" si="0"/>
        <v>1</v>
      </c>
    </row>
    <row r="59" spans="1:2" hidden="1" x14ac:dyDescent="0.35">
      <c r="A59" s="23" t="s">
        <v>192</v>
      </c>
      <c r="B59">
        <f t="shared" si="0"/>
        <v>1</v>
      </c>
    </row>
  </sheetData>
  <autoFilter ref="A3:B59" xr:uid="{2D468505-F134-422D-96A7-1CF917BB53FD}">
    <filterColumn colId="1">
      <filters>
        <filter val="2"/>
      </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.5" x14ac:dyDescent="0.35"/>
  <cols>
    <col min="1" max="1" width="18" customWidth="1"/>
    <col min="2" max="2" width="88" customWidth="1"/>
  </cols>
  <sheetData>
    <row r="1" spans="1:2" x14ac:dyDescent="0.35">
      <c r="A1" t="s">
        <v>196</v>
      </c>
      <c r="B1" t="s">
        <v>197</v>
      </c>
    </row>
    <row r="2" spans="1:2" x14ac:dyDescent="0.35">
      <c r="A2" t="s">
        <v>198</v>
      </c>
      <c r="B2" t="s">
        <v>199</v>
      </c>
    </row>
    <row r="3" spans="1:2" x14ac:dyDescent="0.35">
      <c r="A3" t="s">
        <v>200</v>
      </c>
      <c r="B3" t="s">
        <v>201</v>
      </c>
    </row>
    <row r="4" spans="1:2" x14ac:dyDescent="0.35">
      <c r="A4" t="s">
        <v>202</v>
      </c>
      <c r="B4" t="s">
        <v>203</v>
      </c>
    </row>
    <row r="5" spans="1:2" x14ac:dyDescent="0.35">
      <c r="A5" t="s">
        <v>204</v>
      </c>
      <c r="B5" t="s">
        <v>205</v>
      </c>
    </row>
    <row r="6" spans="1:2" x14ac:dyDescent="0.35">
      <c r="A6" t="s">
        <v>2</v>
      </c>
      <c r="B6" t="s">
        <v>206</v>
      </c>
    </row>
    <row r="7" spans="1:2" x14ac:dyDescent="0.35">
      <c r="A7" t="s">
        <v>3</v>
      </c>
      <c r="B7" t="s">
        <v>207</v>
      </c>
    </row>
    <row r="8" spans="1:2" x14ac:dyDescent="0.35">
      <c r="A8" t="s">
        <v>30</v>
      </c>
      <c r="B8" t="s">
        <v>208</v>
      </c>
    </row>
    <row r="9" spans="1:2" x14ac:dyDescent="0.35">
      <c r="A9" t="s">
        <v>209</v>
      </c>
      <c r="B9" t="s">
        <v>210</v>
      </c>
    </row>
    <row r="10" spans="1:2" x14ac:dyDescent="0.35">
      <c r="A10" t="s">
        <v>211</v>
      </c>
      <c r="B10" t="s">
        <v>212</v>
      </c>
    </row>
    <row r="11" spans="1:2" x14ac:dyDescent="0.35">
      <c r="A11" t="s">
        <v>213</v>
      </c>
      <c r="B11" t="s">
        <v>214</v>
      </c>
    </row>
    <row r="12" spans="1:2" x14ac:dyDescent="0.35">
      <c r="A12" t="s">
        <v>215</v>
      </c>
      <c r="B12" t="s">
        <v>216</v>
      </c>
    </row>
    <row r="13" spans="1:2" x14ac:dyDescent="0.35">
      <c r="A13" t="s">
        <v>217</v>
      </c>
      <c r="B13" t="s">
        <v>218</v>
      </c>
    </row>
    <row r="14" spans="1:2" x14ac:dyDescent="0.35">
      <c r="A14" t="s">
        <v>219</v>
      </c>
      <c r="B14" t="s">
        <v>220</v>
      </c>
    </row>
    <row r="15" spans="1:2" x14ac:dyDescent="0.35">
      <c r="A15" t="s">
        <v>221</v>
      </c>
      <c r="B15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逐月汇总(WAVG)</vt:lpstr>
      <vt:lpstr>逐月汇总</vt:lpstr>
      <vt:lpstr>逐券逐月(WAVG)</vt:lpstr>
      <vt:lpstr>逐券汇总</vt:lpstr>
      <vt:lpstr>Sheet3</vt:lpstr>
      <vt:lpstr>逐月核对说明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苏鹏</cp:lastModifiedBy>
  <dcterms:created xsi:type="dcterms:W3CDTF">2026-06-16T00:36:00Z</dcterms:created>
  <dcterms:modified xsi:type="dcterms:W3CDTF">2026-06-16T07:41:18Z</dcterms:modified>
</cp:coreProperties>
</file>