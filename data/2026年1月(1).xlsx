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pen\Downloads\"/>
    </mc:Choice>
  </mc:AlternateContent>
  <xr:revisionPtr revIDLastSave="0" documentId="13_ncr:1_{7C40EAB3-DBD0-4635-864C-6B624F371A3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heet54" sheetId="1" state="hidden" r:id="rId1"/>
    <sheet name="本年累计" sheetId="2" r:id="rId2"/>
    <sheet name="口径说明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Sheet54!$A$1:$AK$142</definedName>
    <definedName name="_xlnm._FilterDatabase" localSheetId="1" hidden="1">本年累计!$A$1:$AK$142</definedName>
    <definedName name="ailxcfjb">'[1]#REF'!$A$1</definedName>
    <definedName name="apyfcyhw">'[1]#REF'!$A$1</definedName>
    <definedName name="aujzarkj">'[2]#REF'!$A$1</definedName>
    <definedName name="avmpmedq">'[3]#REF'!$A$1</definedName>
    <definedName name="bdairnqd">'[4]#REF'!$A$1</definedName>
    <definedName name="bitfxntp">'[5]#REF'!$A$1</definedName>
    <definedName name="biukkekl" localSheetId="1">本年累计!$A$1</definedName>
    <definedName name="biukkekl">Sheet54!$A$1</definedName>
    <definedName name="bknrcbtm">'[6]#REF'!$A$1</definedName>
    <definedName name="bmygeinz">'[1]#REF'!$A$1</definedName>
    <definedName name="boxvdrvn">'[7]#REF'!$A$1</definedName>
    <definedName name="bquckijz">'[2]#REF'!$A$1</definedName>
    <definedName name="buvomlnr">'[8]#REF'!$A$1</definedName>
    <definedName name="bvdepspo">'[2]#REF'!$A$1</definedName>
    <definedName name="bwqsqjza">'[2]#REF'!$E$3</definedName>
    <definedName name="bxrfmpue">'[7]#REF'!$A$1</definedName>
    <definedName name="byndfpoi">'[9]#REF'!$A$1</definedName>
    <definedName name="bzartlsc">'[8]#REF'!$A$1</definedName>
    <definedName name="caedeslv">'[7]#REF'!$A$1</definedName>
    <definedName name="cdcwryey">'[10]#REF'!$A$1</definedName>
    <definedName name="cpnllhur">'[1]#REF'!$A$1</definedName>
    <definedName name="cuyosutd">'[2]#REF'!$A$1</definedName>
    <definedName name="cvuklgsj">'[11]#REF'!$B$2</definedName>
    <definedName name="deqkwkzi">'[2]#REF'!$A$1</definedName>
    <definedName name="dftrqaiy">'[5]#REF'!$A$1</definedName>
    <definedName name="dmesnbje">'[12]#REF'!$A$1</definedName>
    <definedName name="dmfezyqy">'[13]#REF'!$A$1</definedName>
    <definedName name="dvqalzwz">'[6]#REF'!$A$1</definedName>
    <definedName name="dvutfafg">'[6]#REF'!$A$1</definedName>
    <definedName name="dxvlhjnw">'[14]#REF'!$A$1</definedName>
    <definedName name="dzcclxak">'[7]#REF'!$A$1</definedName>
    <definedName name="ebeqqinm">'[15]#REF'!$A$1</definedName>
    <definedName name="eizqawwj">'[2]#REF'!$A$1</definedName>
    <definedName name="envbgpbp">'[6]#REF'!$A$1</definedName>
    <definedName name="etthwfcb">'[12]#REF'!$A$1</definedName>
    <definedName name="feucnzqk">'[16]#REF'!$A$1</definedName>
    <definedName name="fftruyvd">'[2]#REF'!$A$1</definedName>
    <definedName name="fnlzvoxv">'[6]#REF'!$A$1</definedName>
    <definedName name="fnqdbnof">'[17]#REF'!$A$1</definedName>
    <definedName name="fufmbntk">'[18]#REF'!$A$1</definedName>
    <definedName name="fvgavnsv">'[19]#REF'!$A$1</definedName>
    <definedName name="fvwexuqp">'[8]#REF'!$A$1</definedName>
    <definedName name="fytaxufy">'[11]#REF'!$A$1</definedName>
    <definedName name="fzafntic" localSheetId="1">本年累计!$A$1</definedName>
    <definedName name="fzafntic">Sheet54!$A$1</definedName>
    <definedName name="gaanfxcg">'[12]#REF'!$A$1</definedName>
    <definedName name="gjeooxbo">'[20]#REF'!$A$1</definedName>
    <definedName name="gmjryrwu">'[21]#REF'!$A$1</definedName>
    <definedName name="gnkvapru">'[22]#REF'!$A$1</definedName>
    <definedName name="gpbxymfw">'[6]#REF'!$A$1</definedName>
    <definedName name="gtyxyotn">'[6]#REF'!$A$1</definedName>
    <definedName name="guoaukrd">'[4]#REF'!$A$1</definedName>
    <definedName name="gzlmsitz">'[20]#REF'!$A$1</definedName>
    <definedName name="hgxswcaz">'[2]#REF'!$A$1</definedName>
    <definedName name="hhqfyrcr">'[3]#REF'!$A$1</definedName>
    <definedName name="hifqhofn">'[13]#REF'!$A$1</definedName>
    <definedName name="hkkjzqai" localSheetId="1">本年累计!$A$1</definedName>
    <definedName name="hkkjzqai">Sheet54!$A$1</definedName>
    <definedName name="hliogioo">'[1]#REF'!$A$1</definedName>
    <definedName name="hlohimar" localSheetId="1">本年累计!$A$1</definedName>
    <definedName name="hlohimar">Sheet54!$A$1</definedName>
    <definedName name="hlsuriab" localSheetId="1">本年累计!$A$1</definedName>
    <definedName name="hlsuriab">Sheet54!$A$1</definedName>
    <definedName name="hrrynbwo">'[16]#REF'!$A$1</definedName>
    <definedName name="hrxxqgmf" localSheetId="1">本年累计!$A$1</definedName>
    <definedName name="hrxxqgmf">Sheet54!$A$1</definedName>
    <definedName name="hspadxok">'[14]#REF'!$A$1</definedName>
    <definedName name="hvtlaoaz" localSheetId="1">本年累计!$A$1</definedName>
    <definedName name="hvtlaoaz">Sheet54!$A$1</definedName>
    <definedName name="hwwcsueb">'[6]#REF'!$A$1</definedName>
    <definedName name="hxmhznht">'[1]#REF'!$A$1</definedName>
    <definedName name="hzvemdam">'[6]#REF'!$A$1</definedName>
    <definedName name="idccwfgr">'[2]#REF'!$E$3</definedName>
    <definedName name="iesiwdmi">'[14]#REF'!$A$1</definedName>
    <definedName name="ifkixnpm">'[6]#REF'!$A$1</definedName>
    <definedName name="iibmeyyc">'[6]#REF'!$A$1</definedName>
    <definedName name="iiyhyvid">'[2]#REF'!$A$1</definedName>
    <definedName name="ipicgmhc">'[8]#REF'!$A$1</definedName>
    <definedName name="jbfgfttt">'[6]#REF'!$A$1</definedName>
    <definedName name="jbtvluly">'[11]#REF'!$B$2</definedName>
    <definedName name="jerpcnaq" localSheetId="1">本年累计!$A$1</definedName>
    <definedName name="jerpcnaq">Sheet54!$A$1</definedName>
    <definedName name="jfgopzvn">'[11]#REF'!$B$2</definedName>
    <definedName name="jjpkrasx" localSheetId="1">本年累计!$A$1</definedName>
    <definedName name="jjpkrasx">Sheet54!$A$1</definedName>
    <definedName name="jjuelups">'[8]#REF'!$A$1</definedName>
    <definedName name="jrtrbsuw">'[23]#REF'!$A$1</definedName>
    <definedName name="jsvhsnmy">'[4]#REF'!$A$1</definedName>
    <definedName name="juqwcaid">'[20]#REF'!$A$1</definedName>
    <definedName name="jvknaqnu">'[2]#REF'!$A$1</definedName>
    <definedName name="jwzfzvgb">'[11]#REF'!$A$1</definedName>
    <definedName name="jybwxfcr">'[7]#REF'!$A$1</definedName>
    <definedName name="kbmzwelm">'[24]#REF'!$A$1</definedName>
    <definedName name="kcwhydbk">'[3]#REF'!$A$1</definedName>
    <definedName name="kdyoxpad">'[25]#REF'!$A$1</definedName>
    <definedName name="kmbciwvp">'[18]#REF'!$A$1</definedName>
    <definedName name="kopsbydg">'[23]#REF'!$A$1</definedName>
    <definedName name="kruthlcn">'[20]#REF'!$A$1</definedName>
    <definedName name="krzeuhdu">'[20]#REF'!$A$1</definedName>
    <definedName name="ksdocslz">'[7]#REF'!$A$1</definedName>
    <definedName name="ksuqmppn">'[6]#REF'!$A$1</definedName>
    <definedName name="lavacnnk">'[7]#REF'!$A$1</definedName>
    <definedName name="ldbzurde">'[20]#REF'!$A$1</definedName>
    <definedName name="ldogbynx">'[17]#REF'!$A$1</definedName>
    <definedName name="leexauud">'[6]#REF'!$A$1</definedName>
    <definedName name="lfnonugp">'[19]#REF'!$A$1</definedName>
    <definedName name="lislwgem">'[2]#REF'!$E$3</definedName>
    <definedName name="lmlcdoho">'[24]#REF'!$A$1</definedName>
    <definedName name="lrhysfeg">'[7]#REF'!$A$1</definedName>
    <definedName name="lrihxdfb">'[5]#REF'!$A$1</definedName>
    <definedName name="lscxlxmi">'[6]#REF'!$B$4</definedName>
    <definedName name="lwuwmult">'[2]#REF'!$A$1</definedName>
    <definedName name="mdnyecde">'[14]#REF'!$A$1</definedName>
    <definedName name="mepeztol">'[25]#REF'!$A$1</definedName>
    <definedName name="mhwnyxke">'[26]#REF'!$A$1</definedName>
    <definedName name="mkxfjjtz">'[18]#REF'!$A$1</definedName>
    <definedName name="mojaqtiq" localSheetId="1">本年累计!$A$1</definedName>
    <definedName name="mojaqtiq">Sheet54!$A$1</definedName>
    <definedName name="mrjgemgl">'[14]#REF'!$A$1</definedName>
    <definedName name="mskvzvra" localSheetId="1">本年累计!$A$1</definedName>
    <definedName name="mskvzvra">Sheet54!$A$1</definedName>
    <definedName name="mxlqzmcq">'[8]#REF'!$A$1</definedName>
    <definedName name="myoxrcgu">'[2]#REF'!$A$1</definedName>
    <definedName name="mznyiwne" localSheetId="1">本年累计!$A$1</definedName>
    <definedName name="mznyiwne">Sheet54!$A$1</definedName>
    <definedName name="nbhdrlhv">'[20]#REF'!$A$1</definedName>
    <definedName name="ncjxnfap">'[12]#REF'!$A$1</definedName>
    <definedName name="nphdqhkq" localSheetId="1">本年累计!$A$1</definedName>
    <definedName name="nphdqhkq">Sheet54!$A$1</definedName>
    <definedName name="nplxjuun">'[6]#REF'!$A$1</definedName>
    <definedName name="nskeahbg">'[5]#REF'!$A$1</definedName>
    <definedName name="nuihuvlg">'[16]#REF'!$A$1</definedName>
    <definedName name="nutnngks" localSheetId="1">本年累计!$A$1</definedName>
    <definedName name="nutnngks">Sheet54!$A$1</definedName>
    <definedName name="nvkcpdgh">'[14]#REF'!$A$1</definedName>
    <definedName name="nwcqrndb">'[18]#REF'!$A$1</definedName>
    <definedName name="nwizyjdw">'[1]#REF'!$A$1</definedName>
    <definedName name="nxeznrhi">'[7]#REF'!$A$1</definedName>
    <definedName name="odhoprav">'[2]#REF'!$A$1</definedName>
    <definedName name="ofrdnnwf">'[23]#REF'!$A$1</definedName>
    <definedName name="ognycwya">'[1]#REF'!$A$1</definedName>
    <definedName name="ojkfvtkl">'[6]#REF'!$A$1</definedName>
    <definedName name="oleaafvn">'[12]#REF'!$A$1</definedName>
    <definedName name="oliypbfx">'[2]#REF'!$A$1</definedName>
    <definedName name="onzedwzt">'[6]#REF'!$A$1</definedName>
    <definedName name="oqbyhpfx">'[12]#REF'!$A$1</definedName>
    <definedName name="pitetomy">'[10]#REF'!$A$1</definedName>
    <definedName name="plvfpuum">'[2]#REF'!$A$1</definedName>
    <definedName name="pnhtldrm">'[3]#REF'!$A$1</definedName>
    <definedName name="poecjvmh">'[12]#REF'!$A$1</definedName>
    <definedName name="ppkvefav">'[20]#REF'!$A$1</definedName>
    <definedName name="psimpetz">'[15]#REF'!$A$1</definedName>
    <definedName name="ptdozloi">'[4]#REF'!$A$1</definedName>
    <definedName name="pyhhtjou">'[26]#REF'!$A$1</definedName>
    <definedName name="qclzxjeg" localSheetId="1">本年累计!$A$1</definedName>
    <definedName name="qclzxjeg">Sheet54!$A$1</definedName>
    <definedName name="qdxsizws">'[10]#REF'!$A$1</definedName>
    <definedName name="qljbwred">'[14]#REF'!$A$1</definedName>
    <definedName name="qlrqszfn">'[1]#REF'!$A$1</definedName>
    <definedName name="qnjpzzme" localSheetId="1">本年累计!$A$1</definedName>
    <definedName name="qnjpzzme">Sheet54!$A$1</definedName>
    <definedName name="qsjenasy">'[2]#REF'!$E$3</definedName>
    <definedName name="qtwbmfhx">'[12]#REF'!$A$1</definedName>
    <definedName name="qwfdcdys">'[2]#REF'!$E$3</definedName>
    <definedName name="qyuzljth">'[26]#REF'!$A$1</definedName>
    <definedName name="rcdarujh" localSheetId="1">本年累计!$A$1</definedName>
    <definedName name="rcdarujh">Sheet54!$A$1</definedName>
    <definedName name="revjxcje">'[17]#REF'!$A$1</definedName>
    <definedName name="rftnyprb">'[2]#REF'!$A$1</definedName>
    <definedName name="rnvtiuln">'[12]#REF'!$A$1</definedName>
    <definedName name="rpggfhph">'[26]#REF'!$A$1</definedName>
    <definedName name="rqtsgfks">'[23]#REF'!$A$1</definedName>
    <definedName name="rqxavhev">'[19]#REF'!$A$1</definedName>
    <definedName name="rrtzcbbb">'[20]#REF'!$A$1</definedName>
    <definedName name="rsdlcxky">'[17]#REF'!$A$1</definedName>
    <definedName name="rtgojfwq">'[18]#REF'!$A$1</definedName>
    <definedName name="ruagvbct">'[2]#REF'!$A$1</definedName>
    <definedName name="rxspvxfy">'[25]#REF'!$A$1</definedName>
    <definedName name="sapizfjg">'[12]#REF'!$A$1</definedName>
    <definedName name="sifknxcq">'[9]#REF'!$A$1</definedName>
    <definedName name="spsogduq">'[27]#REF'!$A$1</definedName>
    <definedName name="ssmekuwc" localSheetId="1">本年累计!$A$1</definedName>
    <definedName name="ssmekuwc">Sheet54!$A$1</definedName>
    <definedName name="tbtbplss">'[2]#REF'!$A$1</definedName>
    <definedName name="tckuikho">'[7]#REF'!$A$1</definedName>
    <definedName name="tdttmksa">'[14]#REF'!$A$1</definedName>
    <definedName name="toqubhcg">'[20]#REF'!$A$1</definedName>
    <definedName name="tpatjrte">'[14]#REF'!$A$1</definedName>
    <definedName name="tvegnvdi">'[6]#REF'!$A$1</definedName>
    <definedName name="tyspvtqr">'[6]#REF'!$A$1</definedName>
    <definedName name="tzwrdqpl">'[24]#REF'!$A$1</definedName>
    <definedName name="uedaqsri">'[20]#REF'!$A$1</definedName>
    <definedName name="ufbgvlpw">'[4]#REF'!$A$1</definedName>
    <definedName name="ugqhzqpr">'[6]#REF'!$A$1</definedName>
    <definedName name="ukgplfmk">'[15]#REF'!$A$1</definedName>
    <definedName name="ukrjcepc">'[17]#REF'!$A$1</definedName>
    <definedName name="ukrrxmfx">'[20]#REF'!$A$1</definedName>
    <definedName name="ulbpxbbb">'[25]#REF'!$A$1</definedName>
    <definedName name="uqydxsez">'[6]#REF'!$A$1</definedName>
    <definedName name="urwriimf">'[2]#REF'!$E$3</definedName>
    <definedName name="uyieluer">'[7]#REF'!$A$1</definedName>
    <definedName name="uyvhcsov">'[26]#REF'!$A$1</definedName>
    <definedName name="uzdbriqs">'[14]#REF'!$A$1</definedName>
    <definedName name="vapkvhux">'[8]#REF'!$A$1</definedName>
    <definedName name="vcnnxgcq">'[20]#REF'!$A$1</definedName>
    <definedName name="vjncspst">'[7]#REF'!$A$1</definedName>
    <definedName name="vnbgxrsg">'[12]#REF'!$A$1</definedName>
    <definedName name="vnkeidze">'[10]#REF'!$A$1</definedName>
    <definedName name="vrzqsxze">'[19]#REF'!$A$1</definedName>
    <definedName name="vvfdlcfa">'[27]#REF'!$A$1</definedName>
    <definedName name="vxojwbdr">'[20]#REF'!$A$1</definedName>
    <definedName name="wejrmvte">'[6]#REF'!$A$1</definedName>
    <definedName name="wlothcnr">'[4]#REF'!$A$1</definedName>
    <definedName name="wmrjblrj">'[23]#REF'!$A$1</definedName>
    <definedName name="wochgjnt">'[7]#REF'!$A$1</definedName>
    <definedName name="wvftdyuc">'[1]#REF'!$A$1</definedName>
    <definedName name="wytbxfgr">'[4]#REF'!$A$1</definedName>
    <definedName name="xifiujgf">'[12]#REF'!$A$1</definedName>
    <definedName name="xpavrtam">'[24]#REF'!$A$1</definedName>
    <definedName name="xqpubrqf">'[14]#REF'!$A$1</definedName>
    <definedName name="xudmxvqk">'[2]#REF'!$A$1</definedName>
    <definedName name="yfyhjeop">'[2]#REF'!$A$1</definedName>
    <definedName name="yildjuws">'[2]#REF'!$A$1</definedName>
    <definedName name="ymoyreak">'[17]#REF'!$A$1</definedName>
    <definedName name="ynwtssmy">'[18]#REF'!$A$1</definedName>
    <definedName name="ypmyeddq">'[1]#REF'!$A$1</definedName>
    <definedName name="zhodnuix">'[7]#REF'!$A$1</definedName>
    <definedName name="zjznimfu">'[17]#REF'!$A$1</definedName>
    <definedName name="zyeebmbq">'[23]#REF'!$A$1</definedName>
  </definedNames>
  <calcPr calcId="191029" iterate="1" iterateCount="1000" iterateDelta="0.01"/>
</workbook>
</file>

<file path=xl/calcChain.xml><?xml version="1.0" encoding="utf-8"?>
<calcChain xmlns="http://schemas.openxmlformats.org/spreadsheetml/2006/main">
  <c r="AJ142" i="2" l="1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135" i="2"/>
  <c r="G135" i="2" s="1"/>
  <c r="H135" i="2" s="1"/>
  <c r="I135" i="2" s="1"/>
  <c r="J135" i="2" s="1"/>
  <c r="K135" i="2" s="1"/>
  <c r="L135" i="2" s="1"/>
  <c r="M135" i="2" s="1"/>
  <c r="N135" i="2" s="1"/>
  <c r="O135" i="2" s="1"/>
  <c r="P135" i="2" s="1"/>
  <c r="Q135" i="2" s="1"/>
  <c r="R135" i="2" s="1"/>
  <c r="S135" i="2" s="1"/>
  <c r="T135" i="2" s="1"/>
  <c r="U135" i="2" s="1"/>
  <c r="V135" i="2" s="1"/>
  <c r="W135" i="2" s="1"/>
  <c r="X135" i="2" s="1"/>
  <c r="Y135" i="2" s="1"/>
  <c r="Z135" i="2" s="1"/>
  <c r="AA135" i="2" s="1"/>
  <c r="AB135" i="2" s="1"/>
  <c r="AC135" i="2" s="1"/>
  <c r="AD135" i="2" s="1"/>
  <c r="AE135" i="2" s="1"/>
  <c r="AF135" i="2" s="1"/>
  <c r="AG135" i="2" s="1"/>
  <c r="AH135" i="2" s="1"/>
  <c r="AI135" i="2" s="1"/>
  <c r="AJ135" i="2" s="1"/>
  <c r="F134" i="2"/>
  <c r="G134" i="2" s="1"/>
  <c r="H134" i="2" s="1"/>
  <c r="I134" i="2" s="1"/>
  <c r="J134" i="2" s="1"/>
  <c r="K134" i="2" s="1"/>
  <c r="L134" i="2" s="1"/>
  <c r="M134" i="2" s="1"/>
  <c r="N134" i="2" s="1"/>
  <c r="O134" i="2" s="1"/>
  <c r="P134" i="2" s="1"/>
  <c r="Q134" i="2" s="1"/>
  <c r="R134" i="2" s="1"/>
  <c r="S134" i="2" s="1"/>
  <c r="T134" i="2" s="1"/>
  <c r="U134" i="2" s="1"/>
  <c r="V134" i="2" s="1"/>
  <c r="W134" i="2" s="1"/>
  <c r="X134" i="2" s="1"/>
  <c r="Y134" i="2" s="1"/>
  <c r="Z134" i="2" s="1"/>
  <c r="AA134" i="2" s="1"/>
  <c r="AB134" i="2" s="1"/>
  <c r="AC134" i="2" s="1"/>
  <c r="AD134" i="2" s="1"/>
  <c r="AE134" i="2" s="1"/>
  <c r="AF134" i="2" s="1"/>
  <c r="AG134" i="2" s="1"/>
  <c r="AH134" i="2" s="1"/>
  <c r="AI134" i="2" s="1"/>
  <c r="AJ134" i="2" s="1"/>
  <c r="F132" i="2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R132" i="2" s="1"/>
  <c r="S132" i="2" s="1"/>
  <c r="T132" i="2" s="1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AG132" i="2" s="1"/>
  <c r="AH132" i="2" s="1"/>
  <c r="AI132" i="2" s="1"/>
  <c r="AJ132" i="2" s="1"/>
  <c r="F131" i="2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AA131" i="2" s="1"/>
  <c r="AB131" i="2" s="1"/>
  <c r="AC131" i="2" s="1"/>
  <c r="AD131" i="2" s="1"/>
  <c r="AE131" i="2" s="1"/>
  <c r="AF131" i="2" s="1"/>
  <c r="AG131" i="2" s="1"/>
  <c r="AH131" i="2" s="1"/>
  <c r="AI131" i="2" s="1"/>
  <c r="AJ131" i="2" s="1"/>
  <c r="F130" i="2"/>
  <c r="G130" i="2" s="1"/>
  <c r="H130" i="2" s="1"/>
  <c r="I130" i="2" s="1"/>
  <c r="J130" i="2" s="1"/>
  <c r="K130" i="2" s="1"/>
  <c r="L130" i="2" s="1"/>
  <c r="M130" i="2" s="1"/>
  <c r="N130" i="2" s="1"/>
  <c r="O130" i="2" s="1"/>
  <c r="P130" i="2" s="1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F128" i="2"/>
  <c r="G128" i="2" s="1"/>
  <c r="H128" i="2" s="1"/>
  <c r="I128" i="2" s="1"/>
  <c r="J128" i="2" s="1"/>
  <c r="K128" i="2" s="1"/>
  <c r="L128" i="2" s="1"/>
  <c r="M128" i="2" s="1"/>
  <c r="N128" i="2" s="1"/>
  <c r="O128" i="2" s="1"/>
  <c r="P128" i="2" s="1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AA128" i="2" s="1"/>
  <c r="AB128" i="2" s="1"/>
  <c r="AC128" i="2" s="1"/>
  <c r="AD128" i="2" s="1"/>
  <c r="AE128" i="2" s="1"/>
  <c r="AF128" i="2" s="1"/>
  <c r="AG128" i="2" s="1"/>
  <c r="AH128" i="2" s="1"/>
  <c r="AI128" i="2" s="1"/>
  <c r="AJ128" i="2" s="1"/>
  <c r="F127" i="2"/>
  <c r="G127" i="2" s="1"/>
  <c r="H127" i="2" s="1"/>
  <c r="I127" i="2" s="1"/>
  <c r="J127" i="2" s="1"/>
  <c r="K127" i="2" s="1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AG127" i="2" s="1"/>
  <c r="AH127" i="2" s="1"/>
  <c r="AI127" i="2" s="1"/>
  <c r="AJ127" i="2" s="1"/>
  <c r="F125" i="2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AA125" i="2" s="1"/>
  <c r="AB125" i="2" s="1"/>
  <c r="AC125" i="2" s="1"/>
  <c r="AD125" i="2" s="1"/>
  <c r="AE125" i="2" s="1"/>
  <c r="AF125" i="2" s="1"/>
  <c r="AG125" i="2" s="1"/>
  <c r="AH125" i="2" s="1"/>
  <c r="AI125" i="2" s="1"/>
  <c r="AJ125" i="2" s="1"/>
  <c r="F124" i="2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AG124" i="2" s="1"/>
  <c r="AH124" i="2" s="1"/>
  <c r="AI124" i="2" s="1"/>
  <c r="AJ124" i="2" s="1"/>
  <c r="F122" i="2"/>
  <c r="G122" i="2" s="1"/>
  <c r="H122" i="2" s="1"/>
  <c r="I122" i="2" s="1"/>
  <c r="J122" i="2" s="1"/>
  <c r="K122" i="2" s="1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AG122" i="2" s="1"/>
  <c r="AH122" i="2" s="1"/>
  <c r="AI122" i="2" s="1"/>
  <c r="AJ122" i="2" s="1"/>
  <c r="F121" i="2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AG121" i="2" s="1"/>
  <c r="AH121" i="2" s="1"/>
  <c r="AI121" i="2" s="1"/>
  <c r="AJ121" i="2" s="1"/>
  <c r="F118" i="2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AG118" i="2" s="1"/>
  <c r="AH118" i="2" s="1"/>
  <c r="AI118" i="2" s="1"/>
  <c r="AJ118" i="2" s="1"/>
  <c r="F117" i="2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AA117" i="2" s="1"/>
  <c r="AB117" i="2" s="1"/>
  <c r="AC117" i="2" s="1"/>
  <c r="AD117" i="2" s="1"/>
  <c r="AE117" i="2" s="1"/>
  <c r="AF117" i="2" s="1"/>
  <c r="AG117" i="2" s="1"/>
  <c r="AH117" i="2" s="1"/>
  <c r="AI117" i="2" s="1"/>
  <c r="AJ117" i="2" s="1"/>
  <c r="F115" i="2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AG115" i="2" s="1"/>
  <c r="AH115" i="2" s="1"/>
  <c r="AI115" i="2" s="1"/>
  <c r="AJ115" i="2" s="1"/>
  <c r="F114" i="2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AA114" i="2" s="1"/>
  <c r="AB114" i="2" s="1"/>
  <c r="AC114" i="2" s="1"/>
  <c r="AD114" i="2" s="1"/>
  <c r="AE114" i="2" s="1"/>
  <c r="AF114" i="2" s="1"/>
  <c r="AG114" i="2" s="1"/>
  <c r="AH114" i="2" s="1"/>
  <c r="AI114" i="2" s="1"/>
  <c r="AJ114" i="2" s="1"/>
  <c r="F112" i="2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AG112" i="2" s="1"/>
  <c r="AH112" i="2" s="1"/>
  <c r="AI112" i="2" s="1"/>
  <c r="AJ112" i="2" s="1"/>
  <c r="F111" i="2"/>
  <c r="G111" i="2" s="1"/>
  <c r="H111" i="2" s="1"/>
  <c r="I111" i="2" s="1"/>
  <c r="J111" i="2" s="1"/>
  <c r="K111" i="2" s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W111" i="2" s="1"/>
  <c r="X111" i="2" s="1"/>
  <c r="Y111" i="2" s="1"/>
  <c r="Z111" i="2" s="1"/>
  <c r="AA111" i="2" s="1"/>
  <c r="AB111" i="2" s="1"/>
  <c r="AC111" i="2" s="1"/>
  <c r="AD111" i="2" s="1"/>
  <c r="AE111" i="2" s="1"/>
  <c r="AF111" i="2" s="1"/>
  <c r="AG111" i="2" s="1"/>
  <c r="AH111" i="2" s="1"/>
  <c r="AI111" i="2" s="1"/>
  <c r="AJ111" i="2" s="1"/>
  <c r="F109" i="2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AG109" i="2" s="1"/>
  <c r="AH109" i="2" s="1"/>
  <c r="AI109" i="2" s="1"/>
  <c r="AJ109" i="2" s="1"/>
  <c r="F108" i="2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AA108" i="2" s="1"/>
  <c r="AB108" i="2" s="1"/>
  <c r="AC108" i="2" s="1"/>
  <c r="AD108" i="2" s="1"/>
  <c r="AE108" i="2" s="1"/>
  <c r="AF108" i="2" s="1"/>
  <c r="AG108" i="2" s="1"/>
  <c r="AH108" i="2" s="1"/>
  <c r="AI108" i="2" s="1"/>
  <c r="AJ108" i="2" s="1"/>
  <c r="F106" i="2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AG106" i="2" s="1"/>
  <c r="AH106" i="2" s="1"/>
  <c r="AI106" i="2" s="1"/>
  <c r="AJ106" i="2" s="1"/>
  <c r="F105" i="2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 s="1"/>
  <c r="AE105" i="2" s="1"/>
  <c r="AF105" i="2" s="1"/>
  <c r="AG105" i="2" s="1"/>
  <c r="AH105" i="2" s="1"/>
  <c r="AI105" i="2" s="1"/>
  <c r="AJ105" i="2" s="1"/>
  <c r="F102" i="2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F101" i="2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AG101" i="2" s="1"/>
  <c r="AH101" i="2" s="1"/>
  <c r="AI101" i="2" s="1"/>
  <c r="AJ101" i="2" s="1"/>
  <c r="F99" i="2"/>
  <c r="G99" i="2" s="1"/>
  <c r="H99" i="2" s="1"/>
  <c r="I99" i="2" s="1"/>
  <c r="J99" i="2" s="1"/>
  <c r="K99" i="2" s="1"/>
  <c r="L99" i="2" s="1"/>
  <c r="M99" i="2" s="1"/>
  <c r="N99" i="2" s="1"/>
  <c r="O99" i="2" s="1"/>
  <c r="P99" i="2" s="1"/>
  <c r="Q99" i="2" s="1"/>
  <c r="R99" i="2" s="1"/>
  <c r="S99" i="2" s="1"/>
  <c r="T99" i="2" s="1"/>
  <c r="U99" i="2" s="1"/>
  <c r="V99" i="2" s="1"/>
  <c r="W99" i="2" s="1"/>
  <c r="X99" i="2" s="1"/>
  <c r="Y99" i="2" s="1"/>
  <c r="Z99" i="2" s="1"/>
  <c r="AA99" i="2" s="1"/>
  <c r="AB99" i="2" s="1"/>
  <c r="AC99" i="2" s="1"/>
  <c r="AD99" i="2" s="1"/>
  <c r="AE99" i="2" s="1"/>
  <c r="AF99" i="2" s="1"/>
  <c r="AG99" i="2" s="1"/>
  <c r="AH99" i="2" s="1"/>
  <c r="AI99" i="2" s="1"/>
  <c r="AJ99" i="2" s="1"/>
  <c r="F98" i="2"/>
  <c r="G98" i="2" s="1"/>
  <c r="H98" i="2" s="1"/>
  <c r="I98" i="2" s="1"/>
  <c r="J98" i="2" s="1"/>
  <c r="K98" i="2" s="1"/>
  <c r="L98" i="2" s="1"/>
  <c r="M98" i="2" s="1"/>
  <c r="N98" i="2" s="1"/>
  <c r="O98" i="2" s="1"/>
  <c r="P98" i="2" s="1"/>
  <c r="Q98" i="2" s="1"/>
  <c r="R98" i="2" s="1"/>
  <c r="S98" i="2" s="1"/>
  <c r="T98" i="2" s="1"/>
  <c r="U98" i="2" s="1"/>
  <c r="V98" i="2" s="1"/>
  <c r="W98" i="2" s="1"/>
  <c r="X98" i="2" s="1"/>
  <c r="Y98" i="2" s="1"/>
  <c r="Z98" i="2" s="1"/>
  <c r="AA98" i="2" s="1"/>
  <c r="AB98" i="2" s="1"/>
  <c r="AC98" i="2" s="1"/>
  <c r="AD98" i="2" s="1"/>
  <c r="AE98" i="2" s="1"/>
  <c r="AF98" i="2" s="1"/>
  <c r="AG98" i="2" s="1"/>
  <c r="AH98" i="2" s="1"/>
  <c r="AI98" i="2" s="1"/>
  <c r="AJ98" i="2" s="1"/>
  <c r="F96" i="2"/>
  <c r="G96" i="2" s="1"/>
  <c r="H96" i="2" s="1"/>
  <c r="I96" i="2" s="1"/>
  <c r="J96" i="2" s="1"/>
  <c r="K96" i="2" s="1"/>
  <c r="L96" i="2" s="1"/>
  <c r="M96" i="2" s="1"/>
  <c r="N96" i="2" s="1"/>
  <c r="O96" i="2" s="1"/>
  <c r="P96" i="2" s="1"/>
  <c r="Q96" i="2" s="1"/>
  <c r="R96" i="2" s="1"/>
  <c r="S96" i="2" s="1"/>
  <c r="T96" i="2" s="1"/>
  <c r="U96" i="2" s="1"/>
  <c r="V96" i="2" s="1"/>
  <c r="W96" i="2" s="1"/>
  <c r="X96" i="2" s="1"/>
  <c r="Y96" i="2" s="1"/>
  <c r="Z96" i="2" s="1"/>
  <c r="AA96" i="2" s="1"/>
  <c r="AB96" i="2" s="1"/>
  <c r="AC96" i="2" s="1"/>
  <c r="AD96" i="2" s="1"/>
  <c r="AE96" i="2" s="1"/>
  <c r="AF96" i="2" s="1"/>
  <c r="AG96" i="2" s="1"/>
  <c r="AH96" i="2" s="1"/>
  <c r="AI96" i="2" s="1"/>
  <c r="AJ96" i="2" s="1"/>
  <c r="F95" i="2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AC95" i="2" s="1"/>
  <c r="AD95" i="2" s="1"/>
  <c r="AE95" i="2" s="1"/>
  <c r="AF95" i="2" s="1"/>
  <c r="AG95" i="2" s="1"/>
  <c r="AH95" i="2" s="1"/>
  <c r="AI95" i="2" s="1"/>
  <c r="AJ95" i="2" s="1"/>
  <c r="F91" i="2"/>
  <c r="G91" i="2" s="1"/>
  <c r="H91" i="2" s="1"/>
  <c r="I91" i="2" s="1"/>
  <c r="J91" i="2" s="1"/>
  <c r="K91" i="2" s="1"/>
  <c r="L91" i="2" s="1"/>
  <c r="M91" i="2" s="1"/>
  <c r="N91" i="2" s="1"/>
  <c r="O91" i="2" s="1"/>
  <c r="P91" i="2" s="1"/>
  <c r="Q91" i="2" s="1"/>
  <c r="R91" i="2" s="1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AC91" i="2" s="1"/>
  <c r="AD91" i="2" s="1"/>
  <c r="AE91" i="2" s="1"/>
  <c r="AF91" i="2" s="1"/>
  <c r="AG91" i="2" s="1"/>
  <c r="AH91" i="2" s="1"/>
  <c r="AI91" i="2" s="1"/>
  <c r="AJ91" i="2" s="1"/>
  <c r="F90" i="2"/>
  <c r="G90" i="2" s="1"/>
  <c r="H90" i="2" s="1"/>
  <c r="I90" i="2" s="1"/>
  <c r="J90" i="2" s="1"/>
  <c r="K90" i="2" s="1"/>
  <c r="L90" i="2" s="1"/>
  <c r="M90" i="2" s="1"/>
  <c r="N90" i="2" s="1"/>
  <c r="O90" i="2" s="1"/>
  <c r="P90" i="2" s="1"/>
  <c r="Q90" i="2" s="1"/>
  <c r="R90" i="2" s="1"/>
  <c r="S90" i="2" s="1"/>
  <c r="T90" i="2" s="1"/>
  <c r="U90" i="2" s="1"/>
  <c r="V90" i="2" s="1"/>
  <c r="W90" i="2" s="1"/>
  <c r="X90" i="2" s="1"/>
  <c r="Y90" i="2" s="1"/>
  <c r="Z90" i="2" s="1"/>
  <c r="AA90" i="2" s="1"/>
  <c r="AB90" i="2" s="1"/>
  <c r="AC90" i="2" s="1"/>
  <c r="AD90" i="2" s="1"/>
  <c r="AE90" i="2" s="1"/>
  <c r="AF90" i="2" s="1"/>
  <c r="AG90" i="2" s="1"/>
  <c r="AH90" i="2" s="1"/>
  <c r="AI90" i="2" s="1"/>
  <c r="AJ90" i="2" s="1"/>
  <c r="F88" i="2"/>
  <c r="G88" i="2" s="1"/>
  <c r="H88" i="2" s="1"/>
  <c r="I88" i="2" s="1"/>
  <c r="J88" i="2" s="1"/>
  <c r="K88" i="2" s="1"/>
  <c r="L88" i="2" s="1"/>
  <c r="M88" i="2" s="1"/>
  <c r="N88" i="2" s="1"/>
  <c r="O88" i="2" s="1"/>
  <c r="P88" i="2" s="1"/>
  <c r="Q88" i="2" s="1"/>
  <c r="R88" i="2" s="1"/>
  <c r="S88" i="2" s="1"/>
  <c r="T88" i="2" s="1"/>
  <c r="U88" i="2" s="1"/>
  <c r="V88" i="2" s="1"/>
  <c r="W88" i="2" s="1"/>
  <c r="X88" i="2" s="1"/>
  <c r="Y88" i="2" s="1"/>
  <c r="Z88" i="2" s="1"/>
  <c r="AA88" i="2" s="1"/>
  <c r="AB88" i="2" s="1"/>
  <c r="AC88" i="2" s="1"/>
  <c r="AD88" i="2" s="1"/>
  <c r="AE88" i="2" s="1"/>
  <c r="AF88" i="2" s="1"/>
  <c r="AG88" i="2" s="1"/>
  <c r="AH88" i="2" s="1"/>
  <c r="AI88" i="2" s="1"/>
  <c r="AJ88" i="2" s="1"/>
  <c r="F87" i="2"/>
  <c r="G87" i="2" s="1"/>
  <c r="H87" i="2" s="1"/>
  <c r="I87" i="2" s="1"/>
  <c r="J87" i="2" s="1"/>
  <c r="K87" i="2" s="1"/>
  <c r="L87" i="2" s="1"/>
  <c r="M87" i="2" s="1"/>
  <c r="N87" i="2" s="1"/>
  <c r="O87" i="2" s="1"/>
  <c r="P87" i="2" s="1"/>
  <c r="Q87" i="2" s="1"/>
  <c r="R87" i="2" s="1"/>
  <c r="S87" i="2" s="1"/>
  <c r="T87" i="2" s="1"/>
  <c r="U87" i="2" s="1"/>
  <c r="V87" i="2" s="1"/>
  <c r="W87" i="2" s="1"/>
  <c r="X87" i="2" s="1"/>
  <c r="Y87" i="2" s="1"/>
  <c r="Z87" i="2" s="1"/>
  <c r="AA87" i="2" s="1"/>
  <c r="AB87" i="2" s="1"/>
  <c r="AC87" i="2" s="1"/>
  <c r="AD87" i="2" s="1"/>
  <c r="AE87" i="2" s="1"/>
  <c r="AF87" i="2" s="1"/>
  <c r="AG87" i="2" s="1"/>
  <c r="AH87" i="2" s="1"/>
  <c r="AI87" i="2" s="1"/>
  <c r="AJ87" i="2" s="1"/>
  <c r="F85" i="2"/>
  <c r="G85" i="2" s="1"/>
  <c r="H85" i="2" s="1"/>
  <c r="I85" i="2" s="1"/>
  <c r="J85" i="2" s="1"/>
  <c r="K85" i="2" s="1"/>
  <c r="L85" i="2" s="1"/>
  <c r="M85" i="2" s="1"/>
  <c r="N85" i="2" s="1"/>
  <c r="O85" i="2" s="1"/>
  <c r="P85" i="2" s="1"/>
  <c r="Q85" i="2" s="1"/>
  <c r="R85" i="2" s="1"/>
  <c r="S85" i="2" s="1"/>
  <c r="T85" i="2" s="1"/>
  <c r="U85" i="2" s="1"/>
  <c r="V85" i="2" s="1"/>
  <c r="W85" i="2" s="1"/>
  <c r="X85" i="2" s="1"/>
  <c r="Y85" i="2" s="1"/>
  <c r="Z85" i="2" s="1"/>
  <c r="AA85" i="2" s="1"/>
  <c r="AB85" i="2" s="1"/>
  <c r="AC85" i="2" s="1"/>
  <c r="AD85" i="2" s="1"/>
  <c r="AE85" i="2" s="1"/>
  <c r="AF85" i="2" s="1"/>
  <c r="AG85" i="2" s="1"/>
  <c r="AH85" i="2" s="1"/>
  <c r="AI85" i="2" s="1"/>
  <c r="AJ85" i="2" s="1"/>
  <c r="F82" i="2"/>
  <c r="G82" i="2" s="1"/>
  <c r="H82" i="2" s="1"/>
  <c r="I82" i="2" s="1"/>
  <c r="J82" i="2" s="1"/>
  <c r="K82" i="2" s="1"/>
  <c r="L82" i="2" s="1"/>
  <c r="M82" i="2" s="1"/>
  <c r="N82" i="2" s="1"/>
  <c r="O82" i="2" s="1"/>
  <c r="P82" i="2" s="1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AG82" i="2" s="1"/>
  <c r="AH82" i="2" s="1"/>
  <c r="AI82" i="2" s="1"/>
  <c r="AJ82" i="2" s="1"/>
  <c r="F81" i="2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AJ81" i="2" s="1"/>
  <c r="F79" i="2"/>
  <c r="G79" i="2" s="1"/>
  <c r="H79" i="2" s="1"/>
  <c r="I79" i="2" s="1"/>
  <c r="J79" i="2" s="1"/>
  <c r="K79" i="2" s="1"/>
  <c r="L79" i="2" s="1"/>
  <c r="M79" i="2" s="1"/>
  <c r="N79" i="2" s="1"/>
  <c r="O79" i="2" s="1"/>
  <c r="P79" i="2" s="1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AA79" i="2" s="1"/>
  <c r="AB79" i="2" s="1"/>
  <c r="AC79" i="2" s="1"/>
  <c r="AD79" i="2" s="1"/>
  <c r="AE79" i="2" s="1"/>
  <c r="AF79" i="2" s="1"/>
  <c r="AG79" i="2" s="1"/>
  <c r="AH79" i="2" s="1"/>
  <c r="AI79" i="2" s="1"/>
  <c r="AJ79" i="2" s="1"/>
  <c r="F78" i="2"/>
  <c r="G78" i="2" s="1"/>
  <c r="H78" i="2" s="1"/>
  <c r="I78" i="2" s="1"/>
  <c r="J78" i="2" s="1"/>
  <c r="K78" i="2" s="1"/>
  <c r="L78" i="2" s="1"/>
  <c r="M78" i="2" s="1"/>
  <c r="N78" i="2" s="1"/>
  <c r="O78" i="2" s="1"/>
  <c r="P78" i="2" s="1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AH78" i="2" s="1"/>
  <c r="AI78" i="2" s="1"/>
  <c r="AJ78" i="2" s="1"/>
  <c r="F76" i="2"/>
  <c r="G76" i="2" s="1"/>
  <c r="H76" i="2" s="1"/>
  <c r="I76" i="2" s="1"/>
  <c r="J76" i="2" s="1"/>
  <c r="K76" i="2" s="1"/>
  <c r="L76" i="2" s="1"/>
  <c r="M76" i="2" s="1"/>
  <c r="N76" i="2" s="1"/>
  <c r="O76" i="2" s="1"/>
  <c r="P76" i="2" s="1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AA76" i="2" s="1"/>
  <c r="AB76" i="2" s="1"/>
  <c r="AC76" i="2" s="1"/>
  <c r="AD76" i="2" s="1"/>
  <c r="AE76" i="2" s="1"/>
  <c r="AF76" i="2" s="1"/>
  <c r="AG76" i="2" s="1"/>
  <c r="AH76" i="2" s="1"/>
  <c r="AI76" i="2" s="1"/>
  <c r="AJ76" i="2" s="1"/>
  <c r="F75" i="2"/>
  <c r="G75" i="2" s="1"/>
  <c r="H75" i="2" s="1"/>
  <c r="I75" i="2" s="1"/>
  <c r="J75" i="2" s="1"/>
  <c r="K75" i="2" s="1"/>
  <c r="L75" i="2" s="1"/>
  <c r="M75" i="2" s="1"/>
  <c r="N75" i="2" s="1"/>
  <c r="O75" i="2" s="1"/>
  <c r="P75" i="2" s="1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AG75" i="2" s="1"/>
  <c r="AH75" i="2" s="1"/>
  <c r="AI75" i="2" s="1"/>
  <c r="AJ75" i="2" s="1"/>
  <c r="F73" i="2"/>
  <c r="G73" i="2" s="1"/>
  <c r="H73" i="2" s="1"/>
  <c r="I73" i="2" s="1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C73" i="2" s="1"/>
  <c r="AD73" i="2" s="1"/>
  <c r="AE73" i="2" s="1"/>
  <c r="AF73" i="2" s="1"/>
  <c r="AG73" i="2" s="1"/>
  <c r="AH73" i="2" s="1"/>
  <c r="AI73" i="2" s="1"/>
  <c r="AJ73" i="2" s="1"/>
  <c r="F72" i="2"/>
  <c r="G72" i="2" s="1"/>
  <c r="H72" i="2" s="1"/>
  <c r="I72" i="2" s="1"/>
  <c r="J72" i="2" s="1"/>
  <c r="K72" i="2" s="1"/>
  <c r="L72" i="2" s="1"/>
  <c r="M72" i="2" s="1"/>
  <c r="N72" i="2" s="1"/>
  <c r="O72" i="2" s="1"/>
  <c r="P72" i="2" s="1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AA72" i="2" s="1"/>
  <c r="AB72" i="2" s="1"/>
  <c r="AC72" i="2" s="1"/>
  <c r="AD72" i="2" s="1"/>
  <c r="AE72" i="2" s="1"/>
  <c r="AF72" i="2" s="1"/>
  <c r="AG72" i="2" s="1"/>
  <c r="AH72" i="2" s="1"/>
  <c r="AI72" i="2" s="1"/>
  <c r="AJ72" i="2" s="1"/>
  <c r="F69" i="2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AI69" i="2" s="1"/>
  <c r="AJ69" i="2" s="1"/>
  <c r="F68" i="2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AG68" i="2" s="1"/>
  <c r="AH68" i="2" s="1"/>
  <c r="AI68" i="2" s="1"/>
  <c r="AJ68" i="2" s="1"/>
  <c r="F66" i="2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AA66" i="2" s="1"/>
  <c r="AB66" i="2" s="1"/>
  <c r="AC66" i="2" s="1"/>
  <c r="AD66" i="2" s="1"/>
  <c r="AE66" i="2" s="1"/>
  <c r="AF66" i="2" s="1"/>
  <c r="AG66" i="2" s="1"/>
  <c r="AH66" i="2" s="1"/>
  <c r="AI66" i="2" s="1"/>
  <c r="AJ66" i="2" s="1"/>
  <c r="F65" i="2"/>
  <c r="G65" i="2" s="1"/>
  <c r="H65" i="2" s="1"/>
  <c r="I65" i="2" s="1"/>
  <c r="J65" i="2" s="1"/>
  <c r="K65" i="2" s="1"/>
  <c r="L65" i="2" s="1"/>
  <c r="M65" i="2" s="1"/>
  <c r="N65" i="2" s="1"/>
  <c r="O65" i="2" s="1"/>
  <c r="P65" i="2" s="1"/>
  <c r="Q65" i="2" s="1"/>
  <c r="R65" i="2" s="1"/>
  <c r="S65" i="2" s="1"/>
  <c r="T65" i="2" s="1"/>
  <c r="U65" i="2" s="1"/>
  <c r="V65" i="2" s="1"/>
  <c r="W65" i="2" s="1"/>
  <c r="X65" i="2" s="1"/>
  <c r="Y65" i="2" s="1"/>
  <c r="Z65" i="2" s="1"/>
  <c r="AA65" i="2" s="1"/>
  <c r="AB65" i="2" s="1"/>
  <c r="AC65" i="2" s="1"/>
  <c r="AD65" i="2" s="1"/>
  <c r="AE65" i="2" s="1"/>
  <c r="AF65" i="2" s="1"/>
  <c r="AG65" i="2" s="1"/>
  <c r="AH65" i="2" s="1"/>
  <c r="AI65" i="2" s="1"/>
  <c r="AJ65" i="2" s="1"/>
  <c r="F63" i="2"/>
  <c r="G63" i="2" s="1"/>
  <c r="H63" i="2" s="1"/>
  <c r="I63" i="2" s="1"/>
  <c r="J63" i="2" s="1"/>
  <c r="K63" i="2" s="1"/>
  <c r="L63" i="2" s="1"/>
  <c r="M63" i="2" s="1"/>
  <c r="N63" i="2" s="1"/>
  <c r="O63" i="2" s="1"/>
  <c r="P63" i="2" s="1"/>
  <c r="Q63" i="2" s="1"/>
  <c r="R63" i="2" s="1"/>
  <c r="S63" i="2" s="1"/>
  <c r="T63" i="2" s="1"/>
  <c r="U63" i="2" s="1"/>
  <c r="V63" i="2" s="1"/>
  <c r="W63" i="2" s="1"/>
  <c r="X63" i="2" s="1"/>
  <c r="Y63" i="2" s="1"/>
  <c r="Z63" i="2" s="1"/>
  <c r="AA63" i="2" s="1"/>
  <c r="AB63" i="2" s="1"/>
  <c r="AC63" i="2" s="1"/>
  <c r="AD63" i="2" s="1"/>
  <c r="AE63" i="2" s="1"/>
  <c r="AF63" i="2" s="1"/>
  <c r="AG63" i="2" s="1"/>
  <c r="AH63" i="2" s="1"/>
  <c r="AI63" i="2" s="1"/>
  <c r="AJ63" i="2" s="1"/>
  <c r="F62" i="2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F59" i="2"/>
  <c r="G59" i="2" s="1"/>
  <c r="H59" i="2" s="1"/>
  <c r="I59" i="2" s="1"/>
  <c r="J59" i="2" s="1"/>
  <c r="K59" i="2" s="1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AG59" i="2" s="1"/>
  <c r="AH59" i="2" s="1"/>
  <c r="AI59" i="2" s="1"/>
  <c r="AJ59" i="2" s="1"/>
  <c r="F58" i="2"/>
  <c r="G58" i="2" s="1"/>
  <c r="H58" i="2" s="1"/>
  <c r="I58" i="2" s="1"/>
  <c r="J58" i="2" s="1"/>
  <c r="K58" i="2" s="1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AG58" i="2" s="1"/>
  <c r="AH58" i="2" s="1"/>
  <c r="AI58" i="2" s="1"/>
  <c r="AJ58" i="2" s="1"/>
  <c r="F56" i="2"/>
  <c r="G56" i="2" s="1"/>
  <c r="H56" i="2" s="1"/>
  <c r="I56" i="2" s="1"/>
  <c r="J56" i="2" s="1"/>
  <c r="K56" i="2" s="1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AG56" i="2" s="1"/>
  <c r="AH56" i="2" s="1"/>
  <c r="AI56" i="2" s="1"/>
  <c r="AJ56" i="2" s="1"/>
  <c r="F55" i="2"/>
  <c r="G55" i="2" s="1"/>
  <c r="H55" i="2" s="1"/>
  <c r="I55" i="2" s="1"/>
  <c r="J55" i="2" s="1"/>
  <c r="K55" i="2" s="1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AG55" i="2" s="1"/>
  <c r="AH55" i="2" s="1"/>
  <c r="AI55" i="2" s="1"/>
  <c r="AJ55" i="2" s="1"/>
  <c r="F53" i="2"/>
  <c r="G53" i="2" s="1"/>
  <c r="H53" i="2" s="1"/>
  <c r="I53" i="2" s="1"/>
  <c r="J53" i="2" s="1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AG53" i="2" s="1"/>
  <c r="AH53" i="2" s="1"/>
  <c r="AI53" i="2" s="1"/>
  <c r="AJ53" i="2" s="1"/>
  <c r="F52" i="2"/>
  <c r="G52" i="2" s="1"/>
  <c r="H52" i="2" s="1"/>
  <c r="I52" i="2" s="1"/>
  <c r="J52" i="2" s="1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AG52" i="2" s="1"/>
  <c r="AH52" i="2" s="1"/>
  <c r="AI52" i="2" s="1"/>
  <c r="AJ52" i="2" s="1"/>
  <c r="F49" i="2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AG49" i="2" s="1"/>
  <c r="AH49" i="2" s="1"/>
  <c r="AI49" i="2" s="1"/>
  <c r="AJ49" i="2" s="1"/>
  <c r="F48" i="2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AG48" i="2" s="1"/>
  <c r="AH48" i="2" s="1"/>
  <c r="AI48" i="2" s="1"/>
  <c r="AJ48" i="2" s="1"/>
  <c r="F47" i="2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AG47" i="2" s="1"/>
  <c r="AH47" i="2" s="1"/>
  <c r="AI47" i="2" s="1"/>
  <c r="AJ47" i="2" s="1"/>
  <c r="F45" i="2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AG45" i="2" s="1"/>
  <c r="AH45" i="2" s="1"/>
  <c r="AI45" i="2" s="1"/>
  <c r="AJ45" i="2" s="1"/>
  <c r="F44" i="2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AG44" i="2" s="1"/>
  <c r="AH44" i="2" s="1"/>
  <c r="AI44" i="2" s="1"/>
  <c r="AJ44" i="2" s="1"/>
  <c r="F42" i="2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AG42" i="2" s="1"/>
  <c r="AH42" i="2" s="1"/>
  <c r="AI42" i="2" s="1"/>
  <c r="AJ42" i="2" s="1"/>
  <c r="F41" i="2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AJ41" i="2" s="1"/>
  <c r="F40" i="2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AG40" i="2" s="1"/>
  <c r="AH40" i="2" s="1"/>
  <c r="AI40" i="2" s="1"/>
  <c r="AJ40" i="2" s="1"/>
  <c r="F38" i="2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AG38" i="2" s="1"/>
  <c r="AH38" i="2" s="1"/>
  <c r="AI38" i="2" s="1"/>
  <c r="AJ38" i="2" s="1"/>
  <c r="F37" i="2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AH37" i="2" s="1"/>
  <c r="AI37" i="2" s="1"/>
  <c r="AJ37" i="2" s="1"/>
  <c r="F35" i="2"/>
  <c r="G35" i="2" s="1"/>
  <c r="H35" i="2" s="1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AG35" i="2" s="1"/>
  <c r="AH35" i="2" s="1"/>
  <c r="AI35" i="2" s="1"/>
  <c r="AJ35" i="2" s="1"/>
  <c r="F34" i="2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F32" i="2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F31" i="2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F29" i="2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AG29" i="2" s="1"/>
  <c r="AH29" i="2" s="1"/>
  <c r="AI29" i="2" s="1"/>
  <c r="AJ29" i="2" s="1"/>
  <c r="F28" i="2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F26" i="2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F22" i="2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F21" i="2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F19" i="2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F18" i="2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F17" i="2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F15" i="2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F14" i="2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F12" i="2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F9" i="2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F6" i="2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F5" i="2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F4" i="2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K142" i="1"/>
  <c r="AK141" i="1"/>
  <c r="AK140" i="1"/>
  <c r="AK139" i="1"/>
  <c r="AK138" i="1"/>
  <c r="AK137" i="1"/>
  <c r="F2" i="2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</calcChain>
</file>

<file path=xl/sharedStrings.xml><?xml version="1.0" encoding="utf-8"?>
<sst xmlns="http://schemas.openxmlformats.org/spreadsheetml/2006/main" count="458" uniqueCount="98">
  <si>
    <t>绩效归因产品口径一级分类</t>
  </si>
  <si>
    <t>绩效归因产品口径二级分类</t>
  </si>
  <si>
    <t>六级科目名称</t>
  </si>
  <si>
    <t>绩效归因科目口径</t>
  </si>
  <si>
    <t>2026年初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</si>
  <si>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</si>
  <si>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</si>
  <si>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</si>
  <si>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</si>
  <si>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</si>
  <si>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</si>
  <si>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</si>
  <si>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</si>
  <si>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</si>
  <si>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</si>
  <si>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</si>
  <si>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</si>
  <si>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</si>
  <si>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</si>
  <si>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</si>
  <si>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</si>
  <si>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</si>
  <si>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</si>
  <si>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</si>
  <si>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</si>
  <si>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</si>
  <si>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</si>
  <si>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</si>
  <si>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</si>
  <si>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</si>
  <si>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</si>
  <si>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</si>
  <si>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</si>
  <si>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</si>
  <si>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</si>
  <si>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</si>
  <si>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其他</t>
  </si>
  <si>
    <t>应收应付</t>
  </si>
  <si>
    <t>资金</t>
  </si>
  <si>
    <t>北交所结算备付金</t>
  </si>
  <si>
    <t>持仓成本</t>
  </si>
  <si>
    <t>利息盈亏</t>
  </si>
  <si>
    <t>广发期货</t>
  </si>
  <si>
    <t>上海担保备付金</t>
  </si>
  <si>
    <t>深港通结算备付金</t>
  </si>
  <si>
    <t>深圳结算备付金</t>
  </si>
  <si>
    <t>自营一般户—北京银行4942</t>
  </si>
  <si>
    <t>权益类产品</t>
  </si>
  <si>
    <t>股票</t>
  </si>
  <si>
    <t>安徽皖通高速公路</t>
  </si>
  <si>
    <t>持仓公允</t>
  </si>
  <si>
    <t>OCI公允</t>
  </si>
  <si>
    <t>安踏体育</t>
  </si>
  <si>
    <t>北京银行</t>
  </si>
  <si>
    <t>北控水务集团</t>
  </si>
  <si>
    <t>工商银行</t>
  </si>
  <si>
    <t>光大银行</t>
  </si>
  <si>
    <t>贵州茅台</t>
  </si>
  <si>
    <t>OCI价差</t>
  </si>
  <si>
    <t>海底捞</t>
  </si>
  <si>
    <t>海尔智家</t>
  </si>
  <si>
    <t>华电国际电力股份</t>
  </si>
  <si>
    <t>华润电力</t>
  </si>
  <si>
    <t>建设银行</t>
  </si>
  <si>
    <t>江苏宁沪高速公路</t>
  </si>
  <si>
    <t>交通银行</t>
  </si>
  <si>
    <t>今世缘</t>
  </si>
  <si>
    <t>康师傅控股</t>
  </si>
  <si>
    <t>联邦制药</t>
  </si>
  <si>
    <t>泸州老窖</t>
  </si>
  <si>
    <t>股利盈亏</t>
  </si>
  <si>
    <t>美的集团</t>
  </si>
  <si>
    <t>蒙牛乳业</t>
  </si>
  <si>
    <t>南方传媒</t>
  </si>
  <si>
    <t>南京银行</t>
  </si>
  <si>
    <t>平安银行</t>
  </si>
  <si>
    <t>山西汾酒</t>
  </si>
  <si>
    <t>上海医药</t>
  </si>
  <si>
    <t>深港通证券组合费</t>
  </si>
  <si>
    <t>交易费用</t>
  </si>
  <si>
    <t>特步国际</t>
  </si>
  <si>
    <t>五 粮 液</t>
  </si>
  <si>
    <t>XD招商银</t>
  </si>
  <si>
    <t>新华文轩</t>
  </si>
  <si>
    <t>兴业银行</t>
  </si>
  <si>
    <t>迎驾贡酒</t>
  </si>
  <si>
    <t>招商银行</t>
  </si>
  <si>
    <t>浙江沪杭甬</t>
  </si>
  <si>
    <t>中国电信</t>
  </si>
  <si>
    <t>中国联通</t>
  </si>
  <si>
    <t>中国平安</t>
  </si>
  <si>
    <t>中国铁塔</t>
  </si>
  <si>
    <t>中国移动</t>
  </si>
  <si>
    <t>中国银行</t>
  </si>
  <si>
    <t>中南传媒</t>
  </si>
  <si>
    <t>中信银行</t>
  </si>
  <si>
    <t>权益类/损益类科目，口径为当日的发生额</t>
  </si>
  <si>
    <t>资产类/负债类科目，口径为截止当日的累计余额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</si>
</sst>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9"/>
      <color rgb="FF000000"/>
      <name val="undefined"/>
      <charset val="134"/>
    </font>
    <font>
      <sz val="9"/>
      <name val="undefined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 applyFill="0" applyBorder="0">
      <alignment horizontal="left" vertical="center"/>
    </xf>
    <xf numFmtId="0" fontId="1" fillId="0" borderId="0" applyFill="0" applyBorder="0">
      <alignment horizontal="left" vertical="center"/>
    </xf>
    <xf numFmtId="0" fontId="1" fillId="0" borderId="0" applyFill="0" applyBorder="0">
      <alignment horizontal="left" vertical="center"/>
    </xf>
    <xf numFmtId="0" fontId="1" fillId="0" borderId="0" applyFill="0" applyBorder="0">
      <alignment horizontal="left" vertical="center"/>
    </xf>
    <xf numFmtId="0" fontId="1" fillId="0" borderId="0" applyFill="0" applyBorder="0">
      <alignment horizontal="left" vertical="center"/>
    </xf>
    <xf numFmtId="0" fontId="1" fillId="0" borderId="0" applyFill="0" applyBorder="0">
      <alignment horizontal="left" vertical="center"/>
    </xf>
    <xf numFmtId="0" fontId="1" fillId="0" borderId="0" applyFill="0" applyBorder="0">
      <alignment horizontal="center" vertical="center"/>
    </xf>
    <xf numFmtId="0" fontId="1" fillId="0" borderId="0" applyFill="0" applyBorder="0">
      <alignment horizontal="left" vertical="center"/>
    </xf>
    <xf numFmtId="0" fontId="1" fillId="0" borderId="0" applyFill="0" applyBorder="0">
      <alignment horizontal="left" vertical="center"/>
    </xf>
    <xf numFmtId="4" fontId="1" fillId="0" borderId="0" applyFill="0" applyBorder="0">
      <alignment horizontal="center" vertical="center"/>
    </xf>
    <xf numFmtId="0" fontId="1" fillId="0" borderId="0" applyFill="0" applyBorder="0">
      <alignment horizontal="left" vertical="center"/>
    </xf>
  </cellStyleXfs>
  <cellXfs count="25">
    <xf numFmtId="0" fontId="0" fillId="0" borderId="0" xfId="0">
      <alignment horizontal="left" vertical="center"/>
    </xf>
    <xf numFmtId="0" fontId="1" fillId="0" borderId="1" xfId="0" applyFont="1" applyBorder="1">
      <alignment horizontal="left" vertical="center"/>
    </xf>
    <xf numFmtId="0" fontId="1" fillId="0" borderId="1" xfId="6" applyBorder="1">
      <alignment horizontal="center" vertical="center"/>
    </xf>
    <xf numFmtId="0" fontId="1" fillId="0" borderId="1" xfId="7" applyBorder="1">
      <alignment horizontal="left" vertical="center"/>
    </xf>
    <xf numFmtId="166" fontId="1" fillId="0" borderId="1" xfId="9" applyNumberFormat="1" applyFill="1" applyBorder="1" applyAlignment="1">
      <alignment horizontal="right" vertical="center"/>
    </xf>
    <xf numFmtId="166" fontId="0" fillId="0" borderId="0" xfId="0" applyNumberFormat="1" applyFill="1" applyBorder="1" applyAlignment="1">
      <alignment horizontal="right" vertical="center"/>
    </xf>
    <xf numFmtId="0" fontId="1" fillId="0" borderId="1" xfId="7" applyBorder="1" applyAlignment="1">
      <alignment vertical="center"/>
    </xf>
    <xf numFmtId="0" fontId="1" fillId="0" borderId="0" xfId="0" applyFont="1">
      <alignment horizontal="left" vertical="center"/>
    </xf>
    <xf numFmtId="0" fontId="1" fillId="0" borderId="0" xfId="6">
      <alignment horizontal="center" vertical="center"/>
    </xf>
    <xf numFmtId="0" fontId="1" fillId="0" borderId="0" xfId="7">
      <alignment horizontal="left" vertical="center"/>
    </xf>
    <xf numFmtId="166" fontId="1" fillId="0" borderId="0" xfId="9" applyNumberFormat="1" applyFill="1" applyBorder="1" applyAlignment="1">
      <alignment horizontal="right" vertical="center"/>
    </xf>
    <xf numFmtId="0" fontId="2" fillId="0" borderId="1" xfId="8" applyFont="1" applyBorder="1">
      <alignment horizontal="left" vertical="center"/>
    </xf>
    <xf numFmtId="0" fontId="1" fillId="0" borderId="1" xfId="8" applyBorder="1">
      <alignment horizontal="left" vertical="center"/>
    </xf>
    <xf numFmtId="0" fontId="2" fillId="0" borderId="1" xfId="0" applyFont="1" applyBorder="1">
      <alignment horizontal="left" vertical="center"/>
    </xf>
    <xf numFmtId="0" fontId="1" fillId="0" borderId="1" xfId="0" applyFont="1" applyBorder="1">
      <alignment horizontal="left" vertical="center"/>
    </xf>
    <xf numFmtId="0" fontId="1" fillId="0" borderId="1" xfId="7" applyBorder="1">
      <alignment horizontal="left" vertical="center"/>
    </xf>
    <xf numFmtId="0" fontId="1" fillId="0" borderId="0" xfId="8">
      <alignment horizontal="left" vertical="center"/>
    </xf>
    <xf numFmtId="0" fontId="2" fillId="0" borderId="0" xfId="8" applyFont="1">
      <alignment horizontal="left" vertical="center"/>
    </xf>
    <xf numFmtId="0" fontId="2" fillId="0" borderId="0" xfId="0" applyFont="1">
      <alignment horizontal="left" vertical="center"/>
    </xf>
    <xf numFmtId="0" fontId="1" fillId="0" borderId="0" xfId="0" applyFont="1">
      <alignment horizontal="left" vertical="center"/>
    </xf>
    <xf numFmtId="0" fontId="1" fillId="0" borderId="0" xfId="7">
      <alignment horizontal="left" vertical="center"/>
    </xf>
    <xf numFmtId="0" fontId="1" fillId="2" borderId="1" xfId="0" applyFont="1" applyFill="1" applyBorder="1">
      <alignment horizontal="left" vertical="center"/>
    </xf>
    <xf numFmtId="0" fontId="1" fillId="3" borderId="1" xfId="0" applyFont="1" applyFill="1" applyBorder="1">
      <alignment horizontal="left" vertical="center"/>
    </xf>
    <xf numFmtId="0" fontId="1" fillId="0" borderId="0" xfId="7" applyAlignment="1">
      <alignment vertical="center"/>
    </xf>
    <xf numFmtId="0" fontId="0" fillId="3" borderId="1" xfId="0" applyFill="1" applyBorder="1">
      <alignment horizontal="left" vertical="center"/>
    </xf>
  </cellXfs>
  <cellStyles count="11">
    <cellStyle name="$$crosstablerender-Sheet54-未命名交叉表23-body-0-0" xfId="9" xr:uid="{00000000-0005-0000-0000-000039000000}"/>
    <cellStyle name="$$crosstablerender-Sheet54-未命名交叉表23-corner-0-0" xfId="1" xr:uid="{00000000-0005-0000-0000-000009000000}"/>
    <cellStyle name="$$crosstablerender-Sheet54-未命名交叉表23-corner-0-1" xfId="3" xr:uid="{00000000-0005-0000-0000-000019000000}"/>
    <cellStyle name="$$crosstablerender-Sheet54-未命名交叉表23-corner-0-2" xfId="7" xr:uid="{00000000-0005-0000-0000-000033000000}"/>
    <cellStyle name="$$crosstablerender-Sheet54-未命名交叉表23-corner-0-3" xfId="8" xr:uid="{00000000-0005-0000-0000-000037000000}"/>
    <cellStyle name="$$crosstablerender-Sheet54-未命名交叉表23-left-0-0" xfId="10" xr:uid="{00000000-0005-0000-0000-00003A000000}"/>
    <cellStyle name="$$crosstablerender-Sheet54-未命名交叉表23-left-0-1" xfId="2" xr:uid="{00000000-0005-0000-0000-000012000000}"/>
    <cellStyle name="$$crosstablerender-Sheet54-未命名交叉表23-left-0-2" xfId="4" xr:uid="{00000000-0005-0000-0000-00001C000000}"/>
    <cellStyle name="$$crosstablerender-Sheet54-未命名交叉表23-left-0-3" xfId="5" xr:uid="{00000000-0005-0000-0000-000023000000}"/>
    <cellStyle name="$$crosstablerender-Sheet54-未命名交叉表23-top-0-0" xfId="6" xr:uid="{00000000-0005-0000-0000-00003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7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7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6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7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5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0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8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2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5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6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4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5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5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K146"/>
  <sheetViews>
    <sheetView zoomScale="55" zoomScaleNormal="55" workbookViewId="0">
      <selection activeCell="F2" sqref="F2"/>
    </sheetView>
  </sheetViews>
  <sheetFormatPr defaultColWidth="13.109375" defaultRowHeight="21" customHeight="1"/>
  <cols>
    <col min="3" max="3" width="25.44140625" customWidth="1"/>
  </cols>
  <sheetData>
    <row r="1" spans="1:37" ht="21" customHeight="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</row>
    <row r="2" spans="1:37" ht="21" customHeight="1">
      <c r="A2" s="17" t="s">
        <v>47</v>
      </c>
      <c r="B2" s="18" t="s">
        <v>48</v>
      </c>
      <c r="C2" s="20" t="s">
        <v>49</v>
      </c>
      <c r="D2" s="7" t="s">
        <v>40</v>
      </c>
      <c r="E2" s="10">
        <v>12.061916999999999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5">
        <f>ROUND(ABS(E2)+ABS(F2)+ABS(G2)+ABS(H2)+ABS(I2)+ABS(J2)+ABS(K2)+ABS(L2)+ABS(M2)+ABS(N2)+ABS(O2)+ABS(P2)+ABS(Q2)+ABS(R2)+ABS(S2)+ABS(T2)+ABS(U2)+ABS(V2)+ABS(W2)+ABS(X2)+ABS(Y2)+ABS(Z2)+ABS(AA2)+ABS(AB2)+ABS(AC2)+ABS(AD2)+ABS(AE2)+ABS(AF2)+ABS(AG2)+ABS(AH2)+ABS(AI2)+ABS(AJ2),6)</f>
        <v>12.061916999999999</v>
      </c>
    </row>
    <row r="3" spans="1:37" ht="21" customHeight="1">
      <c r="A3" s="16"/>
      <c r="B3" s="19"/>
      <c r="C3" s="20"/>
      <c r="D3" s="7" t="s">
        <v>50</v>
      </c>
      <c r="E3" s="10">
        <v>-0.32392500000000002</v>
      </c>
      <c r="F3" s="10">
        <v>0</v>
      </c>
      <c r="G3" s="10">
        <v>0</v>
      </c>
      <c r="H3" s="10">
        <v>0</v>
      </c>
      <c r="I3" s="10">
        <v>0</v>
      </c>
      <c r="J3" s="10">
        <v>-0.18105199999999999</v>
      </c>
      <c r="K3" s="10">
        <v>-4.5909999999999999E-2</v>
      </c>
      <c r="L3" s="10">
        <v>2.1777000000000001E-2</v>
      </c>
      <c r="M3" s="10">
        <v>-3.5832000000000003E-2</v>
      </c>
      <c r="N3" s="10">
        <v>0.148425</v>
      </c>
      <c r="O3" s="10">
        <v>0</v>
      </c>
      <c r="P3" s="10">
        <v>0</v>
      </c>
      <c r="Q3" s="10">
        <v>-5.6335999999999997E-2</v>
      </c>
      <c r="R3" s="10">
        <v>7.4130000000000003E-3</v>
      </c>
      <c r="S3" s="10">
        <v>-0.15199699999999999</v>
      </c>
      <c r="T3" s="10">
        <v>-7.0255999999999999E-2</v>
      </c>
      <c r="U3" s="10">
        <v>0.116186</v>
      </c>
      <c r="V3" s="10">
        <v>0</v>
      </c>
      <c r="W3" s="10">
        <v>0</v>
      </c>
      <c r="X3" s="10">
        <v>-0.111042</v>
      </c>
      <c r="Y3" s="10">
        <v>0.18743199999999999</v>
      </c>
      <c r="Z3" s="10">
        <v>1.5084E-2</v>
      </c>
      <c r="AA3" s="10">
        <v>-0.12726000000000001</v>
      </c>
      <c r="AB3" s="10">
        <v>7.7768000000000004E-2</v>
      </c>
      <c r="AC3" s="10">
        <v>0</v>
      </c>
      <c r="AD3" s="10">
        <v>0</v>
      </c>
      <c r="AE3" s="10">
        <v>-5.2269999999999997E-2</v>
      </c>
      <c r="AF3" s="10">
        <v>0.14263799999999999</v>
      </c>
      <c r="AG3" s="10">
        <v>4.1984E-2</v>
      </c>
      <c r="AH3" s="10">
        <v>0.29903099999999999</v>
      </c>
      <c r="AI3" s="10">
        <v>0.40916999999999998</v>
      </c>
      <c r="AJ3" s="10">
        <v>0</v>
      </c>
      <c r="AK3" s="5">
        <f>ROUND(ABS(E3)+ABS(F3)+ABS(G3)+ABS(H3)+ABS(I3)+ABS(J3)+ABS(K3)+ABS(L3)+ABS(M3)+ABS(N3)+ABS(O3)+ABS(P3)+ABS(Q3)+ABS(R3)+ABS(S3)+ABS(T3)+ABS(U3)+ABS(V3)+ABS(W3)+ABS(X3)+ABS(Y3)+ABS(Z3)+ABS(AA3)+ABS(AB3)+ABS(AC3)+ABS(AD3)+ABS(AE3)+ABS(AF3)+ABS(AG3)+ABS(AH3)+ABS(AI3)+ABS(AJ3),6)</f>
        <v>2.6227879999999999</v>
      </c>
    </row>
    <row r="4" spans="1:37" ht="21" hidden="1" customHeight="1">
      <c r="A4" s="16"/>
      <c r="B4" s="19"/>
      <c r="C4" s="20"/>
      <c r="D4" s="7" t="s">
        <v>51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-0.18105199999999999</v>
      </c>
      <c r="K4" s="10">
        <v>-4.5909999999999999E-2</v>
      </c>
      <c r="L4" s="10">
        <v>2.1777000000000001E-2</v>
      </c>
      <c r="M4" s="10">
        <v>-3.5832000000000003E-2</v>
      </c>
      <c r="N4" s="10">
        <v>0.148425</v>
      </c>
      <c r="O4" s="10">
        <v>0</v>
      </c>
      <c r="P4" s="10">
        <v>0</v>
      </c>
      <c r="Q4" s="10">
        <v>-5.6335999999999997E-2</v>
      </c>
      <c r="R4" s="10">
        <v>7.4130000000000003E-3</v>
      </c>
      <c r="S4" s="10">
        <v>-0.15199699999999999</v>
      </c>
      <c r="T4" s="10">
        <v>-7.0255999999999999E-2</v>
      </c>
      <c r="U4" s="10">
        <v>0.116186</v>
      </c>
      <c r="V4" s="10">
        <v>0</v>
      </c>
      <c r="W4" s="10">
        <v>0</v>
      </c>
      <c r="X4" s="10">
        <v>-0.111042</v>
      </c>
      <c r="Y4" s="10">
        <v>0.18743199999999999</v>
      </c>
      <c r="Z4" s="10">
        <v>1.5084E-2</v>
      </c>
      <c r="AA4" s="10">
        <v>-0.12726000000000001</v>
      </c>
      <c r="AB4" s="10">
        <v>7.7768000000000004E-2</v>
      </c>
      <c r="AC4" s="10">
        <v>0</v>
      </c>
      <c r="AD4" s="10">
        <v>0</v>
      </c>
      <c r="AE4" s="10">
        <v>-5.2269999999999997E-2</v>
      </c>
      <c r="AF4" s="10">
        <v>0.14263799999999999</v>
      </c>
      <c r="AG4" s="10">
        <v>4.1984E-2</v>
      </c>
      <c r="AH4" s="10">
        <v>0.29903099999999999</v>
      </c>
      <c r="AI4" s="10">
        <v>0.40916999999999998</v>
      </c>
      <c r="AJ4" s="10">
        <v>0</v>
      </c>
      <c r="AK4" s="5">
        <f>ROUND(ABS(E4)+ABS(F4)+ABS(G4)+ABS(H4)+ABS(I4)+ABS(J4)+ABS(K4)+ABS(L4)+ABS(M4)+ABS(N4)+ABS(O4)+ABS(P4)+ABS(Q4)+ABS(R4)+ABS(S4)+ABS(T4)+ABS(U4)+ABS(V4)+ABS(W4)+ABS(X4)+ABS(Y4)+ABS(Z4)+ABS(AA4)+ABS(AB4)+ABS(AC4)+ABS(AD4)+ABS(AE4)+ABS(AF4)+ABS(AG4)+ABS(AH4)+ABS(AI4)+ABS(AJ4),6)</f>
        <v>2.2988629999999999</v>
      </c>
    </row>
    <row r="5" spans="1:37" ht="21" customHeight="1">
      <c r="A5" s="16"/>
      <c r="B5" s="19"/>
      <c r="C5" s="20" t="s">
        <v>52</v>
      </c>
      <c r="D5" s="7" t="s">
        <v>40</v>
      </c>
      <c r="E5" s="10">
        <v>758.75399200000004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5">
        <f>ROUND(ABS(E5)+ABS(F5)+ABS(G5)+ABS(H5)+ABS(I5)+ABS(J5)+ABS(K5)+ABS(L5)+ABS(M5)+ABS(N5)+ABS(O5)+ABS(P5)+ABS(Q5)+ABS(R5)+ABS(S5)+ABS(T5)+ABS(U5)+ABS(V5)+ABS(W5)+ABS(X5)+ABS(Y5)+ABS(Z5)+ABS(AA5)+ABS(AB5)+ABS(AC5)+ABS(AD5)+ABS(AE5)+ABS(AF5)+ABS(AG5)+ABS(AH5)+ABS(AI5)+ABS(AJ5),6)</f>
        <v>758.75399200000004</v>
      </c>
    </row>
    <row r="6" spans="1:37" ht="21" customHeight="1">
      <c r="A6" s="16"/>
      <c r="B6" s="19"/>
      <c r="C6" s="20"/>
      <c r="D6" s="7" t="s">
        <v>50</v>
      </c>
      <c r="E6" s="10">
        <v>-35.898291999999998</v>
      </c>
      <c r="F6" s="10">
        <v>0</v>
      </c>
      <c r="G6" s="10">
        <v>0</v>
      </c>
      <c r="H6" s="10">
        <v>0</v>
      </c>
      <c r="I6" s="10">
        <v>0</v>
      </c>
      <c r="J6" s="10">
        <v>-4.1249500000000001</v>
      </c>
      <c r="K6" s="10">
        <v>21.647950000000002</v>
      </c>
      <c r="L6" s="10">
        <v>-10.0572</v>
      </c>
      <c r="M6" s="10">
        <v>1.141</v>
      </c>
      <c r="N6" s="10">
        <v>-12.1351</v>
      </c>
      <c r="O6" s="10">
        <v>0</v>
      </c>
      <c r="P6" s="10">
        <v>0</v>
      </c>
      <c r="Q6" s="10">
        <v>-8.2210000000000001</v>
      </c>
      <c r="R6" s="10">
        <v>5.9618000000000002</v>
      </c>
      <c r="S6" s="10">
        <v>8.4939499999999999</v>
      </c>
      <c r="T6" s="10">
        <v>5.4463499999999998</v>
      </c>
      <c r="U6" s="10">
        <v>2.10825</v>
      </c>
      <c r="V6" s="10">
        <v>0</v>
      </c>
      <c r="W6" s="10">
        <v>0</v>
      </c>
      <c r="X6" s="10">
        <v>-2.4791500000000002</v>
      </c>
      <c r="Y6" s="10">
        <v>6.1211500000000001</v>
      </c>
      <c r="Z6" s="10">
        <v>-31.503150000000002</v>
      </c>
      <c r="AA6" s="10">
        <v>-13.335599999999999</v>
      </c>
      <c r="AB6" s="10">
        <v>-4.1717000000000004</v>
      </c>
      <c r="AC6" s="10">
        <v>0</v>
      </c>
      <c r="AD6" s="10">
        <v>0</v>
      </c>
      <c r="AE6" s="10">
        <v>-6.1718500000000001</v>
      </c>
      <c r="AF6" s="10">
        <v>13.291550000000001</v>
      </c>
      <c r="AG6" s="10">
        <v>-8.1820000000000004</v>
      </c>
      <c r="AH6" s="10">
        <v>31.140499999999999</v>
      </c>
      <c r="AI6" s="10">
        <v>-21.792750000000002</v>
      </c>
      <c r="AJ6" s="10">
        <v>0</v>
      </c>
      <c r="AK6" s="5">
        <f>ROUND(ABS(E6)+ABS(F6)+ABS(G6)+ABS(H6)+ABS(I6)+ABS(J6)+ABS(K6)+ABS(L6)+ABS(M6)+ABS(N6)+ABS(O6)+ABS(P6)+ABS(Q6)+ABS(R6)+ABS(S6)+ABS(T6)+ABS(U6)+ABS(V6)+ABS(W6)+ABS(X6)+ABS(Y6)+ABS(Z6)+ABS(AA6)+ABS(AB6)+ABS(AC6)+ABS(AD6)+ABS(AE6)+ABS(AF6)+ABS(AG6)+ABS(AH6)+ABS(AI6)+ABS(AJ6),6)</f>
        <v>253.425242</v>
      </c>
    </row>
    <row r="7" spans="1:37" ht="21" hidden="1" customHeight="1">
      <c r="A7" s="16"/>
      <c r="B7" s="19"/>
      <c r="C7" s="20"/>
      <c r="D7" s="7" t="s">
        <v>51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-4.1249500000000001</v>
      </c>
      <c r="K7" s="10">
        <v>21.647950000000002</v>
      </c>
      <c r="L7" s="10">
        <v>-10.0572</v>
      </c>
      <c r="M7" s="10">
        <v>1.141</v>
      </c>
      <c r="N7" s="10">
        <v>-12.1351</v>
      </c>
      <c r="O7" s="10">
        <v>0</v>
      </c>
      <c r="P7" s="10">
        <v>0</v>
      </c>
      <c r="Q7" s="10">
        <v>-8.2210000000000001</v>
      </c>
      <c r="R7" s="10">
        <v>5.9618000000000002</v>
      </c>
      <c r="S7" s="10">
        <v>8.4939499999999999</v>
      </c>
      <c r="T7" s="10">
        <v>5.4463499999999998</v>
      </c>
      <c r="U7" s="10">
        <v>2.10825</v>
      </c>
      <c r="V7" s="10">
        <v>0</v>
      </c>
      <c r="W7" s="10">
        <v>0</v>
      </c>
      <c r="X7" s="10">
        <v>-2.4791500000000002</v>
      </c>
      <c r="Y7" s="10">
        <v>6.1211500000000001</v>
      </c>
      <c r="Z7" s="10">
        <v>-31.503150000000002</v>
      </c>
      <c r="AA7" s="10">
        <v>-13.335599999999999</v>
      </c>
      <c r="AB7" s="10">
        <v>-4.1717000000000004</v>
      </c>
      <c r="AC7" s="10">
        <v>0</v>
      </c>
      <c r="AD7" s="10">
        <v>0</v>
      </c>
      <c r="AE7" s="10">
        <v>-6.1718500000000001</v>
      </c>
      <c r="AF7" s="10">
        <v>13.291550000000001</v>
      </c>
      <c r="AG7" s="10">
        <v>-8.1820000000000004</v>
      </c>
      <c r="AH7" s="10">
        <v>31.140499999999999</v>
      </c>
      <c r="AI7" s="10">
        <v>-21.792750000000002</v>
      </c>
      <c r="AJ7" s="10">
        <v>0</v>
      </c>
      <c r="AK7" s="5">
        <f>ROUND(ABS(E7)+ABS(F7)+ABS(G7)+ABS(H7)+ABS(I7)+ABS(J7)+ABS(K7)+ABS(L7)+ABS(M7)+ABS(N7)+ABS(O7)+ABS(P7)+ABS(Q7)+ABS(R7)+ABS(S7)+ABS(T7)+ABS(U7)+ABS(V7)+ABS(W7)+ABS(X7)+ABS(Y7)+ABS(Z7)+ABS(AA7)+ABS(AB7)+ABS(AC7)+ABS(AD7)+ABS(AE7)+ABS(AF7)+ABS(AG7)+ABS(AH7)+ABS(AI7)+ABS(AJ7),6)</f>
        <v>217.52695</v>
      </c>
    </row>
    <row r="8" spans="1:37" ht="21" customHeight="1">
      <c r="A8" s="16"/>
      <c r="B8" s="19"/>
      <c r="C8" s="20" t="s">
        <v>53</v>
      </c>
      <c r="D8" s="7" t="s">
        <v>40</v>
      </c>
      <c r="E8" s="10">
        <v>879.184259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5">
        <f>ROUND(ABS(E8)+ABS(F8)+ABS(G8)+ABS(H8)+ABS(I8)+ABS(J8)+ABS(K8)+ABS(L8)+ABS(M8)+ABS(N8)+ABS(O8)+ABS(P8)+ABS(Q8)+ABS(R8)+ABS(S8)+ABS(T8)+ABS(U8)+ABS(V8)+ABS(W8)+ABS(X8)+ABS(Y8)+ABS(Z8)+ABS(AA8)+ABS(AB8)+ABS(AC8)+ABS(AD8)+ABS(AE8)+ABS(AF8)+ABS(AG8)+ABS(AH8)+ABS(AI8)+ABS(AJ8),6)</f>
        <v>879.184259</v>
      </c>
    </row>
    <row r="9" spans="1:37" ht="21" customHeight="1">
      <c r="A9" s="16"/>
      <c r="B9" s="19"/>
      <c r="C9" s="20"/>
      <c r="D9" s="7" t="s">
        <v>50</v>
      </c>
      <c r="E9" s="10">
        <v>-57.184258999999997</v>
      </c>
      <c r="F9" s="10">
        <v>0</v>
      </c>
      <c r="G9" s="10">
        <v>0</v>
      </c>
      <c r="H9" s="10">
        <v>0</v>
      </c>
      <c r="I9" s="10">
        <v>0</v>
      </c>
      <c r="J9" s="10">
        <v>6</v>
      </c>
      <c r="K9" s="10">
        <v>10.5</v>
      </c>
      <c r="L9" s="10">
        <v>-6</v>
      </c>
      <c r="M9" s="10">
        <v>-3</v>
      </c>
      <c r="N9" s="10">
        <v>-3</v>
      </c>
      <c r="O9" s="10">
        <v>0</v>
      </c>
      <c r="P9" s="10">
        <v>0</v>
      </c>
      <c r="Q9" s="10">
        <v>1.5</v>
      </c>
      <c r="R9" s="10">
        <v>1.5</v>
      </c>
      <c r="S9" s="10">
        <v>-22.5</v>
      </c>
      <c r="T9" s="10">
        <v>-7.5</v>
      </c>
      <c r="U9" s="10">
        <v>-13.5</v>
      </c>
      <c r="V9" s="10">
        <v>0</v>
      </c>
      <c r="W9" s="10">
        <v>0</v>
      </c>
      <c r="X9" s="10">
        <v>-3</v>
      </c>
      <c r="Y9" s="10">
        <v>15</v>
      </c>
      <c r="Z9" s="10">
        <v>-9</v>
      </c>
      <c r="AA9" s="10">
        <v>6</v>
      </c>
      <c r="AB9" s="10">
        <v>-6</v>
      </c>
      <c r="AC9" s="10">
        <v>0</v>
      </c>
      <c r="AD9" s="10">
        <v>0</v>
      </c>
      <c r="AE9" s="10">
        <v>1.5</v>
      </c>
      <c r="AF9" s="10">
        <v>-4.5</v>
      </c>
      <c r="AG9" s="10">
        <v>4.5</v>
      </c>
      <c r="AH9" s="10">
        <v>13.5</v>
      </c>
      <c r="AI9" s="10">
        <v>-9</v>
      </c>
      <c r="AJ9" s="10">
        <v>0</v>
      </c>
      <c r="AK9" s="5">
        <f>ROUND(ABS(E9)+ABS(F9)+ABS(G9)+ABS(H9)+ABS(I9)+ABS(J9)+ABS(K9)+ABS(L9)+ABS(M9)+ABS(N9)+ABS(O9)+ABS(P9)+ABS(Q9)+ABS(R9)+ABS(S9)+ABS(T9)+ABS(U9)+ABS(V9)+ABS(W9)+ABS(X9)+ABS(Y9)+ABS(Z9)+ABS(AA9)+ABS(AB9)+ABS(AC9)+ABS(AD9)+ABS(AE9)+ABS(AF9)+ABS(AG9)+ABS(AH9)+ABS(AI9)+ABS(AJ9),6)</f>
        <v>204.184259</v>
      </c>
    </row>
    <row r="10" spans="1:37" ht="21" hidden="1" customHeight="1">
      <c r="A10" s="16"/>
      <c r="B10" s="19"/>
      <c r="C10" s="20"/>
      <c r="D10" s="7" t="s">
        <v>51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6</v>
      </c>
      <c r="K10" s="10">
        <v>10.5</v>
      </c>
      <c r="L10" s="10">
        <v>-6</v>
      </c>
      <c r="M10" s="10">
        <v>-3</v>
      </c>
      <c r="N10" s="10">
        <v>-3</v>
      </c>
      <c r="O10" s="10">
        <v>0</v>
      </c>
      <c r="P10" s="10">
        <v>0</v>
      </c>
      <c r="Q10" s="10">
        <v>1.5</v>
      </c>
      <c r="R10" s="10">
        <v>1.5</v>
      </c>
      <c r="S10" s="10">
        <v>-22.5</v>
      </c>
      <c r="T10" s="10">
        <v>-7.5</v>
      </c>
      <c r="U10" s="10">
        <v>-13.5</v>
      </c>
      <c r="V10" s="10">
        <v>0</v>
      </c>
      <c r="W10" s="10">
        <v>0</v>
      </c>
      <c r="X10" s="10">
        <v>-3</v>
      </c>
      <c r="Y10" s="10">
        <v>15</v>
      </c>
      <c r="Z10" s="10">
        <v>-9</v>
      </c>
      <c r="AA10" s="10">
        <v>6</v>
      </c>
      <c r="AB10" s="10">
        <v>-6</v>
      </c>
      <c r="AC10" s="10">
        <v>0</v>
      </c>
      <c r="AD10" s="10">
        <v>0</v>
      </c>
      <c r="AE10" s="10">
        <v>1.5</v>
      </c>
      <c r="AF10" s="10">
        <v>-4.5</v>
      </c>
      <c r="AG10" s="10">
        <v>4.5</v>
      </c>
      <c r="AH10" s="10">
        <v>13.5</v>
      </c>
      <c r="AI10" s="10">
        <v>-9</v>
      </c>
      <c r="AJ10" s="10">
        <v>0</v>
      </c>
      <c r="AK10" s="5">
        <f t="shared" ref="AK10:AK41" si="0">ROUND(ABS(E10)+ABS(F10)+ABS(G10)+ABS(H10)+ABS(I10)+ABS(J10)+ABS(K10)+ABS(L10)+ABS(M10)+ABS(N10)+ABS(O10)+ABS(P10)+ABS(Q10)+ABS(R10)+ABS(S10)+ABS(T10)+ABS(U10)+ABS(V10)+ABS(W10)+ABS(X10)+ABS(Y10)+ABS(Z10)+ABS(AA10)+ABS(AB10)+ABS(AC10)+ABS(AD10)+ABS(AE10)+ABS(AF10)+ABS(AG10)+ABS(AH10)+ABS(AI10)+ABS(AJ10),6)</f>
        <v>147</v>
      </c>
    </row>
    <row r="11" spans="1:37" ht="21" customHeight="1">
      <c r="A11" s="16"/>
      <c r="B11" s="19"/>
      <c r="C11" s="20" t="s">
        <v>54</v>
      </c>
      <c r="D11" s="7" t="s">
        <v>40</v>
      </c>
      <c r="E11" s="10">
        <v>452.26320900000002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5">
        <f t="shared" si="0"/>
        <v>452.26320900000002</v>
      </c>
    </row>
    <row r="12" spans="1:37" ht="21" customHeight="1">
      <c r="A12" s="16"/>
      <c r="B12" s="19"/>
      <c r="C12" s="20"/>
      <c r="D12" s="7" t="s">
        <v>50</v>
      </c>
      <c r="E12" s="10">
        <v>-10.742409</v>
      </c>
      <c r="F12" s="10">
        <v>0</v>
      </c>
      <c r="G12" s="10">
        <v>0</v>
      </c>
      <c r="H12" s="10">
        <v>0</v>
      </c>
      <c r="I12" s="10">
        <v>0</v>
      </c>
      <c r="J12" s="10">
        <v>0.36220000000000002</v>
      </c>
      <c r="K12" s="10">
        <v>6.0170000000000003</v>
      </c>
      <c r="L12" s="10">
        <v>1.9421999999999999</v>
      </c>
      <c r="M12" s="10">
        <v>0.70279999999999998</v>
      </c>
      <c r="N12" s="10">
        <v>0.93820000000000003</v>
      </c>
      <c r="O12" s="10">
        <v>0</v>
      </c>
      <c r="P12" s="10">
        <v>0</v>
      </c>
      <c r="Q12" s="10">
        <v>-0.1008</v>
      </c>
      <c r="R12" s="10">
        <v>1.0322</v>
      </c>
      <c r="S12" s="10">
        <v>5.3646000000000003</v>
      </c>
      <c r="T12" s="10">
        <v>5.1200000000000002E-2</v>
      </c>
      <c r="U12" s="10">
        <v>-7.5064000000000002</v>
      </c>
      <c r="V12" s="10">
        <v>0</v>
      </c>
      <c r="W12" s="10">
        <v>0</v>
      </c>
      <c r="X12" s="10">
        <v>-0.1512</v>
      </c>
      <c r="Y12" s="10">
        <v>8.5722000000000005</v>
      </c>
      <c r="Z12" s="10">
        <v>1.3206</v>
      </c>
      <c r="AA12" s="10">
        <v>11.332800000000001</v>
      </c>
      <c r="AB12" s="10">
        <v>-0.1056</v>
      </c>
      <c r="AC12" s="10">
        <v>0</v>
      </c>
      <c r="AD12" s="10">
        <v>0</v>
      </c>
      <c r="AE12" s="10">
        <v>-1.7325999999999999</v>
      </c>
      <c r="AF12" s="10">
        <v>-5.7202000000000002</v>
      </c>
      <c r="AG12" s="10">
        <v>7.0304000000000002</v>
      </c>
      <c r="AH12" s="10">
        <v>4.1226000000000003</v>
      </c>
      <c r="AI12" s="10">
        <v>3.5579999999999998</v>
      </c>
      <c r="AJ12" s="10">
        <v>0</v>
      </c>
      <c r="AK12" s="5">
        <f t="shared" si="0"/>
        <v>78.406209000000004</v>
      </c>
    </row>
    <row r="13" spans="1:37" ht="21" hidden="1" customHeight="1">
      <c r="A13" s="16"/>
      <c r="B13" s="19"/>
      <c r="C13" s="20"/>
      <c r="D13" s="7" t="s">
        <v>51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0.36220000000000002</v>
      </c>
      <c r="K13" s="10">
        <v>6.0170000000000003</v>
      </c>
      <c r="L13" s="10">
        <v>1.9421999999999999</v>
      </c>
      <c r="M13" s="10">
        <v>0.70279999999999998</v>
      </c>
      <c r="N13" s="10">
        <v>0.93820000000000003</v>
      </c>
      <c r="O13" s="10">
        <v>0</v>
      </c>
      <c r="P13" s="10">
        <v>0</v>
      </c>
      <c r="Q13" s="10">
        <v>-0.1008</v>
      </c>
      <c r="R13" s="10">
        <v>1.0322</v>
      </c>
      <c r="S13" s="10">
        <v>5.3646000000000003</v>
      </c>
      <c r="T13" s="10">
        <v>5.1200000000000002E-2</v>
      </c>
      <c r="U13" s="10">
        <v>-7.5064000000000002</v>
      </c>
      <c r="V13" s="10">
        <v>0</v>
      </c>
      <c r="W13" s="10">
        <v>0</v>
      </c>
      <c r="X13" s="10">
        <v>-0.1512</v>
      </c>
      <c r="Y13" s="10">
        <v>8.5722000000000005</v>
      </c>
      <c r="Z13" s="10">
        <v>1.3206</v>
      </c>
      <c r="AA13" s="10">
        <v>11.332800000000001</v>
      </c>
      <c r="AB13" s="10">
        <v>-0.1056</v>
      </c>
      <c r="AC13" s="10">
        <v>0</v>
      </c>
      <c r="AD13" s="10">
        <v>0</v>
      </c>
      <c r="AE13" s="10">
        <v>-1.7325999999999999</v>
      </c>
      <c r="AF13" s="10">
        <v>-5.7202000000000002</v>
      </c>
      <c r="AG13" s="10">
        <v>7.0304000000000002</v>
      </c>
      <c r="AH13" s="10">
        <v>4.1226000000000003</v>
      </c>
      <c r="AI13" s="10">
        <v>3.5579999999999998</v>
      </c>
      <c r="AJ13" s="10">
        <v>0</v>
      </c>
      <c r="AK13" s="5">
        <f t="shared" si="0"/>
        <v>67.663799999999995</v>
      </c>
    </row>
    <row r="14" spans="1:37" ht="21" customHeight="1">
      <c r="A14" s="16"/>
      <c r="B14" s="19"/>
      <c r="C14" s="20" t="s">
        <v>55</v>
      </c>
      <c r="D14" s="7" t="s">
        <v>40</v>
      </c>
      <c r="E14" s="10">
        <v>814.29188299999998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5">
        <f t="shared" si="0"/>
        <v>814.29188299999998</v>
      </c>
    </row>
    <row r="15" spans="1:37" ht="21" customHeight="1">
      <c r="A15" s="16"/>
      <c r="B15" s="19"/>
      <c r="C15" s="20"/>
      <c r="D15" s="7" t="s">
        <v>50</v>
      </c>
      <c r="E15" s="10">
        <v>145.29793699999999</v>
      </c>
      <c r="F15" s="10">
        <v>0</v>
      </c>
      <c r="G15" s="10">
        <v>0</v>
      </c>
      <c r="H15" s="10">
        <v>0</v>
      </c>
      <c r="I15" s="10">
        <v>0</v>
      </c>
      <c r="J15" s="10">
        <v>-15.266170000000001</v>
      </c>
      <c r="K15" s="10">
        <v>1.3724099999999999</v>
      </c>
      <c r="L15" s="10">
        <v>-10.346880000000001</v>
      </c>
      <c r="M15" s="10">
        <v>-4.64168</v>
      </c>
      <c r="N15" s="10">
        <v>2.8056800000000002</v>
      </c>
      <c r="O15" s="10">
        <v>0</v>
      </c>
      <c r="P15" s="10">
        <v>0</v>
      </c>
      <c r="Q15" s="10">
        <v>16.539300000000001</v>
      </c>
      <c r="R15" s="10">
        <v>7.5286200000000001</v>
      </c>
      <c r="S15" s="10">
        <v>-9.1198200000000007</v>
      </c>
      <c r="T15" s="10">
        <v>15.30748</v>
      </c>
      <c r="U15" s="10">
        <v>0.76449</v>
      </c>
      <c r="V15" s="10">
        <v>0</v>
      </c>
      <c r="W15" s="10">
        <v>0</v>
      </c>
      <c r="X15" s="10">
        <v>-1.84229</v>
      </c>
      <c r="Y15" s="10">
        <v>-5.3062100000000001</v>
      </c>
      <c r="Z15" s="10">
        <v>-16.122630000000001</v>
      </c>
      <c r="AA15" s="10">
        <v>-4.8041999999999998</v>
      </c>
      <c r="AB15" s="10">
        <v>-3.2446199999999998</v>
      </c>
      <c r="AC15" s="10">
        <v>0</v>
      </c>
      <c r="AD15" s="10">
        <v>0</v>
      </c>
      <c r="AE15" s="10">
        <v>13.76286</v>
      </c>
      <c r="AF15" s="10">
        <v>17.454239999999999</v>
      </c>
      <c r="AG15" s="10">
        <v>34.65314</v>
      </c>
      <c r="AH15" s="10">
        <v>4.9840600000000004</v>
      </c>
      <c r="AI15" s="10">
        <v>-22.68225</v>
      </c>
      <c r="AJ15" s="10">
        <v>0</v>
      </c>
      <c r="AK15" s="5">
        <f t="shared" si="0"/>
        <v>353.84696700000001</v>
      </c>
    </row>
    <row r="16" spans="1:37" ht="21" hidden="1" customHeight="1">
      <c r="A16" s="16"/>
      <c r="B16" s="19"/>
      <c r="C16" s="20"/>
      <c r="D16" s="7" t="s">
        <v>51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-15.266170000000001</v>
      </c>
      <c r="K16" s="10">
        <v>1.3724099999999999</v>
      </c>
      <c r="L16" s="10">
        <v>-10.346880000000001</v>
      </c>
      <c r="M16" s="10">
        <v>-4.64168</v>
      </c>
      <c r="N16" s="10">
        <v>2.8056800000000002</v>
      </c>
      <c r="O16" s="10">
        <v>0</v>
      </c>
      <c r="P16" s="10">
        <v>0</v>
      </c>
      <c r="Q16" s="10">
        <v>16.539300000000001</v>
      </c>
      <c r="R16" s="10">
        <v>7.5286200000000001</v>
      </c>
      <c r="S16" s="10">
        <v>-9.1198200000000007</v>
      </c>
      <c r="T16" s="10">
        <v>15.30748</v>
      </c>
      <c r="U16" s="10">
        <v>0.76449</v>
      </c>
      <c r="V16" s="10">
        <v>0</v>
      </c>
      <c r="W16" s="10">
        <v>0</v>
      </c>
      <c r="X16" s="10">
        <v>-1.84229</v>
      </c>
      <c r="Y16" s="10">
        <v>-5.3062100000000001</v>
      </c>
      <c r="Z16" s="10">
        <v>-16.122630000000001</v>
      </c>
      <c r="AA16" s="10">
        <v>-4.8041999999999998</v>
      </c>
      <c r="AB16" s="10">
        <v>-3.2446199999999998</v>
      </c>
      <c r="AC16" s="10">
        <v>0</v>
      </c>
      <c r="AD16" s="10">
        <v>0</v>
      </c>
      <c r="AE16" s="10">
        <v>13.76286</v>
      </c>
      <c r="AF16" s="10">
        <v>17.454239999999999</v>
      </c>
      <c r="AG16" s="10">
        <v>34.65314</v>
      </c>
      <c r="AH16" s="10">
        <v>4.9840600000000004</v>
      </c>
      <c r="AI16" s="10">
        <v>-22.68225</v>
      </c>
      <c r="AJ16" s="10">
        <v>0</v>
      </c>
      <c r="AK16" s="5">
        <f t="shared" si="0"/>
        <v>208.54902999999999</v>
      </c>
    </row>
    <row r="17" spans="1:37" ht="21" customHeight="1">
      <c r="A17" s="16"/>
      <c r="B17" s="19"/>
      <c r="C17" s="20"/>
      <c r="D17" s="7" t="s">
        <v>37</v>
      </c>
      <c r="E17" s="10">
        <v>24.038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-24.038</v>
      </c>
      <c r="AH17" s="10">
        <v>0</v>
      </c>
      <c r="AI17" s="10">
        <v>0</v>
      </c>
      <c r="AJ17" s="10">
        <v>0</v>
      </c>
      <c r="AK17" s="5">
        <f t="shared" si="0"/>
        <v>48.076000000000001</v>
      </c>
    </row>
    <row r="18" spans="1:37" ht="21" customHeight="1">
      <c r="A18" s="16"/>
      <c r="B18" s="19"/>
      <c r="C18" s="20" t="s">
        <v>56</v>
      </c>
      <c r="D18" s="7" t="s">
        <v>40</v>
      </c>
      <c r="E18" s="10">
        <v>976.68199400000003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5">
        <f t="shared" si="0"/>
        <v>976.68199400000003</v>
      </c>
    </row>
    <row r="19" spans="1:37" ht="21" customHeight="1">
      <c r="A19" s="16"/>
      <c r="B19" s="19"/>
      <c r="C19" s="20"/>
      <c r="D19" s="7" t="s">
        <v>50</v>
      </c>
      <c r="E19" s="10">
        <v>-34.381993999999999</v>
      </c>
      <c r="F19" s="10">
        <v>0</v>
      </c>
      <c r="G19" s="10">
        <v>0</v>
      </c>
      <c r="H19" s="10">
        <v>0</v>
      </c>
      <c r="I19" s="10">
        <v>0</v>
      </c>
      <c r="J19" s="10">
        <v>-2.7</v>
      </c>
      <c r="K19" s="10">
        <v>5.4</v>
      </c>
      <c r="L19" s="10">
        <v>-2.7</v>
      </c>
      <c r="M19" s="10">
        <v>-5.4</v>
      </c>
      <c r="N19" s="10">
        <v>-5.4</v>
      </c>
      <c r="O19" s="10">
        <v>0</v>
      </c>
      <c r="P19" s="10">
        <v>0</v>
      </c>
      <c r="Q19" s="10">
        <v>2.7</v>
      </c>
      <c r="R19" s="10">
        <v>0</v>
      </c>
      <c r="S19" s="10">
        <v>-8.1</v>
      </c>
      <c r="T19" s="10">
        <v>-13.5</v>
      </c>
      <c r="U19" s="10">
        <v>-8.1</v>
      </c>
      <c r="V19" s="10">
        <v>0</v>
      </c>
      <c r="W19" s="10">
        <v>0</v>
      </c>
      <c r="X19" s="10">
        <v>-2.7</v>
      </c>
      <c r="Y19" s="10">
        <v>13.5</v>
      </c>
      <c r="Z19" s="10">
        <v>-8.1</v>
      </c>
      <c r="AA19" s="10">
        <v>5.4</v>
      </c>
      <c r="AB19" s="10">
        <v>-2.7</v>
      </c>
      <c r="AC19" s="10">
        <v>0</v>
      </c>
      <c r="AD19" s="10">
        <v>0</v>
      </c>
      <c r="AE19" s="10">
        <v>2.7</v>
      </c>
      <c r="AF19" s="10">
        <v>-5.4</v>
      </c>
      <c r="AG19" s="10">
        <v>-10.8</v>
      </c>
      <c r="AH19" s="10">
        <v>5.4</v>
      </c>
      <c r="AI19" s="10">
        <v>-5.4</v>
      </c>
      <c r="AJ19" s="10">
        <v>0</v>
      </c>
      <c r="AK19" s="5">
        <f t="shared" si="0"/>
        <v>150.48199399999999</v>
      </c>
    </row>
    <row r="20" spans="1:37" ht="21" hidden="1" customHeight="1">
      <c r="A20" s="16"/>
      <c r="B20" s="19"/>
      <c r="C20" s="20"/>
      <c r="D20" s="7" t="s">
        <v>51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-2.7</v>
      </c>
      <c r="K20" s="10">
        <v>5.4</v>
      </c>
      <c r="L20" s="10">
        <v>-2.7</v>
      </c>
      <c r="M20" s="10">
        <v>-5.4</v>
      </c>
      <c r="N20" s="10">
        <v>-5.4</v>
      </c>
      <c r="O20" s="10">
        <v>0</v>
      </c>
      <c r="P20" s="10">
        <v>0</v>
      </c>
      <c r="Q20" s="10">
        <v>2.7</v>
      </c>
      <c r="R20" s="10">
        <v>0</v>
      </c>
      <c r="S20" s="10">
        <v>-8.1</v>
      </c>
      <c r="T20" s="10">
        <v>-13.5</v>
      </c>
      <c r="U20" s="10">
        <v>-8.1</v>
      </c>
      <c r="V20" s="10">
        <v>0</v>
      </c>
      <c r="W20" s="10">
        <v>0</v>
      </c>
      <c r="X20" s="10">
        <v>-2.7</v>
      </c>
      <c r="Y20" s="10">
        <v>13.5</v>
      </c>
      <c r="Z20" s="10">
        <v>-8.1</v>
      </c>
      <c r="AA20" s="10">
        <v>5.4</v>
      </c>
      <c r="AB20" s="10">
        <v>-2.7</v>
      </c>
      <c r="AC20" s="10">
        <v>0</v>
      </c>
      <c r="AD20" s="10">
        <v>0</v>
      </c>
      <c r="AE20" s="10">
        <v>2.7</v>
      </c>
      <c r="AF20" s="10">
        <v>-5.4</v>
      </c>
      <c r="AG20" s="10">
        <v>-10.8</v>
      </c>
      <c r="AH20" s="10">
        <v>5.4</v>
      </c>
      <c r="AI20" s="10">
        <v>-5.4</v>
      </c>
      <c r="AJ20" s="10">
        <v>0</v>
      </c>
      <c r="AK20" s="5">
        <f t="shared" si="0"/>
        <v>116.1</v>
      </c>
    </row>
    <row r="21" spans="1:37" ht="21" customHeight="1">
      <c r="A21" s="16"/>
      <c r="B21" s="19"/>
      <c r="C21" s="20" t="s">
        <v>57</v>
      </c>
      <c r="D21" s="7" t="s">
        <v>40</v>
      </c>
      <c r="E21" s="10">
        <v>14.831090000000099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-14.83109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5">
        <f t="shared" si="0"/>
        <v>29.662179999999999</v>
      </c>
    </row>
    <row r="22" spans="1:37" ht="21" customHeight="1">
      <c r="A22" s="16"/>
      <c r="B22" s="19"/>
      <c r="C22" s="20"/>
      <c r="D22" s="7" t="s">
        <v>50</v>
      </c>
      <c r="E22" s="10">
        <v>-1.05929000000004</v>
      </c>
      <c r="F22" s="10">
        <v>0</v>
      </c>
      <c r="G22" s="10">
        <v>0</v>
      </c>
      <c r="H22" s="10">
        <v>0</v>
      </c>
      <c r="I22" s="10">
        <v>0</v>
      </c>
      <c r="J22" s="10">
        <v>0.48820000000000002</v>
      </c>
      <c r="K22" s="10">
        <v>2.01E-2</v>
      </c>
      <c r="L22" s="10">
        <v>-4.65E-2</v>
      </c>
      <c r="M22" s="10">
        <v>-0.1106</v>
      </c>
      <c r="N22" s="10">
        <v>6.8000000000000005E-2</v>
      </c>
      <c r="O22" s="10">
        <v>0</v>
      </c>
      <c r="P22" s="10">
        <v>0</v>
      </c>
      <c r="Q22" s="10">
        <v>4.1300000000000003E-2</v>
      </c>
      <c r="R22" s="10">
        <v>-0.12230000000000001</v>
      </c>
      <c r="S22" s="10">
        <v>-0.12989999999999999</v>
      </c>
      <c r="T22" s="10">
        <v>-9.1200000000000003E-2</v>
      </c>
      <c r="U22" s="10">
        <v>-6.8900000000000003E-2</v>
      </c>
      <c r="V22" s="10">
        <v>0</v>
      </c>
      <c r="W22" s="10">
        <v>0</v>
      </c>
      <c r="X22" s="10">
        <v>-0.06</v>
      </c>
      <c r="Y22" s="10">
        <v>-2.4500000000000001E-2</v>
      </c>
      <c r="Z22" s="10">
        <v>-0.22489999999999999</v>
      </c>
      <c r="AA22" s="10">
        <v>-0.11</v>
      </c>
      <c r="AB22" s="10">
        <v>-3.0599999999999999E-2</v>
      </c>
      <c r="AC22" s="10">
        <v>0</v>
      </c>
      <c r="AD22" s="10">
        <v>0</v>
      </c>
      <c r="AE22" s="10">
        <v>1.46109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5">
        <f t="shared" si="0"/>
        <v>4.1573799999999999</v>
      </c>
    </row>
    <row r="23" spans="1:37" ht="21" hidden="1" customHeight="1">
      <c r="A23" s="16"/>
      <c r="B23" s="19"/>
      <c r="C23" s="20"/>
      <c r="D23" s="7" t="s">
        <v>51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0.48820000000000002</v>
      </c>
      <c r="K23" s="10">
        <v>2.01E-2</v>
      </c>
      <c r="L23" s="10">
        <v>-4.65E-2</v>
      </c>
      <c r="M23" s="10">
        <v>-0.1106</v>
      </c>
      <c r="N23" s="10">
        <v>6.8000000000000005E-2</v>
      </c>
      <c r="O23" s="10">
        <v>0</v>
      </c>
      <c r="P23" s="10">
        <v>0</v>
      </c>
      <c r="Q23" s="10">
        <v>4.1300000000000003E-2</v>
      </c>
      <c r="R23" s="10">
        <v>-0.12230000000000001</v>
      </c>
      <c r="S23" s="10">
        <v>-0.12989999999999999</v>
      </c>
      <c r="T23" s="10">
        <v>-9.1200000000000003E-2</v>
      </c>
      <c r="U23" s="10">
        <v>-6.8900000000000003E-2</v>
      </c>
      <c r="V23" s="10">
        <v>0</v>
      </c>
      <c r="W23" s="10">
        <v>0</v>
      </c>
      <c r="X23" s="10">
        <v>-0.06</v>
      </c>
      <c r="Y23" s="10">
        <v>-2.4500000000000001E-2</v>
      </c>
      <c r="Z23" s="10">
        <v>-0.22489999999999999</v>
      </c>
      <c r="AA23" s="10">
        <v>-0.11</v>
      </c>
      <c r="AB23" s="10">
        <v>-3.0599999999999999E-2</v>
      </c>
      <c r="AC23" s="10">
        <v>0</v>
      </c>
      <c r="AD23" s="10">
        <v>0</v>
      </c>
      <c r="AE23" s="10">
        <v>1.46109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5">
        <f t="shared" si="0"/>
        <v>3.09809</v>
      </c>
    </row>
    <row r="24" spans="1:37" ht="21" hidden="1" customHeight="1">
      <c r="A24" s="16"/>
      <c r="B24" s="19"/>
      <c r="C24" s="20"/>
      <c r="D24" s="7" t="s">
        <v>58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-1.3636919999999999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5">
        <f t="shared" si="0"/>
        <v>1.3636919999999999</v>
      </c>
    </row>
    <row r="25" spans="1:37" ht="21" customHeight="1">
      <c r="A25" s="16"/>
      <c r="B25" s="19"/>
      <c r="C25" s="20" t="s">
        <v>59</v>
      </c>
      <c r="D25" s="7" t="s">
        <v>40</v>
      </c>
      <c r="E25" s="10">
        <v>536.57687999999996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5">
        <f t="shared" si="0"/>
        <v>536.57687999999996</v>
      </c>
    </row>
    <row r="26" spans="1:37" ht="21" customHeight="1">
      <c r="A26" s="16"/>
      <c r="B26" s="19"/>
      <c r="C26" s="20"/>
      <c r="D26" s="7" t="s">
        <v>50</v>
      </c>
      <c r="E26" s="10">
        <v>-25.058879999999998</v>
      </c>
      <c r="F26" s="10">
        <v>0</v>
      </c>
      <c r="G26" s="10">
        <v>0</v>
      </c>
      <c r="H26" s="10">
        <v>0</v>
      </c>
      <c r="I26" s="10">
        <v>0</v>
      </c>
      <c r="J26" s="10">
        <v>-2.0108000000000001</v>
      </c>
      <c r="K26" s="10">
        <v>-3.2010399999999999</v>
      </c>
      <c r="L26" s="10">
        <v>5.1877199999999997</v>
      </c>
      <c r="M26" s="10">
        <v>-9.2528799999999993</v>
      </c>
      <c r="N26" s="10">
        <v>-0.95132000000000005</v>
      </c>
      <c r="O26" s="10">
        <v>0</v>
      </c>
      <c r="P26" s="10">
        <v>0</v>
      </c>
      <c r="Q26" s="10">
        <v>27.8308</v>
      </c>
      <c r="R26" s="10">
        <v>-13.403600000000001</v>
      </c>
      <c r="S26" s="10">
        <v>47.208480000000002</v>
      </c>
      <c r="T26" s="10">
        <v>-3.5138400000000001</v>
      </c>
      <c r="U26" s="10">
        <v>-6.15632</v>
      </c>
      <c r="V26" s="10">
        <v>0</v>
      </c>
      <c r="W26" s="10">
        <v>0</v>
      </c>
      <c r="X26" s="10">
        <v>0.52880000000000005</v>
      </c>
      <c r="Y26" s="10">
        <v>4.9210000000000003</v>
      </c>
      <c r="Z26" s="10">
        <v>-0.56340000000000001</v>
      </c>
      <c r="AA26" s="10">
        <v>6.1079999999999997</v>
      </c>
      <c r="AB26" s="10">
        <v>5.2291999999999996</v>
      </c>
      <c r="AC26" s="10">
        <v>0</v>
      </c>
      <c r="AD26" s="10">
        <v>0</v>
      </c>
      <c r="AE26" s="10">
        <v>-2.79284</v>
      </c>
      <c r="AF26" s="10">
        <v>1.6964399999999999</v>
      </c>
      <c r="AG26" s="10">
        <v>-14.75296</v>
      </c>
      <c r="AH26" s="10">
        <v>18.85276</v>
      </c>
      <c r="AI26" s="10">
        <v>-3.9138000000000002</v>
      </c>
      <c r="AJ26" s="10">
        <v>0</v>
      </c>
      <c r="AK26" s="5">
        <f t="shared" si="0"/>
        <v>203.13488000000001</v>
      </c>
    </row>
    <row r="27" spans="1:37" ht="21" hidden="1" customHeight="1">
      <c r="A27" s="16"/>
      <c r="B27" s="19"/>
      <c r="C27" s="20"/>
      <c r="D27" s="7" t="s">
        <v>51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-2.0108000000000001</v>
      </c>
      <c r="K27" s="10">
        <v>-3.2010399999999999</v>
      </c>
      <c r="L27" s="10">
        <v>5.1877199999999997</v>
      </c>
      <c r="M27" s="10">
        <v>-9.2528799999999993</v>
      </c>
      <c r="N27" s="10">
        <v>-0.95132000000000005</v>
      </c>
      <c r="O27" s="10">
        <v>0</v>
      </c>
      <c r="P27" s="10">
        <v>0</v>
      </c>
      <c r="Q27" s="10">
        <v>27.8308</v>
      </c>
      <c r="R27" s="10">
        <v>-13.403600000000001</v>
      </c>
      <c r="S27" s="10">
        <v>47.208480000000002</v>
      </c>
      <c r="T27" s="10">
        <v>-3.5138400000000001</v>
      </c>
      <c r="U27" s="10">
        <v>-6.15632</v>
      </c>
      <c r="V27" s="10">
        <v>0</v>
      </c>
      <c r="W27" s="10">
        <v>0</v>
      </c>
      <c r="X27" s="10">
        <v>0.52880000000000005</v>
      </c>
      <c r="Y27" s="10">
        <v>4.9210000000000003</v>
      </c>
      <c r="Z27" s="10">
        <v>-0.56340000000000001</v>
      </c>
      <c r="AA27" s="10">
        <v>6.1079999999999997</v>
      </c>
      <c r="AB27" s="10">
        <v>5.2291999999999996</v>
      </c>
      <c r="AC27" s="10">
        <v>0</v>
      </c>
      <c r="AD27" s="10">
        <v>0</v>
      </c>
      <c r="AE27" s="10">
        <v>-2.79284</v>
      </c>
      <c r="AF27" s="10">
        <v>1.6964399999999999</v>
      </c>
      <c r="AG27" s="10">
        <v>-14.75296</v>
      </c>
      <c r="AH27" s="10">
        <v>18.85276</v>
      </c>
      <c r="AI27" s="10">
        <v>-3.9138000000000002</v>
      </c>
      <c r="AJ27" s="10">
        <v>0</v>
      </c>
      <c r="AK27" s="5">
        <f t="shared" si="0"/>
        <v>178.07599999999999</v>
      </c>
    </row>
    <row r="28" spans="1:37" ht="21" customHeight="1">
      <c r="A28" s="16"/>
      <c r="B28" s="19"/>
      <c r="C28" s="20" t="s">
        <v>60</v>
      </c>
      <c r="D28" s="7" t="s">
        <v>40</v>
      </c>
      <c r="E28" s="10">
        <v>453.40332799999999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5">
        <f t="shared" si="0"/>
        <v>453.40332799999999</v>
      </c>
    </row>
    <row r="29" spans="1:37" ht="21" customHeight="1">
      <c r="A29" s="16"/>
      <c r="B29" s="19"/>
      <c r="C29" s="20"/>
      <c r="D29" s="7" t="s">
        <v>50</v>
      </c>
      <c r="E29" s="10">
        <v>-17.625888</v>
      </c>
      <c r="F29" s="10">
        <v>0</v>
      </c>
      <c r="G29" s="10">
        <v>0</v>
      </c>
      <c r="H29" s="10">
        <v>0</v>
      </c>
      <c r="I29" s="10">
        <v>0</v>
      </c>
      <c r="J29" s="10">
        <v>15.766159999999999</v>
      </c>
      <c r="K29" s="10">
        <v>4.5977600000000001</v>
      </c>
      <c r="L29" s="10">
        <v>5.1709199999999997</v>
      </c>
      <c r="M29" s="10">
        <v>0.36171999999999999</v>
      </c>
      <c r="N29" s="10">
        <v>4.1420000000000003</v>
      </c>
      <c r="O29" s="10">
        <v>0</v>
      </c>
      <c r="P29" s="10">
        <v>0</v>
      </c>
      <c r="Q29" s="10">
        <v>3.8366400000000001</v>
      </c>
      <c r="R29" s="10">
        <v>3.50508</v>
      </c>
      <c r="S29" s="10">
        <v>-1.4305600000000001</v>
      </c>
      <c r="T29" s="10">
        <v>-0.30492000000000002</v>
      </c>
      <c r="U29" s="10">
        <v>1.77536</v>
      </c>
      <c r="V29" s="10">
        <v>0</v>
      </c>
      <c r="W29" s="10">
        <v>0</v>
      </c>
      <c r="X29" s="10">
        <v>0.19839999999999999</v>
      </c>
      <c r="Y29" s="10">
        <v>4.6269999999999998</v>
      </c>
      <c r="Z29" s="10">
        <v>-0.12540000000000001</v>
      </c>
      <c r="AA29" s="10">
        <v>-7.9276799999999996</v>
      </c>
      <c r="AB29" s="10">
        <v>-7.6031199999999997</v>
      </c>
      <c r="AC29" s="10">
        <v>0</v>
      </c>
      <c r="AD29" s="10">
        <v>0</v>
      </c>
      <c r="AE29" s="10">
        <v>-4.5902399999999997</v>
      </c>
      <c r="AF29" s="10">
        <v>4.2794400000000001</v>
      </c>
      <c r="AG29" s="10">
        <v>-4.3842400000000001</v>
      </c>
      <c r="AH29" s="10">
        <v>8.42624</v>
      </c>
      <c r="AI29" s="10">
        <v>-7.1159999999999997</v>
      </c>
      <c r="AJ29" s="10">
        <v>0</v>
      </c>
      <c r="AK29" s="5">
        <f t="shared" si="0"/>
        <v>107.794768</v>
      </c>
    </row>
    <row r="30" spans="1:37" ht="21" hidden="1" customHeight="1">
      <c r="A30" s="16"/>
      <c r="B30" s="19"/>
      <c r="C30" s="20"/>
      <c r="D30" s="7" t="s">
        <v>51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15.766159999999999</v>
      </c>
      <c r="K30" s="10">
        <v>4.5977600000000001</v>
      </c>
      <c r="L30" s="10">
        <v>5.1709199999999997</v>
      </c>
      <c r="M30" s="10">
        <v>0.36171999999999999</v>
      </c>
      <c r="N30" s="10">
        <v>4.1420000000000003</v>
      </c>
      <c r="O30" s="10">
        <v>0</v>
      </c>
      <c r="P30" s="10">
        <v>0</v>
      </c>
      <c r="Q30" s="10">
        <v>3.8366400000000001</v>
      </c>
      <c r="R30" s="10">
        <v>3.50508</v>
      </c>
      <c r="S30" s="10">
        <v>-1.4305600000000001</v>
      </c>
      <c r="T30" s="10">
        <v>-0.30492000000000002</v>
      </c>
      <c r="U30" s="10">
        <v>1.77536</v>
      </c>
      <c r="V30" s="10">
        <v>0</v>
      </c>
      <c r="W30" s="10">
        <v>0</v>
      </c>
      <c r="X30" s="10">
        <v>0.19839999999999999</v>
      </c>
      <c r="Y30" s="10">
        <v>4.6269999999999998</v>
      </c>
      <c r="Z30" s="10">
        <v>-0.12540000000000001</v>
      </c>
      <c r="AA30" s="10">
        <v>-7.9276799999999996</v>
      </c>
      <c r="AB30" s="10">
        <v>-7.6031199999999997</v>
      </c>
      <c r="AC30" s="10">
        <v>0</v>
      </c>
      <c r="AD30" s="10">
        <v>0</v>
      </c>
      <c r="AE30" s="10">
        <v>-4.5902399999999997</v>
      </c>
      <c r="AF30" s="10">
        <v>4.2794400000000001</v>
      </c>
      <c r="AG30" s="10">
        <v>-4.3842400000000001</v>
      </c>
      <c r="AH30" s="10">
        <v>8.42624</v>
      </c>
      <c r="AI30" s="10">
        <v>-7.1159999999999997</v>
      </c>
      <c r="AJ30" s="10">
        <v>0</v>
      </c>
      <c r="AK30" s="5">
        <f t="shared" si="0"/>
        <v>90.168880000000001</v>
      </c>
    </row>
    <row r="31" spans="1:37" ht="21" customHeight="1">
      <c r="A31" s="16"/>
      <c r="B31" s="19"/>
      <c r="C31" s="20" t="s">
        <v>61</v>
      </c>
      <c r="D31" s="7" t="s">
        <v>40</v>
      </c>
      <c r="E31" s="10">
        <v>607.74284799999998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5">
        <f t="shared" si="0"/>
        <v>607.74284799999998</v>
      </c>
    </row>
    <row r="32" spans="1:37" ht="21" customHeight="1">
      <c r="A32" s="16"/>
      <c r="B32" s="19"/>
      <c r="C32" s="20"/>
      <c r="D32" s="7" t="s">
        <v>50</v>
      </c>
      <c r="E32" s="10">
        <v>-59.880147999999998</v>
      </c>
      <c r="F32" s="10">
        <v>0</v>
      </c>
      <c r="G32" s="10">
        <v>0</v>
      </c>
      <c r="H32" s="10">
        <v>0</v>
      </c>
      <c r="I32" s="10">
        <v>0</v>
      </c>
      <c r="J32" s="10">
        <v>7.6218000000000004</v>
      </c>
      <c r="K32" s="10">
        <v>0.80730000000000002</v>
      </c>
      <c r="L32" s="10">
        <v>-9.2227499999999996</v>
      </c>
      <c r="M32" s="10">
        <v>17.009699999999999</v>
      </c>
      <c r="N32" s="10">
        <v>-9.1306499999999993</v>
      </c>
      <c r="O32" s="10">
        <v>0</v>
      </c>
      <c r="P32" s="10">
        <v>0</v>
      </c>
      <c r="Q32" s="10">
        <v>-0.1239</v>
      </c>
      <c r="R32" s="10">
        <v>8.4588000000000001</v>
      </c>
      <c r="S32" s="10">
        <v>-5.3646000000000003</v>
      </c>
      <c r="T32" s="10">
        <v>-2.6202000000000001</v>
      </c>
      <c r="U32" s="10">
        <v>-4.4554499999999999</v>
      </c>
      <c r="V32" s="10">
        <v>0</v>
      </c>
      <c r="W32" s="10">
        <v>0</v>
      </c>
      <c r="X32" s="10">
        <v>2.49465</v>
      </c>
      <c r="Y32" s="10">
        <v>3.5825999999999998</v>
      </c>
      <c r="Z32" s="10">
        <v>-3.2364000000000002</v>
      </c>
      <c r="AA32" s="10">
        <v>-0.59399999999999997</v>
      </c>
      <c r="AB32" s="10">
        <v>-2.8016999999999999</v>
      </c>
      <c r="AC32" s="10">
        <v>0</v>
      </c>
      <c r="AD32" s="10">
        <v>0</v>
      </c>
      <c r="AE32" s="10">
        <v>6.1650000000000003E-2</v>
      </c>
      <c r="AF32" s="10">
        <v>0.90644999999999998</v>
      </c>
      <c r="AG32" s="10">
        <v>5.2271999999999998</v>
      </c>
      <c r="AH32" s="10">
        <v>-1.4352</v>
      </c>
      <c r="AI32" s="10">
        <v>-4.0027499999999998</v>
      </c>
      <c r="AJ32" s="10">
        <v>0</v>
      </c>
      <c r="AK32" s="5">
        <f t="shared" si="0"/>
        <v>149.03789800000001</v>
      </c>
    </row>
    <row r="33" spans="1:37" ht="21" hidden="1" customHeight="1">
      <c r="A33" s="16"/>
      <c r="B33" s="19"/>
      <c r="C33" s="20"/>
      <c r="D33" s="7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7.6218000000000004</v>
      </c>
      <c r="K33" s="10">
        <v>0.80730000000000002</v>
      </c>
      <c r="L33" s="10">
        <v>-9.2227499999999996</v>
      </c>
      <c r="M33" s="10">
        <v>17.009699999999999</v>
      </c>
      <c r="N33" s="10">
        <v>-9.1306499999999993</v>
      </c>
      <c r="O33" s="10">
        <v>0</v>
      </c>
      <c r="P33" s="10">
        <v>0</v>
      </c>
      <c r="Q33" s="10">
        <v>-0.1239</v>
      </c>
      <c r="R33" s="10">
        <v>8.4588000000000001</v>
      </c>
      <c r="S33" s="10">
        <v>-5.3646000000000003</v>
      </c>
      <c r="T33" s="10">
        <v>-2.6202000000000001</v>
      </c>
      <c r="U33" s="10">
        <v>-4.4554499999999999</v>
      </c>
      <c r="V33" s="10">
        <v>0</v>
      </c>
      <c r="W33" s="10">
        <v>0</v>
      </c>
      <c r="X33" s="10">
        <v>2.49465</v>
      </c>
      <c r="Y33" s="10">
        <v>3.5825999999999998</v>
      </c>
      <c r="Z33" s="10">
        <v>-3.2364000000000002</v>
      </c>
      <c r="AA33" s="10">
        <v>-0.59399999999999997</v>
      </c>
      <c r="AB33" s="10">
        <v>-2.8016999999999999</v>
      </c>
      <c r="AC33" s="10">
        <v>0</v>
      </c>
      <c r="AD33" s="10">
        <v>0</v>
      </c>
      <c r="AE33" s="10">
        <v>6.1650000000000003E-2</v>
      </c>
      <c r="AF33" s="10">
        <v>0.90644999999999998</v>
      </c>
      <c r="AG33" s="10">
        <v>5.2271999999999998</v>
      </c>
      <c r="AH33" s="10">
        <v>-1.4352</v>
      </c>
      <c r="AI33" s="10">
        <v>-4.0027499999999998</v>
      </c>
      <c r="AJ33" s="10">
        <v>0</v>
      </c>
      <c r="AK33" s="5">
        <f t="shared" si="0"/>
        <v>89.157749999999993</v>
      </c>
    </row>
    <row r="34" spans="1:37" ht="21" customHeight="1">
      <c r="A34" s="16"/>
      <c r="B34" s="19"/>
      <c r="C34" s="20" t="s">
        <v>62</v>
      </c>
      <c r="D34" s="7" t="s">
        <v>40</v>
      </c>
      <c r="E34" s="10">
        <v>333.94923399999999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5">
        <f t="shared" si="0"/>
        <v>333.94923399999999</v>
      </c>
    </row>
    <row r="35" spans="1:37" ht="21" customHeight="1">
      <c r="A35" s="16"/>
      <c r="B35" s="19"/>
      <c r="C35" s="20"/>
      <c r="D35" s="7" t="s">
        <v>50</v>
      </c>
      <c r="E35" s="10">
        <v>-23.269354</v>
      </c>
      <c r="F35" s="10">
        <v>0</v>
      </c>
      <c r="G35" s="10">
        <v>0</v>
      </c>
      <c r="H35" s="10">
        <v>0</v>
      </c>
      <c r="I35" s="10">
        <v>0</v>
      </c>
      <c r="J35" s="10">
        <v>8.8355200000000007</v>
      </c>
      <c r="K35" s="10">
        <v>0.64351999999999998</v>
      </c>
      <c r="L35" s="10">
        <v>1.1825399999999999</v>
      </c>
      <c r="M35" s="10">
        <v>2.8355399999999999</v>
      </c>
      <c r="N35" s="10">
        <v>-2.5848</v>
      </c>
      <c r="O35" s="10">
        <v>0</v>
      </c>
      <c r="P35" s="10">
        <v>0</v>
      </c>
      <c r="Q35" s="10">
        <v>0.64468000000000003</v>
      </c>
      <c r="R35" s="10">
        <v>2.1425999999999998</v>
      </c>
      <c r="S35" s="10">
        <v>0</v>
      </c>
      <c r="T35" s="10">
        <v>1.28816</v>
      </c>
      <c r="U35" s="10">
        <v>-3.8289399999999998</v>
      </c>
      <c r="V35" s="10">
        <v>0</v>
      </c>
      <c r="W35" s="10">
        <v>0</v>
      </c>
      <c r="X35" s="10">
        <v>1.14242</v>
      </c>
      <c r="Y35" s="10">
        <v>-1.6811199999999999</v>
      </c>
      <c r="Z35" s="10">
        <v>0.38928000000000001</v>
      </c>
      <c r="AA35" s="10">
        <v>2.9327999999999999</v>
      </c>
      <c r="AB35" s="10">
        <v>-4.0001600000000002</v>
      </c>
      <c r="AC35" s="10">
        <v>0</v>
      </c>
      <c r="AD35" s="10">
        <v>0</v>
      </c>
      <c r="AE35" s="10">
        <v>0.57154000000000005</v>
      </c>
      <c r="AF35" s="10">
        <v>0.10494000000000001</v>
      </c>
      <c r="AG35" s="10">
        <v>1.71156</v>
      </c>
      <c r="AH35" s="10">
        <v>-0.83306000000000002</v>
      </c>
      <c r="AI35" s="10">
        <v>-5.5148999999999999</v>
      </c>
      <c r="AJ35" s="10">
        <v>0</v>
      </c>
      <c r="AK35" s="5">
        <f t="shared" si="0"/>
        <v>66.137433999999999</v>
      </c>
    </row>
    <row r="36" spans="1:37" ht="21" hidden="1" customHeight="1">
      <c r="A36" s="16"/>
      <c r="B36" s="19"/>
      <c r="C36" s="20"/>
      <c r="D36" s="7" t="s">
        <v>51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8.8355200000000007</v>
      </c>
      <c r="K36" s="10">
        <v>0.64351999999999998</v>
      </c>
      <c r="L36" s="10">
        <v>1.1825399999999999</v>
      </c>
      <c r="M36" s="10">
        <v>2.8355399999999999</v>
      </c>
      <c r="N36" s="10">
        <v>-2.5848</v>
      </c>
      <c r="O36" s="10">
        <v>0</v>
      </c>
      <c r="P36" s="10">
        <v>0</v>
      </c>
      <c r="Q36" s="10">
        <v>0.64468000000000003</v>
      </c>
      <c r="R36" s="10">
        <v>2.1425999999999998</v>
      </c>
      <c r="S36" s="10">
        <v>0</v>
      </c>
      <c r="T36" s="10">
        <v>1.28816</v>
      </c>
      <c r="U36" s="10">
        <v>-3.8289399999999998</v>
      </c>
      <c r="V36" s="10">
        <v>0</v>
      </c>
      <c r="W36" s="10">
        <v>0</v>
      </c>
      <c r="X36" s="10">
        <v>1.14242</v>
      </c>
      <c r="Y36" s="10">
        <v>-1.6811199999999999</v>
      </c>
      <c r="Z36" s="10">
        <v>0.38928000000000001</v>
      </c>
      <c r="AA36" s="10">
        <v>2.9327999999999999</v>
      </c>
      <c r="AB36" s="10">
        <v>-4.0001600000000002</v>
      </c>
      <c r="AC36" s="10">
        <v>0</v>
      </c>
      <c r="AD36" s="10">
        <v>0</v>
      </c>
      <c r="AE36" s="10">
        <v>0.57154000000000005</v>
      </c>
      <c r="AF36" s="10">
        <v>0.10494000000000001</v>
      </c>
      <c r="AG36" s="10">
        <v>1.71156</v>
      </c>
      <c r="AH36" s="10">
        <v>-0.83306000000000002</v>
      </c>
      <c r="AI36" s="10">
        <v>-5.5148999999999999</v>
      </c>
      <c r="AJ36" s="10">
        <v>0</v>
      </c>
      <c r="AK36" s="5">
        <f t="shared" si="0"/>
        <v>42.868079999999999</v>
      </c>
    </row>
    <row r="37" spans="1:37" ht="21" customHeight="1">
      <c r="A37" s="16"/>
      <c r="B37" s="19"/>
      <c r="C37" s="20" t="s">
        <v>63</v>
      </c>
      <c r="D37" s="7" t="s">
        <v>40</v>
      </c>
      <c r="E37" s="10">
        <v>766.76256999999998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5">
        <f t="shared" si="0"/>
        <v>766.76256999999998</v>
      </c>
    </row>
    <row r="38" spans="1:37" ht="21" customHeight="1">
      <c r="A38" s="16"/>
      <c r="B38" s="19"/>
      <c r="C38" s="20"/>
      <c r="D38" s="7" t="s">
        <v>50</v>
      </c>
      <c r="E38" s="10">
        <v>-7.6519099999999902</v>
      </c>
      <c r="F38" s="10">
        <v>0</v>
      </c>
      <c r="G38" s="10">
        <v>0</v>
      </c>
      <c r="H38" s="10">
        <v>0</v>
      </c>
      <c r="I38" s="10">
        <v>0</v>
      </c>
      <c r="J38" s="10">
        <v>-4.4210099999999999</v>
      </c>
      <c r="K38" s="10">
        <v>7.0090899999999996</v>
      </c>
      <c r="L38" s="10">
        <v>-10.587719999999999</v>
      </c>
      <c r="M38" s="10">
        <v>0.18623000000000001</v>
      </c>
      <c r="N38" s="10">
        <v>-3.3938299999999999</v>
      </c>
      <c r="O38" s="10">
        <v>0</v>
      </c>
      <c r="P38" s="10">
        <v>0</v>
      </c>
      <c r="Q38" s="10">
        <v>12.6401</v>
      </c>
      <c r="R38" s="10">
        <v>7.5777900000000002</v>
      </c>
      <c r="S38" s="10">
        <v>-3.93404</v>
      </c>
      <c r="T38" s="10">
        <v>7.9544300000000003</v>
      </c>
      <c r="U38" s="10">
        <v>-2.5701499999999999</v>
      </c>
      <c r="V38" s="10">
        <v>0</v>
      </c>
      <c r="W38" s="10">
        <v>0</v>
      </c>
      <c r="X38" s="10">
        <v>-3.2059500000000001</v>
      </c>
      <c r="Y38" s="10">
        <v>-4.5275999999999996</v>
      </c>
      <c r="Z38" s="10">
        <v>-9.5950799999999994</v>
      </c>
      <c r="AA38" s="10">
        <v>-4.8800400000000002</v>
      </c>
      <c r="AB38" s="10">
        <v>-0.16742000000000001</v>
      </c>
      <c r="AC38" s="10">
        <v>0</v>
      </c>
      <c r="AD38" s="10">
        <v>0</v>
      </c>
      <c r="AE38" s="10">
        <v>4.9935600000000004</v>
      </c>
      <c r="AF38" s="10">
        <v>10.203379999999999</v>
      </c>
      <c r="AG38" s="10">
        <v>25.334540000000001</v>
      </c>
      <c r="AH38" s="10">
        <v>10.68826</v>
      </c>
      <c r="AI38" s="10">
        <v>-24.46125</v>
      </c>
      <c r="AJ38" s="10">
        <v>0</v>
      </c>
      <c r="AK38" s="5">
        <f t="shared" si="0"/>
        <v>165.98338000000001</v>
      </c>
    </row>
    <row r="39" spans="1:37" ht="21" hidden="1" customHeight="1">
      <c r="A39" s="16"/>
      <c r="B39" s="19"/>
      <c r="C39" s="20"/>
      <c r="D39" s="7" t="s">
        <v>51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-4.4210099999999999</v>
      </c>
      <c r="K39" s="10">
        <v>7.0090899999999996</v>
      </c>
      <c r="L39" s="10">
        <v>-10.587719999999999</v>
      </c>
      <c r="M39" s="10">
        <v>0.18623000000000001</v>
      </c>
      <c r="N39" s="10">
        <v>-3.3938299999999999</v>
      </c>
      <c r="O39" s="10">
        <v>0</v>
      </c>
      <c r="P39" s="10">
        <v>0</v>
      </c>
      <c r="Q39" s="10">
        <v>12.6401</v>
      </c>
      <c r="R39" s="10">
        <v>7.5777900000000002</v>
      </c>
      <c r="S39" s="10">
        <v>-3.93404</v>
      </c>
      <c r="T39" s="10">
        <v>7.9544300000000003</v>
      </c>
      <c r="U39" s="10">
        <v>-2.5701499999999999</v>
      </c>
      <c r="V39" s="10">
        <v>0</v>
      </c>
      <c r="W39" s="10">
        <v>0</v>
      </c>
      <c r="X39" s="10">
        <v>-3.2059500000000001</v>
      </c>
      <c r="Y39" s="10">
        <v>-4.5275999999999996</v>
      </c>
      <c r="Z39" s="10">
        <v>-9.5950799999999994</v>
      </c>
      <c r="AA39" s="10">
        <v>-4.8800400000000002</v>
      </c>
      <c r="AB39" s="10">
        <v>-0.16742000000000001</v>
      </c>
      <c r="AC39" s="10">
        <v>0</v>
      </c>
      <c r="AD39" s="10">
        <v>0</v>
      </c>
      <c r="AE39" s="10">
        <v>4.9935600000000004</v>
      </c>
      <c r="AF39" s="10">
        <v>10.203379999999999</v>
      </c>
      <c r="AG39" s="10">
        <v>25.334540000000001</v>
      </c>
      <c r="AH39" s="10">
        <v>10.68826</v>
      </c>
      <c r="AI39" s="10">
        <v>-24.46125</v>
      </c>
      <c r="AJ39" s="10">
        <v>0</v>
      </c>
      <c r="AK39" s="5">
        <f t="shared" si="0"/>
        <v>158.33147</v>
      </c>
    </row>
    <row r="40" spans="1:37" ht="21" customHeight="1">
      <c r="A40" s="16"/>
      <c r="B40" s="19"/>
      <c r="C40" s="20"/>
      <c r="D40" s="7" t="s">
        <v>37</v>
      </c>
      <c r="E40" s="10">
        <v>13.006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-13.006</v>
      </c>
      <c r="AH40" s="10">
        <v>0</v>
      </c>
      <c r="AI40" s="10">
        <v>0</v>
      </c>
      <c r="AJ40" s="10">
        <v>0</v>
      </c>
      <c r="AK40" s="5">
        <f t="shared" si="0"/>
        <v>26.012</v>
      </c>
    </row>
    <row r="41" spans="1:37" ht="21" customHeight="1">
      <c r="A41" s="16"/>
      <c r="B41" s="19"/>
      <c r="C41" s="20" t="s">
        <v>64</v>
      </c>
      <c r="D41" s="7" t="s">
        <v>40</v>
      </c>
      <c r="E41" s="10">
        <v>586.33192899999995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5">
        <f t="shared" si="0"/>
        <v>586.33192899999995</v>
      </c>
    </row>
    <row r="42" spans="1:37" ht="21" customHeight="1">
      <c r="A42" s="16"/>
      <c r="B42" s="19"/>
      <c r="C42" s="20"/>
      <c r="D42" s="7" t="s">
        <v>50</v>
      </c>
      <c r="E42" s="10">
        <v>-3.6052390000000001</v>
      </c>
      <c r="F42" s="10">
        <v>0</v>
      </c>
      <c r="G42" s="10">
        <v>0</v>
      </c>
      <c r="H42" s="10">
        <v>0</v>
      </c>
      <c r="I42" s="10">
        <v>0</v>
      </c>
      <c r="J42" s="10">
        <v>-8.8602150000000002</v>
      </c>
      <c r="K42" s="10">
        <v>-24.203595</v>
      </c>
      <c r="L42" s="10">
        <v>-6.2230350000000003</v>
      </c>
      <c r="M42" s="10">
        <v>-7.9015950000000004</v>
      </c>
      <c r="N42" s="10">
        <v>-3.3434699999999999</v>
      </c>
      <c r="O42" s="10">
        <v>0</v>
      </c>
      <c r="P42" s="10">
        <v>0</v>
      </c>
      <c r="Q42" s="10">
        <v>2.20974</v>
      </c>
      <c r="R42" s="10">
        <v>4.9165999999999999</v>
      </c>
      <c r="S42" s="10">
        <v>1.743495</v>
      </c>
      <c r="T42" s="10">
        <v>-2.8456350000000001</v>
      </c>
      <c r="U42" s="10">
        <v>3.06332</v>
      </c>
      <c r="V42" s="10">
        <v>0</v>
      </c>
      <c r="W42" s="10">
        <v>0</v>
      </c>
      <c r="X42" s="10">
        <v>3.88232</v>
      </c>
      <c r="Y42" s="10">
        <v>5.9541300000000001</v>
      </c>
      <c r="Z42" s="10">
        <v>0.60333000000000003</v>
      </c>
      <c r="AA42" s="10">
        <v>10.608000000000001</v>
      </c>
      <c r="AB42" s="10">
        <v>0.45422000000000001</v>
      </c>
      <c r="AC42" s="10">
        <v>0</v>
      </c>
      <c r="AD42" s="10">
        <v>0</v>
      </c>
      <c r="AE42" s="10">
        <v>16.890445</v>
      </c>
      <c r="AF42" s="10">
        <v>8.2424549999999996</v>
      </c>
      <c r="AG42" s="10">
        <v>17.837949999999999</v>
      </c>
      <c r="AH42" s="10">
        <v>2.48495</v>
      </c>
      <c r="AI42" s="10">
        <v>-12.719849999999999</v>
      </c>
      <c r="AJ42" s="10">
        <v>0</v>
      </c>
      <c r="AK42" s="5">
        <f t="shared" ref="AK42:AK67" si="1">ROUND(ABS(E42)+ABS(F42)+ABS(G42)+ABS(H42)+ABS(I42)+ABS(J42)+ABS(K42)+ABS(L42)+ABS(M42)+ABS(N42)+ABS(O42)+ABS(P42)+ABS(Q42)+ABS(R42)+ABS(S42)+ABS(T42)+ABS(U42)+ABS(V42)+ABS(W42)+ABS(X42)+ABS(Y42)+ABS(Z42)+ABS(AA42)+ABS(AB42)+ABS(AC42)+ABS(AD42)+ABS(AE42)+ABS(AF42)+ABS(AG42)+ABS(AH42)+ABS(AI42)+ABS(AJ42),6)</f>
        <v>148.59358900000001</v>
      </c>
    </row>
    <row r="43" spans="1:37" ht="21" hidden="1" customHeight="1">
      <c r="A43" s="16"/>
      <c r="B43" s="19"/>
      <c r="C43" s="20"/>
      <c r="D43" s="7" t="s">
        <v>51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-8.8602150000000002</v>
      </c>
      <c r="K43" s="10">
        <v>-24.203595</v>
      </c>
      <c r="L43" s="10">
        <v>-6.2230350000000003</v>
      </c>
      <c r="M43" s="10">
        <v>-7.9015950000000004</v>
      </c>
      <c r="N43" s="10">
        <v>-3.3434699999999999</v>
      </c>
      <c r="O43" s="10">
        <v>0</v>
      </c>
      <c r="P43" s="10">
        <v>0</v>
      </c>
      <c r="Q43" s="10">
        <v>2.20974</v>
      </c>
      <c r="R43" s="10">
        <v>4.9165999999999999</v>
      </c>
      <c r="S43" s="10">
        <v>1.743495</v>
      </c>
      <c r="T43" s="10">
        <v>-2.8456350000000001</v>
      </c>
      <c r="U43" s="10">
        <v>3.06332</v>
      </c>
      <c r="V43" s="10">
        <v>0</v>
      </c>
      <c r="W43" s="10">
        <v>0</v>
      </c>
      <c r="X43" s="10">
        <v>3.88232</v>
      </c>
      <c r="Y43" s="10">
        <v>5.9541300000000001</v>
      </c>
      <c r="Z43" s="10">
        <v>0.60333000000000003</v>
      </c>
      <c r="AA43" s="10">
        <v>10.608000000000001</v>
      </c>
      <c r="AB43" s="10">
        <v>0.45422000000000001</v>
      </c>
      <c r="AC43" s="10">
        <v>0</v>
      </c>
      <c r="AD43" s="10">
        <v>0</v>
      </c>
      <c r="AE43" s="10">
        <v>16.890445</v>
      </c>
      <c r="AF43" s="10">
        <v>8.2424549999999996</v>
      </c>
      <c r="AG43" s="10">
        <v>17.837949999999999</v>
      </c>
      <c r="AH43" s="10">
        <v>2.48495</v>
      </c>
      <c r="AI43" s="10">
        <v>-12.719849999999999</v>
      </c>
      <c r="AJ43" s="10">
        <v>0</v>
      </c>
      <c r="AK43" s="5">
        <f t="shared" si="1"/>
        <v>144.98835</v>
      </c>
    </row>
    <row r="44" spans="1:37" ht="21" customHeight="1">
      <c r="A44" s="16"/>
      <c r="B44" s="19"/>
      <c r="C44" s="20" t="s">
        <v>65</v>
      </c>
      <c r="D44" s="7" t="s">
        <v>40</v>
      </c>
      <c r="E44" s="10">
        <v>899.41097000000002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5">
        <f t="shared" si="1"/>
        <v>899.41097000000002</v>
      </c>
    </row>
    <row r="45" spans="1:37" ht="21" customHeight="1">
      <c r="A45" s="16"/>
      <c r="B45" s="19"/>
      <c r="C45" s="20"/>
      <c r="D45" s="7" t="s">
        <v>50</v>
      </c>
      <c r="E45" s="10">
        <v>-89.058769999999996</v>
      </c>
      <c r="F45" s="10">
        <v>0</v>
      </c>
      <c r="G45" s="10">
        <v>0</v>
      </c>
      <c r="H45" s="10">
        <v>0</v>
      </c>
      <c r="I45" s="10">
        <v>0</v>
      </c>
      <c r="J45" s="10">
        <v>3.6427999999999998</v>
      </c>
      <c r="K45" s="10">
        <v>1.1830000000000001</v>
      </c>
      <c r="L45" s="10">
        <v>-4.7451600000000003</v>
      </c>
      <c r="M45" s="10">
        <v>-6.2728400000000004</v>
      </c>
      <c r="N45" s="10">
        <v>0.98504000000000003</v>
      </c>
      <c r="O45" s="10">
        <v>0</v>
      </c>
      <c r="P45" s="10">
        <v>0</v>
      </c>
      <c r="Q45" s="10">
        <v>14.86632</v>
      </c>
      <c r="R45" s="10">
        <v>3.6335600000000001</v>
      </c>
      <c r="S45" s="10">
        <v>0</v>
      </c>
      <c r="T45" s="10">
        <v>7.6033999999999997</v>
      </c>
      <c r="U45" s="10">
        <v>-3.15252</v>
      </c>
      <c r="V45" s="10">
        <v>0</v>
      </c>
      <c r="W45" s="10">
        <v>0</v>
      </c>
      <c r="X45" s="10">
        <v>-2.7789999999999999</v>
      </c>
      <c r="Y45" s="10">
        <v>-4.3952999999999998</v>
      </c>
      <c r="Z45" s="10">
        <v>-3.3243</v>
      </c>
      <c r="AA45" s="10">
        <v>-0.14951999999999999</v>
      </c>
      <c r="AB45" s="10">
        <v>-3.9320400000000002</v>
      </c>
      <c r="AC45" s="10">
        <v>0</v>
      </c>
      <c r="AD45" s="10">
        <v>0</v>
      </c>
      <c r="AE45" s="10">
        <v>5.0902599999999998</v>
      </c>
      <c r="AF45" s="10">
        <v>10.597300000000001</v>
      </c>
      <c r="AG45" s="10">
        <v>18.541879999999999</v>
      </c>
      <c r="AH45" s="10">
        <v>10.26662</v>
      </c>
      <c r="AI45" s="10">
        <v>-21.170100000000001</v>
      </c>
      <c r="AJ45" s="10">
        <v>0</v>
      </c>
      <c r="AK45" s="5">
        <f t="shared" si="1"/>
        <v>215.38972999999999</v>
      </c>
    </row>
    <row r="46" spans="1:37" ht="21" hidden="1" customHeight="1">
      <c r="A46" s="16"/>
      <c r="B46" s="19"/>
      <c r="C46" s="20"/>
      <c r="D46" s="7" t="s">
        <v>51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3.6427999999999998</v>
      </c>
      <c r="K46" s="10">
        <v>1.1830000000000001</v>
      </c>
      <c r="L46" s="10">
        <v>-4.7451600000000003</v>
      </c>
      <c r="M46" s="10">
        <v>-6.2728400000000004</v>
      </c>
      <c r="N46" s="10">
        <v>0.98504000000000003</v>
      </c>
      <c r="O46" s="10">
        <v>0</v>
      </c>
      <c r="P46" s="10">
        <v>0</v>
      </c>
      <c r="Q46" s="10">
        <v>14.86632</v>
      </c>
      <c r="R46" s="10">
        <v>3.6335600000000001</v>
      </c>
      <c r="S46" s="10">
        <v>0</v>
      </c>
      <c r="T46" s="10">
        <v>7.6033999999999997</v>
      </c>
      <c r="U46" s="10">
        <v>-3.15252</v>
      </c>
      <c r="V46" s="10">
        <v>0</v>
      </c>
      <c r="W46" s="10">
        <v>0</v>
      </c>
      <c r="X46" s="10">
        <v>-2.7789999999999999</v>
      </c>
      <c r="Y46" s="10">
        <v>-4.3952999999999998</v>
      </c>
      <c r="Z46" s="10">
        <v>-3.3243</v>
      </c>
      <c r="AA46" s="10">
        <v>-0.14951999999999999</v>
      </c>
      <c r="AB46" s="10">
        <v>-3.9320400000000002</v>
      </c>
      <c r="AC46" s="10">
        <v>0</v>
      </c>
      <c r="AD46" s="10">
        <v>0</v>
      </c>
      <c r="AE46" s="10">
        <v>5.0902599999999998</v>
      </c>
      <c r="AF46" s="10">
        <v>10.597300000000001</v>
      </c>
      <c r="AG46" s="10">
        <v>18.541879999999999</v>
      </c>
      <c r="AH46" s="10">
        <v>10.26662</v>
      </c>
      <c r="AI46" s="10">
        <v>-21.170100000000001</v>
      </c>
      <c r="AJ46" s="10">
        <v>0</v>
      </c>
      <c r="AK46" s="5">
        <f t="shared" si="1"/>
        <v>126.33096</v>
      </c>
    </row>
    <row r="47" spans="1:37" ht="21" customHeight="1">
      <c r="A47" s="16"/>
      <c r="B47" s="19"/>
      <c r="C47" s="20"/>
      <c r="D47" s="7" t="s">
        <v>37</v>
      </c>
      <c r="E47" s="10">
        <v>18.756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-18.756</v>
      </c>
      <c r="AJ47" s="10">
        <v>0</v>
      </c>
      <c r="AK47" s="5">
        <f t="shared" si="1"/>
        <v>37.512</v>
      </c>
    </row>
    <row r="48" spans="1:37" ht="21" customHeight="1">
      <c r="A48" s="16"/>
      <c r="B48" s="19"/>
      <c r="C48" s="20" t="s">
        <v>66</v>
      </c>
      <c r="D48" s="7" t="s">
        <v>40</v>
      </c>
      <c r="E48" s="10">
        <v>246.09956700000001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-246.09956700000001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5">
        <f t="shared" si="1"/>
        <v>492.19913400000002</v>
      </c>
    </row>
    <row r="49" spans="1:37" ht="21" customHeight="1">
      <c r="A49" s="16"/>
      <c r="B49" s="19"/>
      <c r="C49" s="20"/>
      <c r="D49" s="7" t="s">
        <v>50</v>
      </c>
      <c r="E49" s="10">
        <v>-37.419567000000001</v>
      </c>
      <c r="F49" s="10">
        <v>0</v>
      </c>
      <c r="G49" s="10">
        <v>0</v>
      </c>
      <c r="H49" s="10">
        <v>0</v>
      </c>
      <c r="I49" s="10">
        <v>0</v>
      </c>
      <c r="J49" s="10">
        <v>1.68</v>
      </c>
      <c r="K49" s="10">
        <v>1.32</v>
      </c>
      <c r="L49" s="10">
        <v>-0.66</v>
      </c>
      <c r="M49" s="10">
        <v>1.44</v>
      </c>
      <c r="N49" s="10">
        <v>0.36</v>
      </c>
      <c r="O49" s="10">
        <v>0</v>
      </c>
      <c r="P49" s="10">
        <v>0</v>
      </c>
      <c r="Q49" s="10">
        <v>2.2799999999999998</v>
      </c>
      <c r="R49" s="10">
        <v>-3.42</v>
      </c>
      <c r="S49" s="10">
        <v>0.6</v>
      </c>
      <c r="T49" s="10">
        <v>-2.52</v>
      </c>
      <c r="U49" s="10">
        <v>-2.2799999999999998</v>
      </c>
      <c r="V49" s="10">
        <v>0</v>
      </c>
      <c r="W49" s="10">
        <v>0</v>
      </c>
      <c r="X49" s="10">
        <v>0</v>
      </c>
      <c r="Y49" s="10">
        <v>1.08</v>
      </c>
      <c r="Z49" s="10">
        <v>-3.24</v>
      </c>
      <c r="AA49" s="10">
        <v>40.779567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5">
        <f t="shared" si="1"/>
        <v>99.079133999999996</v>
      </c>
    </row>
    <row r="50" spans="1:37" ht="21" hidden="1" customHeight="1">
      <c r="A50" s="16"/>
      <c r="B50" s="19"/>
      <c r="C50" s="20"/>
      <c r="D50" s="7" t="s">
        <v>51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1.68</v>
      </c>
      <c r="K50" s="10">
        <v>1.32</v>
      </c>
      <c r="L50" s="10">
        <v>-0.66</v>
      </c>
      <c r="M50" s="10">
        <v>1.44</v>
      </c>
      <c r="N50" s="10">
        <v>0.36</v>
      </c>
      <c r="O50" s="10">
        <v>0</v>
      </c>
      <c r="P50" s="10">
        <v>0</v>
      </c>
      <c r="Q50" s="10">
        <v>2.2799999999999998</v>
      </c>
      <c r="R50" s="10">
        <v>-3.42</v>
      </c>
      <c r="S50" s="10">
        <v>0.6</v>
      </c>
      <c r="T50" s="10">
        <v>-2.52</v>
      </c>
      <c r="U50" s="10">
        <v>-2.2799999999999998</v>
      </c>
      <c r="V50" s="10">
        <v>0</v>
      </c>
      <c r="W50" s="10">
        <v>0</v>
      </c>
      <c r="X50" s="10">
        <v>0</v>
      </c>
      <c r="Y50" s="10">
        <v>1.08</v>
      </c>
      <c r="Z50" s="10">
        <v>-3.24</v>
      </c>
      <c r="AA50" s="10">
        <v>40.779567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5">
        <f t="shared" si="1"/>
        <v>61.659567000000003</v>
      </c>
    </row>
    <row r="51" spans="1:37" ht="21" hidden="1" customHeight="1">
      <c r="A51" s="16"/>
      <c r="B51" s="19"/>
      <c r="C51" s="20"/>
      <c r="D51" s="7" t="s">
        <v>58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-41.936995000000003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5">
        <f t="shared" si="1"/>
        <v>41.936995000000003</v>
      </c>
    </row>
    <row r="52" spans="1:37" ht="21" customHeight="1">
      <c r="A52" s="16"/>
      <c r="B52" s="19"/>
      <c r="C52" s="20" t="s">
        <v>67</v>
      </c>
      <c r="D52" s="7" t="s">
        <v>40</v>
      </c>
      <c r="E52" s="10">
        <v>634.36011699999995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51.614145000000001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5">
        <f t="shared" si="1"/>
        <v>685.97426199999995</v>
      </c>
    </row>
    <row r="53" spans="1:37" ht="21" customHeight="1">
      <c r="A53" s="16"/>
      <c r="B53" s="19"/>
      <c r="C53" s="20"/>
      <c r="D53" s="7" t="s">
        <v>50</v>
      </c>
      <c r="E53" s="10">
        <v>0.46064300000001901</v>
      </c>
      <c r="F53" s="10">
        <v>0</v>
      </c>
      <c r="G53" s="10">
        <v>0</v>
      </c>
      <c r="H53" s="10">
        <v>0</v>
      </c>
      <c r="I53" s="10">
        <v>0</v>
      </c>
      <c r="J53" s="10">
        <v>-2.5881599999999998</v>
      </c>
      <c r="K53" s="10">
        <v>0.91883999999999999</v>
      </c>
      <c r="L53" s="10">
        <v>9.3522599999999994</v>
      </c>
      <c r="M53" s="10">
        <v>-25.921199999999999</v>
      </c>
      <c r="N53" s="10">
        <v>23.556180000000001</v>
      </c>
      <c r="O53" s="10">
        <v>0</v>
      </c>
      <c r="P53" s="10">
        <v>0</v>
      </c>
      <c r="Q53" s="10">
        <v>28.87452</v>
      </c>
      <c r="R53" s="10">
        <v>-30.08934</v>
      </c>
      <c r="S53" s="10">
        <v>8.5833600000000008</v>
      </c>
      <c r="T53" s="10">
        <v>-7.43886</v>
      </c>
      <c r="U53" s="10">
        <v>3.5040000000000002E-2</v>
      </c>
      <c r="V53" s="10">
        <v>0</v>
      </c>
      <c r="W53" s="10">
        <v>0</v>
      </c>
      <c r="X53" s="10">
        <v>-0.75083999999999995</v>
      </c>
      <c r="Y53" s="10">
        <v>3.2474400000000001</v>
      </c>
      <c r="Z53" s="10">
        <v>4.1666400000000001</v>
      </c>
      <c r="AA53" s="10">
        <v>4.0845599999999997</v>
      </c>
      <c r="AB53" s="10">
        <v>2.532</v>
      </c>
      <c r="AC53" s="10">
        <v>0</v>
      </c>
      <c r="AD53" s="10">
        <v>0</v>
      </c>
      <c r="AE53" s="10">
        <v>-29.580525000000002</v>
      </c>
      <c r="AF53" s="10">
        <v>-8.64682</v>
      </c>
      <c r="AG53" s="10">
        <v>23.037299999999998</v>
      </c>
      <c r="AH53" s="10">
        <v>6.8935750000000002</v>
      </c>
      <c r="AI53" s="10">
        <v>-10.985325</v>
      </c>
      <c r="AJ53" s="10">
        <v>0</v>
      </c>
      <c r="AK53" s="5">
        <f t="shared" si="1"/>
        <v>231.74342799999999</v>
      </c>
    </row>
    <row r="54" spans="1:37" ht="21" hidden="1" customHeight="1">
      <c r="A54" s="16"/>
      <c r="B54" s="19"/>
      <c r="C54" s="20"/>
      <c r="D54" s="7" t="s">
        <v>51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-2.5881599999999998</v>
      </c>
      <c r="K54" s="10">
        <v>0.91883999999999999</v>
      </c>
      <c r="L54" s="10">
        <v>9.3522599999999994</v>
      </c>
      <c r="M54" s="10">
        <v>-25.921199999999999</v>
      </c>
      <c r="N54" s="10">
        <v>23.556180000000001</v>
      </c>
      <c r="O54" s="10">
        <v>0</v>
      </c>
      <c r="P54" s="10">
        <v>0</v>
      </c>
      <c r="Q54" s="10">
        <v>28.87452</v>
      </c>
      <c r="R54" s="10">
        <v>-30.08934</v>
      </c>
      <c r="S54" s="10">
        <v>8.5833600000000008</v>
      </c>
      <c r="T54" s="10">
        <v>-7.43886</v>
      </c>
      <c r="U54" s="10">
        <v>3.5040000000000002E-2</v>
      </c>
      <c r="V54" s="10">
        <v>0</v>
      </c>
      <c r="W54" s="10">
        <v>0</v>
      </c>
      <c r="X54" s="10">
        <v>-0.75083999999999995</v>
      </c>
      <c r="Y54" s="10">
        <v>3.2474400000000001</v>
      </c>
      <c r="Z54" s="10">
        <v>4.1666400000000001</v>
      </c>
      <c r="AA54" s="10">
        <v>4.0845599999999997</v>
      </c>
      <c r="AB54" s="10">
        <v>2.532</v>
      </c>
      <c r="AC54" s="10">
        <v>0</v>
      </c>
      <c r="AD54" s="10">
        <v>0</v>
      </c>
      <c r="AE54" s="10">
        <v>-29.580525000000002</v>
      </c>
      <c r="AF54" s="10">
        <v>-8.64682</v>
      </c>
      <c r="AG54" s="10">
        <v>23.037299999999998</v>
      </c>
      <c r="AH54" s="10">
        <v>6.8935750000000002</v>
      </c>
      <c r="AI54" s="10">
        <v>-10.985325</v>
      </c>
      <c r="AJ54" s="10">
        <v>0</v>
      </c>
      <c r="AK54" s="5">
        <f t="shared" si="1"/>
        <v>231.28278499999999</v>
      </c>
    </row>
    <row r="55" spans="1:37" ht="21" customHeight="1">
      <c r="A55" s="16"/>
      <c r="B55" s="19"/>
      <c r="C55" s="20" t="s">
        <v>68</v>
      </c>
      <c r="D55" s="7" t="s">
        <v>40</v>
      </c>
      <c r="E55" s="10">
        <v>461.40776299999999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5">
        <f t="shared" si="1"/>
        <v>461.40776299999999</v>
      </c>
    </row>
    <row r="56" spans="1:37" ht="21" customHeight="1">
      <c r="A56" s="16"/>
      <c r="B56" s="19"/>
      <c r="C56" s="20"/>
      <c r="D56" s="7" t="s">
        <v>50</v>
      </c>
      <c r="E56" s="10">
        <v>-45.373123</v>
      </c>
      <c r="F56" s="10">
        <v>0</v>
      </c>
      <c r="G56" s="10">
        <v>0</v>
      </c>
      <c r="H56" s="10">
        <v>0</v>
      </c>
      <c r="I56" s="10">
        <v>0</v>
      </c>
      <c r="J56" s="10">
        <v>12.967560000000001</v>
      </c>
      <c r="K56" s="10">
        <v>3.49004</v>
      </c>
      <c r="L56" s="10">
        <v>-3.0811199999999999</v>
      </c>
      <c r="M56" s="10">
        <v>-3.6371199999999999</v>
      </c>
      <c r="N56" s="10">
        <v>2.7767200000000001</v>
      </c>
      <c r="O56" s="10">
        <v>0</v>
      </c>
      <c r="P56" s="10">
        <v>0</v>
      </c>
      <c r="Q56" s="10">
        <v>-1.1704000000000001</v>
      </c>
      <c r="R56" s="10">
        <v>10.013400000000001</v>
      </c>
      <c r="S56" s="10">
        <v>-17.882000000000001</v>
      </c>
      <c r="T56" s="10">
        <v>-2.0991599999999999</v>
      </c>
      <c r="U56" s="10">
        <v>-0.68415999999999999</v>
      </c>
      <c r="V56" s="10">
        <v>0</v>
      </c>
      <c r="W56" s="10">
        <v>0</v>
      </c>
      <c r="X56" s="10">
        <v>-11.2156</v>
      </c>
      <c r="Y56" s="10">
        <v>7.8932000000000002</v>
      </c>
      <c r="Z56" s="10">
        <v>8.1424800000000008</v>
      </c>
      <c r="AA56" s="10">
        <v>4.8528000000000002</v>
      </c>
      <c r="AB56" s="10">
        <v>-6.1651999999999996</v>
      </c>
      <c r="AC56" s="10">
        <v>0</v>
      </c>
      <c r="AD56" s="10">
        <v>0</v>
      </c>
      <c r="AE56" s="10">
        <v>1.11832</v>
      </c>
      <c r="AF56" s="10">
        <v>12.5144</v>
      </c>
      <c r="AG56" s="10">
        <v>-5.8048000000000002</v>
      </c>
      <c r="AH56" s="10">
        <v>-2.1714000000000002</v>
      </c>
      <c r="AI56" s="10">
        <v>-2.4906000000000001</v>
      </c>
      <c r="AJ56" s="10">
        <v>0</v>
      </c>
      <c r="AK56" s="5">
        <f t="shared" si="1"/>
        <v>165.54360299999999</v>
      </c>
    </row>
    <row r="57" spans="1:37" ht="21" hidden="1" customHeight="1">
      <c r="A57" s="16"/>
      <c r="B57" s="19"/>
      <c r="C57" s="20"/>
      <c r="D57" s="7" t="s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12.967560000000001</v>
      </c>
      <c r="K57" s="10">
        <v>3.49004</v>
      </c>
      <c r="L57" s="10">
        <v>-3.0811199999999999</v>
      </c>
      <c r="M57" s="10">
        <v>-3.6371199999999999</v>
      </c>
      <c r="N57" s="10">
        <v>2.7767200000000001</v>
      </c>
      <c r="O57" s="10">
        <v>0</v>
      </c>
      <c r="P57" s="10">
        <v>0</v>
      </c>
      <c r="Q57" s="10">
        <v>-1.1704000000000001</v>
      </c>
      <c r="R57" s="10">
        <v>10.013400000000001</v>
      </c>
      <c r="S57" s="10">
        <v>-17.882000000000001</v>
      </c>
      <c r="T57" s="10">
        <v>-2.0991599999999999</v>
      </c>
      <c r="U57" s="10">
        <v>-0.68415999999999999</v>
      </c>
      <c r="V57" s="10">
        <v>0</v>
      </c>
      <c r="W57" s="10">
        <v>0</v>
      </c>
      <c r="X57" s="10">
        <v>-11.2156</v>
      </c>
      <c r="Y57" s="10">
        <v>7.8932000000000002</v>
      </c>
      <c r="Z57" s="10">
        <v>8.1424800000000008</v>
      </c>
      <c r="AA57" s="10">
        <v>4.8528000000000002</v>
      </c>
      <c r="AB57" s="10">
        <v>-6.1651999999999996</v>
      </c>
      <c r="AC57" s="10">
        <v>0</v>
      </c>
      <c r="AD57" s="10">
        <v>0</v>
      </c>
      <c r="AE57" s="10">
        <v>1.11832</v>
      </c>
      <c r="AF57" s="10">
        <v>12.5144</v>
      </c>
      <c r="AG57" s="10">
        <v>-5.8048000000000002</v>
      </c>
      <c r="AH57" s="10">
        <v>-2.1714000000000002</v>
      </c>
      <c r="AI57" s="10">
        <v>-2.4906000000000001</v>
      </c>
      <c r="AJ57" s="10">
        <v>0</v>
      </c>
      <c r="AK57" s="5">
        <f t="shared" si="1"/>
        <v>120.17048</v>
      </c>
    </row>
    <row r="58" spans="1:37" ht="21" customHeight="1">
      <c r="A58" s="16"/>
      <c r="B58" s="19"/>
      <c r="C58" s="20" t="s">
        <v>69</v>
      </c>
      <c r="D58" s="7" t="s">
        <v>40</v>
      </c>
      <c r="E58" s="10">
        <v>304.30949299999997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5">
        <f t="shared" si="1"/>
        <v>304.30949299999997</v>
      </c>
    </row>
    <row r="59" spans="1:37" ht="21" customHeight="1">
      <c r="A59" s="16"/>
      <c r="B59" s="19"/>
      <c r="C59" s="20"/>
      <c r="D59" s="7" t="s">
        <v>50</v>
      </c>
      <c r="E59" s="10">
        <v>-13.7594930000001</v>
      </c>
      <c r="F59" s="10">
        <v>0</v>
      </c>
      <c r="G59" s="10">
        <v>0</v>
      </c>
      <c r="H59" s="10">
        <v>0</v>
      </c>
      <c r="I59" s="10">
        <v>0</v>
      </c>
      <c r="J59" s="10">
        <v>4.45</v>
      </c>
      <c r="K59" s="10">
        <v>1.55</v>
      </c>
      <c r="L59" s="10">
        <v>-3.75</v>
      </c>
      <c r="M59" s="10">
        <v>-1.325</v>
      </c>
      <c r="N59" s="10">
        <v>0.67500000000000004</v>
      </c>
      <c r="O59" s="10">
        <v>0</v>
      </c>
      <c r="P59" s="10">
        <v>0</v>
      </c>
      <c r="Q59" s="10">
        <v>6.0750000000000002</v>
      </c>
      <c r="R59" s="10">
        <v>-3.2250000000000001</v>
      </c>
      <c r="S59" s="10">
        <v>-2.85</v>
      </c>
      <c r="T59" s="10">
        <v>-3.75</v>
      </c>
      <c r="U59" s="10">
        <v>-2.7</v>
      </c>
      <c r="V59" s="10">
        <v>0</v>
      </c>
      <c r="W59" s="10">
        <v>0</v>
      </c>
      <c r="X59" s="10">
        <v>-1.7250000000000001</v>
      </c>
      <c r="Y59" s="10">
        <v>6.6749999999999998</v>
      </c>
      <c r="Z59" s="10">
        <v>-7.7</v>
      </c>
      <c r="AA59" s="10">
        <v>-2.0750000000000002</v>
      </c>
      <c r="AB59" s="10">
        <v>-0.77500000000000002</v>
      </c>
      <c r="AC59" s="10">
        <v>0</v>
      </c>
      <c r="AD59" s="10">
        <v>0</v>
      </c>
      <c r="AE59" s="10">
        <v>0.97499999999999998</v>
      </c>
      <c r="AF59" s="10">
        <v>-0.17499999999999999</v>
      </c>
      <c r="AG59" s="10">
        <v>1.45</v>
      </c>
      <c r="AH59" s="10">
        <v>28.225000000000001</v>
      </c>
      <c r="AI59" s="10">
        <v>-8.3249999999999993</v>
      </c>
      <c r="AJ59" s="10">
        <v>0</v>
      </c>
      <c r="AK59" s="5">
        <f t="shared" si="1"/>
        <v>102.20949299999999</v>
      </c>
    </row>
    <row r="60" spans="1:37" ht="21" hidden="1" customHeight="1">
      <c r="A60" s="16"/>
      <c r="B60" s="19"/>
      <c r="C60" s="20"/>
      <c r="D60" s="7" t="s">
        <v>70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3.395</v>
      </c>
      <c r="AJ60" s="10">
        <v>0</v>
      </c>
      <c r="AK60" s="5">
        <f t="shared" si="1"/>
        <v>3.395</v>
      </c>
    </row>
    <row r="61" spans="1:37" ht="21" hidden="1" customHeight="1">
      <c r="A61" s="16"/>
      <c r="B61" s="19"/>
      <c r="C61" s="20"/>
      <c r="D61" s="7" t="s">
        <v>51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4.45</v>
      </c>
      <c r="K61" s="10">
        <v>1.55</v>
      </c>
      <c r="L61" s="10">
        <v>-3.75</v>
      </c>
      <c r="M61" s="10">
        <v>-1.325</v>
      </c>
      <c r="N61" s="10">
        <v>0.67500000000000004</v>
      </c>
      <c r="O61" s="10">
        <v>0</v>
      </c>
      <c r="P61" s="10">
        <v>0</v>
      </c>
      <c r="Q61" s="10">
        <v>6.0750000000000002</v>
      </c>
      <c r="R61" s="10">
        <v>-3.2250000000000001</v>
      </c>
      <c r="S61" s="10">
        <v>-2.85</v>
      </c>
      <c r="T61" s="10">
        <v>-3.75</v>
      </c>
      <c r="U61" s="10">
        <v>-2.7</v>
      </c>
      <c r="V61" s="10">
        <v>0</v>
      </c>
      <c r="W61" s="10">
        <v>0</v>
      </c>
      <c r="X61" s="10">
        <v>-1.7250000000000001</v>
      </c>
      <c r="Y61" s="10">
        <v>6.6749999999999998</v>
      </c>
      <c r="Z61" s="10">
        <v>-7.7</v>
      </c>
      <c r="AA61" s="10">
        <v>-2.0750000000000002</v>
      </c>
      <c r="AB61" s="10">
        <v>-0.77500000000000002</v>
      </c>
      <c r="AC61" s="10">
        <v>0</v>
      </c>
      <c r="AD61" s="10">
        <v>0</v>
      </c>
      <c r="AE61" s="10">
        <v>0.97499999999999998</v>
      </c>
      <c r="AF61" s="10">
        <v>-0.17499999999999999</v>
      </c>
      <c r="AG61" s="10">
        <v>1.45</v>
      </c>
      <c r="AH61" s="10">
        <v>28.225000000000001</v>
      </c>
      <c r="AI61" s="10">
        <v>-8.3249999999999993</v>
      </c>
      <c r="AJ61" s="10">
        <v>0</v>
      </c>
      <c r="AK61" s="5">
        <f t="shared" si="1"/>
        <v>88.45</v>
      </c>
    </row>
    <row r="62" spans="1:37" ht="21" customHeight="1">
      <c r="A62" s="16"/>
      <c r="B62" s="19"/>
      <c r="C62" s="20" t="s">
        <v>71</v>
      </c>
      <c r="D62" s="7" t="s">
        <v>40</v>
      </c>
      <c r="E62" s="10">
        <v>693.38548900000001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5">
        <f t="shared" si="1"/>
        <v>693.38548900000001</v>
      </c>
    </row>
    <row r="63" spans="1:37" ht="21" customHeight="1">
      <c r="A63" s="16"/>
      <c r="B63" s="19"/>
      <c r="C63" s="20"/>
      <c r="D63" s="7" t="s">
        <v>50</v>
      </c>
      <c r="E63" s="10">
        <v>68.955810999999997</v>
      </c>
      <c r="F63" s="10">
        <v>0</v>
      </c>
      <c r="G63" s="10">
        <v>0</v>
      </c>
      <c r="H63" s="10">
        <v>0</v>
      </c>
      <c r="I63" s="10">
        <v>0</v>
      </c>
      <c r="J63" s="10">
        <v>19.451699999999999</v>
      </c>
      <c r="K63" s="10">
        <v>-0.65539999999999998</v>
      </c>
      <c r="L63" s="10">
        <v>8.3264999999999993</v>
      </c>
      <c r="M63" s="10">
        <v>-5.4978499999999997</v>
      </c>
      <c r="N63" s="10">
        <v>13.29575</v>
      </c>
      <c r="O63" s="10">
        <v>0</v>
      </c>
      <c r="P63" s="10">
        <v>0</v>
      </c>
      <c r="Q63" s="10">
        <v>-22.568000000000001</v>
      </c>
      <c r="R63" s="10">
        <v>-20.967700000000001</v>
      </c>
      <c r="S63" s="10">
        <v>2.6823000000000001</v>
      </c>
      <c r="T63" s="10">
        <v>5.8968999999999996</v>
      </c>
      <c r="U63" s="10">
        <v>5.2110000000000003</v>
      </c>
      <c r="V63" s="10">
        <v>0</v>
      </c>
      <c r="W63" s="10">
        <v>0</v>
      </c>
      <c r="X63" s="10">
        <v>-0.70430000000000004</v>
      </c>
      <c r="Y63" s="10">
        <v>10.555300000000001</v>
      </c>
      <c r="Z63" s="10">
        <v>1.8909</v>
      </c>
      <c r="AA63" s="10">
        <v>-14.1288</v>
      </c>
      <c r="AB63" s="10">
        <v>-3.7418</v>
      </c>
      <c r="AC63" s="10">
        <v>0</v>
      </c>
      <c r="AD63" s="10">
        <v>0</v>
      </c>
      <c r="AE63" s="10">
        <v>8.5300000000000001E-2</v>
      </c>
      <c r="AF63" s="10">
        <v>-9.0710999999999995</v>
      </c>
      <c r="AG63" s="10">
        <v>-0.61460000000000004</v>
      </c>
      <c r="AH63" s="10">
        <v>15.40635</v>
      </c>
      <c r="AI63" s="10">
        <v>-5.3369999999999997</v>
      </c>
      <c r="AJ63" s="10">
        <v>0</v>
      </c>
      <c r="AK63" s="5">
        <f t="shared" si="1"/>
        <v>235.04436100000001</v>
      </c>
    </row>
    <row r="64" spans="1:37" ht="21" hidden="1" customHeight="1">
      <c r="A64" s="16"/>
      <c r="B64" s="19"/>
      <c r="C64" s="20"/>
      <c r="D64" s="7" t="s">
        <v>51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19.451699999999999</v>
      </c>
      <c r="K64" s="10">
        <v>-0.65539999999999998</v>
      </c>
      <c r="L64" s="10">
        <v>8.3264999999999993</v>
      </c>
      <c r="M64" s="10">
        <v>-5.4978499999999997</v>
      </c>
      <c r="N64" s="10">
        <v>13.29575</v>
      </c>
      <c r="O64" s="10">
        <v>0</v>
      </c>
      <c r="P64" s="10">
        <v>0</v>
      </c>
      <c r="Q64" s="10">
        <v>-22.568000000000001</v>
      </c>
      <c r="R64" s="10">
        <v>-20.967700000000001</v>
      </c>
      <c r="S64" s="10">
        <v>2.6823000000000001</v>
      </c>
      <c r="T64" s="10">
        <v>5.8968999999999996</v>
      </c>
      <c r="U64" s="10">
        <v>5.2110000000000003</v>
      </c>
      <c r="V64" s="10">
        <v>0</v>
      </c>
      <c r="W64" s="10">
        <v>0</v>
      </c>
      <c r="X64" s="10">
        <v>-0.70430000000000004</v>
      </c>
      <c r="Y64" s="10">
        <v>10.555300000000001</v>
      </c>
      <c r="Z64" s="10">
        <v>1.8909</v>
      </c>
      <c r="AA64" s="10">
        <v>-14.1288</v>
      </c>
      <c r="AB64" s="10">
        <v>-3.7418</v>
      </c>
      <c r="AC64" s="10">
        <v>0</v>
      </c>
      <c r="AD64" s="10">
        <v>0</v>
      </c>
      <c r="AE64" s="10">
        <v>8.5300000000000001E-2</v>
      </c>
      <c r="AF64" s="10">
        <v>-9.0710999999999995</v>
      </c>
      <c r="AG64" s="10">
        <v>-0.61460000000000004</v>
      </c>
      <c r="AH64" s="10">
        <v>15.40635</v>
      </c>
      <c r="AI64" s="10">
        <v>-5.3369999999999997</v>
      </c>
      <c r="AJ64" s="10">
        <v>0</v>
      </c>
      <c r="AK64" s="5">
        <f t="shared" si="1"/>
        <v>166.08855</v>
      </c>
    </row>
    <row r="65" spans="1:37" ht="21" customHeight="1">
      <c r="A65" s="16"/>
      <c r="B65" s="19"/>
      <c r="C65" s="20" t="s">
        <v>72</v>
      </c>
      <c r="D65" s="7" t="s">
        <v>40</v>
      </c>
      <c r="E65" s="10">
        <v>16.702550000000102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5">
        <f t="shared" si="1"/>
        <v>16.702549999999999</v>
      </c>
    </row>
    <row r="66" spans="1:37" ht="21" customHeight="1">
      <c r="A66" s="16"/>
      <c r="B66" s="19"/>
      <c r="C66" s="20"/>
      <c r="D66" s="7" t="s">
        <v>50</v>
      </c>
      <c r="E66" s="10">
        <v>-3.32231600000001</v>
      </c>
      <c r="F66" s="10">
        <v>0</v>
      </c>
      <c r="G66" s="10">
        <v>0</v>
      </c>
      <c r="H66" s="10">
        <v>0</v>
      </c>
      <c r="I66" s="10">
        <v>0</v>
      </c>
      <c r="J66" s="10">
        <v>0.29667100000000002</v>
      </c>
      <c r="K66" s="10">
        <v>4.6751000000000001E-2</v>
      </c>
      <c r="L66" s="10">
        <v>0.13005</v>
      </c>
      <c r="M66" s="10">
        <v>-8.6055999999999994E-2</v>
      </c>
      <c r="N66" s="10">
        <v>-0.35752400000000001</v>
      </c>
      <c r="O66" s="10">
        <v>0</v>
      </c>
      <c r="P66" s="10">
        <v>0</v>
      </c>
      <c r="Q66" s="10">
        <v>5.0742000000000002E-2</v>
      </c>
      <c r="R66" s="10">
        <v>4.8982999999999999E-2</v>
      </c>
      <c r="S66" s="10">
        <v>8.9409999999999993E-3</v>
      </c>
      <c r="T66" s="10">
        <v>0.21612000000000001</v>
      </c>
      <c r="U66" s="10">
        <v>7.8598000000000001E-2</v>
      </c>
      <c r="V66" s="10">
        <v>0</v>
      </c>
      <c r="W66" s="10">
        <v>0</v>
      </c>
      <c r="X66" s="10">
        <v>0.379438</v>
      </c>
      <c r="Y66" s="10">
        <v>-6.4672999999999994E-2</v>
      </c>
      <c r="Z66" s="10">
        <v>4.8164999999999999E-2</v>
      </c>
      <c r="AA66" s="10">
        <v>-7.9128000000000004E-2</v>
      </c>
      <c r="AB66" s="10">
        <v>2.3619999999999999E-2</v>
      </c>
      <c r="AC66" s="10">
        <v>0</v>
      </c>
      <c r="AD66" s="10">
        <v>0</v>
      </c>
      <c r="AE66" s="10">
        <v>-0.31979000000000002</v>
      </c>
      <c r="AF66" s="10">
        <v>0.20325799999999999</v>
      </c>
      <c r="AG66" s="10">
        <v>0.52302199999999999</v>
      </c>
      <c r="AH66" s="10">
        <v>0.38059799999999999</v>
      </c>
      <c r="AI66" s="10">
        <v>-0.40916999999999998</v>
      </c>
      <c r="AJ66" s="10">
        <v>0</v>
      </c>
      <c r="AK66" s="5">
        <f t="shared" si="1"/>
        <v>7.0736140000000001</v>
      </c>
    </row>
    <row r="67" spans="1:37" ht="21" hidden="1" customHeight="1">
      <c r="A67" s="16"/>
      <c r="B67" s="19"/>
      <c r="C67" s="20"/>
      <c r="D67" s="7" t="s">
        <v>51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0.29667100000000002</v>
      </c>
      <c r="K67" s="10">
        <v>4.6751000000000001E-2</v>
      </c>
      <c r="L67" s="10">
        <v>0.13005</v>
      </c>
      <c r="M67" s="10">
        <v>-8.6055999999999994E-2</v>
      </c>
      <c r="N67" s="10">
        <v>-0.35752400000000001</v>
      </c>
      <c r="O67" s="10">
        <v>0</v>
      </c>
      <c r="P67" s="10">
        <v>0</v>
      </c>
      <c r="Q67" s="10">
        <v>5.0742000000000002E-2</v>
      </c>
      <c r="R67" s="10">
        <v>4.8982999999999999E-2</v>
      </c>
      <c r="S67" s="10">
        <v>8.9409999999999993E-3</v>
      </c>
      <c r="T67" s="10">
        <v>0.21612000000000001</v>
      </c>
      <c r="U67" s="10">
        <v>7.8598000000000001E-2</v>
      </c>
      <c r="V67" s="10">
        <v>0</v>
      </c>
      <c r="W67" s="10">
        <v>0</v>
      </c>
      <c r="X67" s="10">
        <v>0.379438</v>
      </c>
      <c r="Y67" s="10">
        <v>-6.4672999999999994E-2</v>
      </c>
      <c r="Z67" s="10">
        <v>4.8164999999999999E-2</v>
      </c>
      <c r="AA67" s="10">
        <v>-7.9128000000000004E-2</v>
      </c>
      <c r="AB67" s="10">
        <v>2.3619999999999999E-2</v>
      </c>
      <c r="AC67" s="10">
        <v>0</v>
      </c>
      <c r="AD67" s="10">
        <v>0</v>
      </c>
      <c r="AE67" s="10">
        <v>-0.31979000000000002</v>
      </c>
      <c r="AF67" s="10">
        <v>0.20325799999999999</v>
      </c>
      <c r="AG67" s="10">
        <v>0.52302199999999999</v>
      </c>
      <c r="AH67" s="10">
        <v>0.38059799999999999</v>
      </c>
      <c r="AI67" s="10">
        <v>-0.40916999999999998</v>
      </c>
      <c r="AJ67" s="10">
        <v>0</v>
      </c>
      <c r="AK67" s="5">
        <f t="shared" si="1"/>
        <v>3.7512979999999998</v>
      </c>
    </row>
    <row r="68" spans="1:37" ht="21" customHeight="1">
      <c r="A68" s="16"/>
      <c r="B68" s="19"/>
      <c r="C68" s="20" t="s">
        <v>73</v>
      </c>
      <c r="D68" s="7" t="s">
        <v>40</v>
      </c>
      <c r="E68" s="10">
        <v>309.38962900000001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-309.38962900000001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5">
        <f t="shared" ref="AK68:AK74" si="2">ROUND(ABS(E68)+ABS(F68)+ABS(G68)+ABS(H68)+ABS(I68)+ABS(J68)+ABS(K68)+ABS(L68)+ABS(M68)+ABS(N68)+ABS(O68)+ABS(P68)+ABS(Q68)+ABS(R68)+ABS(S68)+ABS(T68)+ABS(U68)+ABS(V68)+ABS(W68)+ABS(X68)+ABS(Y68)+ABS(Z68)+ABS(AA68)+ABS(AB68)+ABS(AC68)+ABS(AD68)+ABS(AE68)+ABS(AF68)+ABS(AG68)+ABS(AH68)+ABS(AI68)+ABS(AJ68),6)</f>
        <v>618.77925800000003</v>
      </c>
    </row>
    <row r="69" spans="1:37" ht="21" customHeight="1">
      <c r="A69" s="16"/>
      <c r="B69" s="19"/>
      <c r="C69" s="20"/>
      <c r="D69" s="7" t="s">
        <v>50</v>
      </c>
      <c r="E69" s="10">
        <v>-41.189628999999996</v>
      </c>
      <c r="F69" s="10">
        <v>0</v>
      </c>
      <c r="G69" s="10">
        <v>0</v>
      </c>
      <c r="H69" s="10">
        <v>0</v>
      </c>
      <c r="I69" s="10">
        <v>0</v>
      </c>
      <c r="J69" s="10">
        <v>6</v>
      </c>
      <c r="K69" s="10">
        <v>1.6</v>
      </c>
      <c r="L69" s="10">
        <v>-10.4</v>
      </c>
      <c r="M69" s="10">
        <v>-0.6</v>
      </c>
      <c r="N69" s="10">
        <v>9.1999999999999993</v>
      </c>
      <c r="O69" s="10">
        <v>0</v>
      </c>
      <c r="P69" s="10">
        <v>0</v>
      </c>
      <c r="Q69" s="10">
        <v>27.4</v>
      </c>
      <c r="R69" s="10">
        <v>7.9896289999999999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5">
        <f t="shared" si="2"/>
        <v>104.37925799999999</v>
      </c>
    </row>
    <row r="70" spans="1:37" ht="21" hidden="1" customHeight="1">
      <c r="A70" s="16"/>
      <c r="B70" s="19"/>
      <c r="C70" s="20"/>
      <c r="D70" s="7" t="s">
        <v>51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6</v>
      </c>
      <c r="K70" s="10">
        <v>1.6</v>
      </c>
      <c r="L70" s="10">
        <v>-10.4</v>
      </c>
      <c r="M70" s="10">
        <v>-0.6</v>
      </c>
      <c r="N70" s="10">
        <v>9.1999999999999993</v>
      </c>
      <c r="O70" s="10">
        <v>0</v>
      </c>
      <c r="P70" s="10">
        <v>0</v>
      </c>
      <c r="Q70" s="10">
        <v>27.4</v>
      </c>
      <c r="R70" s="10">
        <v>7.9896289999999999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5">
        <f t="shared" si="2"/>
        <v>63.189628999999996</v>
      </c>
    </row>
    <row r="71" spans="1:37" ht="21" hidden="1" customHeight="1">
      <c r="A71" s="16"/>
      <c r="B71" s="19"/>
      <c r="C71" s="20"/>
      <c r="D71" s="7" t="s">
        <v>58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17.178954000000001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5">
        <f t="shared" si="2"/>
        <v>17.178954000000001</v>
      </c>
    </row>
    <row r="72" spans="1:37" ht="21" customHeight="1">
      <c r="A72" s="16"/>
      <c r="B72" s="19"/>
      <c r="C72" s="20" t="s">
        <v>74</v>
      </c>
      <c r="D72" s="7" t="s">
        <v>40</v>
      </c>
      <c r="E72" s="10">
        <v>333.22904499999999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5">
        <f t="shared" si="2"/>
        <v>333.22904499999999</v>
      </c>
    </row>
    <row r="73" spans="1:37" ht="21" customHeight="1">
      <c r="A73" s="16"/>
      <c r="B73" s="19"/>
      <c r="C73" s="20"/>
      <c r="D73" s="7" t="s">
        <v>50</v>
      </c>
      <c r="E73" s="10">
        <v>9.6709549999999904</v>
      </c>
      <c r="F73" s="10">
        <v>0</v>
      </c>
      <c r="G73" s="10">
        <v>0</v>
      </c>
      <c r="H73" s="10">
        <v>0</v>
      </c>
      <c r="I73" s="10">
        <v>0</v>
      </c>
      <c r="J73" s="10">
        <v>-3.3</v>
      </c>
      <c r="K73" s="10">
        <v>-0.3</v>
      </c>
      <c r="L73" s="10">
        <v>-6</v>
      </c>
      <c r="M73" s="10">
        <v>-4.8</v>
      </c>
      <c r="N73" s="10">
        <v>-3.6</v>
      </c>
      <c r="O73" s="10">
        <v>0</v>
      </c>
      <c r="P73" s="10">
        <v>0</v>
      </c>
      <c r="Q73" s="10">
        <v>-2.4</v>
      </c>
      <c r="R73" s="10">
        <v>3.9</v>
      </c>
      <c r="S73" s="10">
        <v>-5.7</v>
      </c>
      <c r="T73" s="10">
        <v>-2.4</v>
      </c>
      <c r="U73" s="10">
        <v>-4.8</v>
      </c>
      <c r="V73" s="10">
        <v>0</v>
      </c>
      <c r="W73" s="10">
        <v>0</v>
      </c>
      <c r="X73" s="10">
        <v>-0.9</v>
      </c>
      <c r="Y73" s="10">
        <v>4.2</v>
      </c>
      <c r="Z73" s="10">
        <v>-3.9</v>
      </c>
      <c r="AA73" s="10">
        <v>-0.3</v>
      </c>
      <c r="AB73" s="10">
        <v>-2.1</v>
      </c>
      <c r="AC73" s="10">
        <v>0</v>
      </c>
      <c r="AD73" s="10">
        <v>0</v>
      </c>
      <c r="AE73" s="10">
        <v>3</v>
      </c>
      <c r="AF73" s="10">
        <v>-1.2</v>
      </c>
      <c r="AG73" s="10">
        <v>-0.9</v>
      </c>
      <c r="AH73" s="10">
        <v>6.3</v>
      </c>
      <c r="AI73" s="10">
        <v>-1.8</v>
      </c>
      <c r="AJ73" s="10">
        <v>0</v>
      </c>
      <c r="AK73" s="5">
        <f t="shared" si="2"/>
        <v>71.470955000000004</v>
      </c>
    </row>
    <row r="74" spans="1:37" ht="21" hidden="1" customHeight="1">
      <c r="A74" s="16"/>
      <c r="B74" s="19"/>
      <c r="C74" s="20"/>
      <c r="D74" s="7" t="s">
        <v>51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-3.3</v>
      </c>
      <c r="K74" s="10">
        <v>-0.3</v>
      </c>
      <c r="L74" s="10">
        <v>-6</v>
      </c>
      <c r="M74" s="10">
        <v>-4.8</v>
      </c>
      <c r="N74" s="10">
        <v>-3.6</v>
      </c>
      <c r="O74" s="10">
        <v>0</v>
      </c>
      <c r="P74" s="10">
        <v>0</v>
      </c>
      <c r="Q74" s="10">
        <v>-2.4</v>
      </c>
      <c r="R74" s="10">
        <v>3.9</v>
      </c>
      <c r="S74" s="10">
        <v>-5.7</v>
      </c>
      <c r="T74" s="10">
        <v>-2.4</v>
      </c>
      <c r="U74" s="10">
        <v>-4.8</v>
      </c>
      <c r="V74" s="10">
        <v>0</v>
      </c>
      <c r="W74" s="10">
        <v>0</v>
      </c>
      <c r="X74" s="10">
        <v>-0.9</v>
      </c>
      <c r="Y74" s="10">
        <v>4.2</v>
      </c>
      <c r="Z74" s="10">
        <v>-3.9</v>
      </c>
      <c r="AA74" s="10">
        <v>-0.3</v>
      </c>
      <c r="AB74" s="10">
        <v>-2.1</v>
      </c>
      <c r="AC74" s="10">
        <v>0</v>
      </c>
      <c r="AD74" s="10">
        <v>0</v>
      </c>
      <c r="AE74" s="10">
        <v>3</v>
      </c>
      <c r="AF74" s="10">
        <v>-1.2</v>
      </c>
      <c r="AG74" s="10">
        <v>-0.9</v>
      </c>
      <c r="AH74" s="10">
        <v>6.3</v>
      </c>
      <c r="AI74" s="10">
        <v>-1.8</v>
      </c>
      <c r="AJ74" s="10">
        <v>0</v>
      </c>
      <c r="AK74" s="5">
        <f t="shared" si="2"/>
        <v>61.8</v>
      </c>
    </row>
    <row r="75" spans="1:37" ht="21" customHeight="1">
      <c r="A75" s="16"/>
      <c r="B75" s="19"/>
      <c r="C75" s="20" t="s">
        <v>75</v>
      </c>
      <c r="D75" s="7" t="s">
        <v>40</v>
      </c>
      <c r="E75" s="10">
        <v>815.93725700000005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5">
        <f t="shared" ref="AK75:AK106" si="3">ROUND(ABS(E75)+ABS(F75)+ABS(G75)+ABS(H75)+ABS(I75)+ABS(J75)+ABS(K75)+ABS(L75)+ABS(M75)+ABS(N75)+ABS(O75)+ABS(P75)+ABS(Q75)+ABS(R75)+ABS(S75)+ABS(T75)+ABS(U75)+ABS(V75)+ABS(W75)+ABS(X75)+ABS(Y75)+ABS(Z75)+ABS(AA75)+ABS(AB75)+ABS(AC75)+ABS(AD75)+ABS(AE75)+ABS(AF75)+ABS(AG75)+ABS(AH75)+ABS(AI75)+ABS(AJ75),6)</f>
        <v>815.93725700000005</v>
      </c>
    </row>
    <row r="76" spans="1:37" ht="21" customHeight="1">
      <c r="A76" s="16"/>
      <c r="B76" s="19"/>
      <c r="C76" s="20"/>
      <c r="D76" s="7" t="s">
        <v>50</v>
      </c>
      <c r="E76" s="10">
        <v>-17.237257</v>
      </c>
      <c r="F76" s="10">
        <v>0</v>
      </c>
      <c r="G76" s="10">
        <v>0</v>
      </c>
      <c r="H76" s="10">
        <v>0</v>
      </c>
      <c r="I76" s="10">
        <v>0</v>
      </c>
      <c r="J76" s="10">
        <v>6.3</v>
      </c>
      <c r="K76" s="10">
        <v>11.9</v>
      </c>
      <c r="L76" s="10">
        <v>-2.1</v>
      </c>
      <c r="M76" s="10">
        <v>-9.1</v>
      </c>
      <c r="N76" s="10">
        <v>-3.5</v>
      </c>
      <c r="O76" s="10">
        <v>0</v>
      </c>
      <c r="P76" s="10">
        <v>0</v>
      </c>
      <c r="Q76" s="10">
        <v>1.4</v>
      </c>
      <c r="R76" s="10">
        <v>-0.7</v>
      </c>
      <c r="S76" s="10">
        <v>-7.7</v>
      </c>
      <c r="T76" s="10">
        <v>-3.5</v>
      </c>
      <c r="U76" s="10">
        <v>-8.4</v>
      </c>
      <c r="V76" s="10">
        <v>0</v>
      </c>
      <c r="W76" s="10">
        <v>0</v>
      </c>
      <c r="X76" s="10">
        <v>-4.9000000000000004</v>
      </c>
      <c r="Y76" s="10">
        <v>2.8</v>
      </c>
      <c r="Z76" s="10">
        <v>-6.3</v>
      </c>
      <c r="AA76" s="10">
        <v>0</v>
      </c>
      <c r="AB76" s="10">
        <v>-5.6</v>
      </c>
      <c r="AC76" s="10">
        <v>0</v>
      </c>
      <c r="AD76" s="10">
        <v>0</v>
      </c>
      <c r="AE76" s="10">
        <v>-2.1</v>
      </c>
      <c r="AF76" s="10">
        <v>-1.4</v>
      </c>
      <c r="AG76" s="10">
        <v>-7</v>
      </c>
      <c r="AH76" s="10">
        <v>8.4</v>
      </c>
      <c r="AI76" s="10">
        <v>-9.1</v>
      </c>
      <c r="AJ76" s="10">
        <v>0</v>
      </c>
      <c r="AK76" s="5">
        <f t="shared" si="3"/>
        <v>119.437257</v>
      </c>
    </row>
    <row r="77" spans="1:37" ht="21" hidden="1" customHeight="1">
      <c r="A77" s="16"/>
      <c r="B77" s="19"/>
      <c r="C77" s="20"/>
      <c r="D77" s="7" t="s">
        <v>51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6.3</v>
      </c>
      <c r="K77" s="10">
        <v>11.9</v>
      </c>
      <c r="L77" s="10">
        <v>-2.1</v>
      </c>
      <c r="M77" s="10">
        <v>-9.1</v>
      </c>
      <c r="N77" s="10">
        <v>-3.5</v>
      </c>
      <c r="O77" s="10">
        <v>0</v>
      </c>
      <c r="P77" s="10">
        <v>0</v>
      </c>
      <c r="Q77" s="10">
        <v>1.4</v>
      </c>
      <c r="R77" s="10">
        <v>-0.7</v>
      </c>
      <c r="S77" s="10">
        <v>-7.7</v>
      </c>
      <c r="T77" s="10">
        <v>-3.5</v>
      </c>
      <c r="U77" s="10">
        <v>-8.4</v>
      </c>
      <c r="V77" s="10">
        <v>0</v>
      </c>
      <c r="W77" s="10">
        <v>0</v>
      </c>
      <c r="X77" s="10">
        <v>-4.9000000000000004</v>
      </c>
      <c r="Y77" s="10">
        <v>2.8</v>
      </c>
      <c r="Z77" s="10">
        <v>-6.3</v>
      </c>
      <c r="AA77" s="10">
        <v>0</v>
      </c>
      <c r="AB77" s="10">
        <v>-5.6</v>
      </c>
      <c r="AC77" s="10">
        <v>0</v>
      </c>
      <c r="AD77" s="10">
        <v>0</v>
      </c>
      <c r="AE77" s="10">
        <v>-2.1</v>
      </c>
      <c r="AF77" s="10">
        <v>-1.4</v>
      </c>
      <c r="AG77" s="10">
        <v>-7</v>
      </c>
      <c r="AH77" s="10">
        <v>8.4</v>
      </c>
      <c r="AI77" s="10">
        <v>-9.1</v>
      </c>
      <c r="AJ77" s="10">
        <v>0</v>
      </c>
      <c r="AK77" s="5">
        <f t="shared" si="3"/>
        <v>102.2</v>
      </c>
    </row>
    <row r="78" spans="1:37" ht="21" customHeight="1">
      <c r="A78" s="16"/>
      <c r="B78" s="19"/>
      <c r="C78" s="20" t="s">
        <v>76</v>
      </c>
      <c r="D78" s="7" t="s">
        <v>40</v>
      </c>
      <c r="E78" s="10">
        <v>286.91268700000001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5">
        <f t="shared" si="3"/>
        <v>286.91268700000001</v>
      </c>
    </row>
    <row r="79" spans="1:37" ht="21" customHeight="1">
      <c r="A79" s="16"/>
      <c r="B79" s="19"/>
      <c r="C79" s="20"/>
      <c r="D79" s="7" t="s">
        <v>50</v>
      </c>
      <c r="E79" s="10">
        <v>-12.192686999999999</v>
      </c>
      <c r="F79" s="10">
        <v>0</v>
      </c>
      <c r="G79" s="10">
        <v>0</v>
      </c>
      <c r="H79" s="10">
        <v>0</v>
      </c>
      <c r="I79" s="10">
        <v>0</v>
      </c>
      <c r="J79" s="10">
        <v>8.4640000000000004</v>
      </c>
      <c r="K79" s="10">
        <v>3.36</v>
      </c>
      <c r="L79" s="10">
        <v>-2.56</v>
      </c>
      <c r="M79" s="10">
        <v>-1.5840000000000001</v>
      </c>
      <c r="N79" s="10">
        <v>0.08</v>
      </c>
      <c r="O79" s="10">
        <v>0</v>
      </c>
      <c r="P79" s="10">
        <v>0</v>
      </c>
      <c r="Q79" s="10">
        <v>5.2480000000000002</v>
      </c>
      <c r="R79" s="10">
        <v>-4.5599999999999996</v>
      </c>
      <c r="S79" s="10">
        <v>-2.4</v>
      </c>
      <c r="T79" s="10">
        <v>-1.92</v>
      </c>
      <c r="U79" s="10">
        <v>-3.056</v>
      </c>
      <c r="V79" s="10">
        <v>0</v>
      </c>
      <c r="W79" s="10">
        <v>0</v>
      </c>
      <c r="X79" s="10">
        <v>-4.8159999999999998</v>
      </c>
      <c r="Y79" s="10">
        <v>2.6080000000000001</v>
      </c>
      <c r="Z79" s="10">
        <v>-6.4</v>
      </c>
      <c r="AA79" s="10">
        <v>-0.57599999999999996</v>
      </c>
      <c r="AB79" s="10">
        <v>-2.992</v>
      </c>
      <c r="AC79" s="10">
        <v>0</v>
      </c>
      <c r="AD79" s="10">
        <v>0</v>
      </c>
      <c r="AE79" s="10">
        <v>-0.60799999999999998</v>
      </c>
      <c r="AF79" s="10">
        <v>-4.992</v>
      </c>
      <c r="AG79" s="10">
        <v>4.8000000000000001E-2</v>
      </c>
      <c r="AH79" s="10">
        <v>25.808</v>
      </c>
      <c r="AI79" s="10">
        <v>-10.256</v>
      </c>
      <c r="AJ79" s="10">
        <v>0</v>
      </c>
      <c r="AK79" s="5">
        <f t="shared" si="3"/>
        <v>104.52868700000001</v>
      </c>
    </row>
    <row r="80" spans="1:37" ht="21" hidden="1" customHeight="1">
      <c r="A80" s="16"/>
      <c r="B80" s="19"/>
      <c r="C80" s="20"/>
      <c r="D80" s="7" t="s">
        <v>51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8.4640000000000004</v>
      </c>
      <c r="K80" s="10">
        <v>3.36</v>
      </c>
      <c r="L80" s="10">
        <v>-2.56</v>
      </c>
      <c r="M80" s="10">
        <v>-1.5840000000000001</v>
      </c>
      <c r="N80" s="10">
        <v>0.08</v>
      </c>
      <c r="O80" s="10">
        <v>0</v>
      </c>
      <c r="P80" s="10">
        <v>0</v>
      </c>
      <c r="Q80" s="10">
        <v>5.2480000000000002</v>
      </c>
      <c r="R80" s="10">
        <v>-4.5599999999999996</v>
      </c>
      <c r="S80" s="10">
        <v>-2.4</v>
      </c>
      <c r="T80" s="10">
        <v>-1.92</v>
      </c>
      <c r="U80" s="10">
        <v>-3.056</v>
      </c>
      <c r="V80" s="10">
        <v>0</v>
      </c>
      <c r="W80" s="10">
        <v>0</v>
      </c>
      <c r="X80" s="10">
        <v>-4.8159999999999998</v>
      </c>
      <c r="Y80" s="10">
        <v>2.6080000000000001</v>
      </c>
      <c r="Z80" s="10">
        <v>-6.4</v>
      </c>
      <c r="AA80" s="10">
        <v>-0.57599999999999996</v>
      </c>
      <c r="AB80" s="10">
        <v>-2.992</v>
      </c>
      <c r="AC80" s="10">
        <v>0</v>
      </c>
      <c r="AD80" s="10">
        <v>0</v>
      </c>
      <c r="AE80" s="10">
        <v>-0.60799999999999998</v>
      </c>
      <c r="AF80" s="10">
        <v>-4.992</v>
      </c>
      <c r="AG80" s="10">
        <v>4.8000000000000001E-2</v>
      </c>
      <c r="AH80" s="10">
        <v>25.808</v>
      </c>
      <c r="AI80" s="10">
        <v>-10.256</v>
      </c>
      <c r="AJ80" s="10">
        <v>0</v>
      </c>
      <c r="AK80" s="5">
        <f t="shared" si="3"/>
        <v>92.335999999999999</v>
      </c>
    </row>
    <row r="81" spans="1:37" ht="21" customHeight="1">
      <c r="A81" s="16"/>
      <c r="B81" s="19"/>
      <c r="C81" s="20" t="s">
        <v>77</v>
      </c>
      <c r="D81" s="7" t="s">
        <v>40</v>
      </c>
      <c r="E81" s="10">
        <v>115.339173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-115.339173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5">
        <f t="shared" si="3"/>
        <v>230.678346</v>
      </c>
    </row>
    <row r="82" spans="1:37" ht="21" customHeight="1">
      <c r="A82" s="16"/>
      <c r="B82" s="19"/>
      <c r="C82" s="20"/>
      <c r="D82" s="7" t="s">
        <v>50</v>
      </c>
      <c r="E82" s="10">
        <v>-13.215052999999999</v>
      </c>
      <c r="F82" s="10">
        <v>0</v>
      </c>
      <c r="G82" s="10">
        <v>0</v>
      </c>
      <c r="H82" s="10">
        <v>0</v>
      </c>
      <c r="I82" s="10">
        <v>0</v>
      </c>
      <c r="J82" s="10">
        <v>2.44293</v>
      </c>
      <c r="K82" s="10">
        <v>0.77903</v>
      </c>
      <c r="L82" s="10">
        <v>0.93137999999999999</v>
      </c>
      <c r="M82" s="10">
        <v>0.25579000000000002</v>
      </c>
      <c r="N82" s="10">
        <v>0.15653</v>
      </c>
      <c r="O82" s="10">
        <v>0</v>
      </c>
      <c r="P82" s="10">
        <v>0</v>
      </c>
      <c r="Q82" s="10">
        <v>-0.47161999999999998</v>
      </c>
      <c r="R82" s="10">
        <v>0.44796999999999998</v>
      </c>
      <c r="S82" s="10">
        <v>8.9410000000000003E-2</v>
      </c>
      <c r="T82" s="10">
        <v>-0.61399999999999999</v>
      </c>
      <c r="U82" s="10">
        <v>-0.17244000000000001</v>
      </c>
      <c r="V82" s="10">
        <v>0</v>
      </c>
      <c r="W82" s="10">
        <v>0</v>
      </c>
      <c r="X82" s="10">
        <v>-1.37538</v>
      </c>
      <c r="Y82" s="10">
        <v>1.70303</v>
      </c>
      <c r="Z82" s="10">
        <v>-0.64215</v>
      </c>
      <c r="AA82" s="10">
        <v>0.14219999999999999</v>
      </c>
      <c r="AB82" s="10">
        <v>1.1366799999999999</v>
      </c>
      <c r="AC82" s="10">
        <v>0</v>
      </c>
      <c r="AD82" s="10">
        <v>0</v>
      </c>
      <c r="AE82" s="10">
        <v>8.4056929999999994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5">
        <f t="shared" si="3"/>
        <v>32.981285999999997</v>
      </c>
    </row>
    <row r="83" spans="1:37" ht="21" hidden="1" customHeight="1">
      <c r="A83" s="16"/>
      <c r="B83" s="19"/>
      <c r="C83" s="20"/>
      <c r="D83" s="7" t="s">
        <v>51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2.44293</v>
      </c>
      <c r="K83" s="10">
        <v>0.77903</v>
      </c>
      <c r="L83" s="10">
        <v>0.93137999999999999</v>
      </c>
      <c r="M83" s="10">
        <v>0.25579000000000002</v>
      </c>
      <c r="N83" s="10">
        <v>0.15653</v>
      </c>
      <c r="O83" s="10">
        <v>0</v>
      </c>
      <c r="P83" s="10">
        <v>0</v>
      </c>
      <c r="Q83" s="10">
        <v>-0.47161999999999998</v>
      </c>
      <c r="R83" s="10">
        <v>0.44796999999999998</v>
      </c>
      <c r="S83" s="10">
        <v>8.9410000000000003E-2</v>
      </c>
      <c r="T83" s="10">
        <v>-0.61399999999999999</v>
      </c>
      <c r="U83" s="10">
        <v>-0.17244000000000001</v>
      </c>
      <c r="V83" s="10">
        <v>0</v>
      </c>
      <c r="W83" s="10">
        <v>0</v>
      </c>
      <c r="X83" s="10">
        <v>-1.37538</v>
      </c>
      <c r="Y83" s="10">
        <v>1.70303</v>
      </c>
      <c r="Z83" s="10">
        <v>-0.64215</v>
      </c>
      <c r="AA83" s="10">
        <v>0.14219999999999999</v>
      </c>
      <c r="AB83" s="10">
        <v>1.1366799999999999</v>
      </c>
      <c r="AC83" s="10">
        <v>0</v>
      </c>
      <c r="AD83" s="10">
        <v>0</v>
      </c>
      <c r="AE83" s="10">
        <v>8.4056929999999994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5">
        <f t="shared" si="3"/>
        <v>19.766233</v>
      </c>
    </row>
    <row r="84" spans="1:37" ht="21" hidden="1" customHeight="1">
      <c r="A84" s="16"/>
      <c r="B84" s="19"/>
      <c r="C84" s="20"/>
      <c r="D84" s="7" t="s">
        <v>58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-7.8039209999999999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5">
        <f t="shared" si="3"/>
        <v>7.8039209999999999</v>
      </c>
    </row>
    <row r="85" spans="1:37" ht="21" customHeight="1">
      <c r="A85" s="16"/>
      <c r="B85" s="19"/>
      <c r="C85" s="20"/>
      <c r="D85" s="7" t="s">
        <v>37</v>
      </c>
      <c r="E85" s="10">
        <v>1.2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5">
        <f t="shared" si="3"/>
        <v>1.2</v>
      </c>
    </row>
    <row r="86" spans="1:37" ht="21" hidden="1" customHeight="1">
      <c r="A86" s="16"/>
      <c r="B86" s="19"/>
      <c r="C86" s="9" t="s">
        <v>78</v>
      </c>
      <c r="D86" s="7" t="s">
        <v>79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-1.5455E-2</v>
      </c>
      <c r="K86" s="10">
        <v>-3.1229999999999999E-3</v>
      </c>
      <c r="L86" s="10">
        <v>-3.1410000000000001E-3</v>
      </c>
      <c r="M86" s="10">
        <v>-3.1329999999999999E-3</v>
      </c>
      <c r="N86" s="10">
        <v>-3.101E-3</v>
      </c>
      <c r="O86" s="10">
        <v>0</v>
      </c>
      <c r="P86" s="10">
        <v>0</v>
      </c>
      <c r="Q86" s="10">
        <v>-9.3209999999999994E-3</v>
      </c>
      <c r="R86" s="10">
        <v>-3.1199999999999999E-3</v>
      </c>
      <c r="S86" s="10">
        <v>-3.1280000000000001E-3</v>
      </c>
      <c r="T86" s="10">
        <v>-3.1319999999999998E-3</v>
      </c>
      <c r="U86" s="10">
        <v>-3.1340000000000001E-3</v>
      </c>
      <c r="V86" s="10">
        <v>0</v>
      </c>
      <c r="W86" s="10">
        <v>0</v>
      </c>
      <c r="X86" s="10">
        <v>-9.3539999999999995E-3</v>
      </c>
      <c r="Y86" s="10">
        <v>-3.1059999999999998E-3</v>
      </c>
      <c r="Z86" s="10">
        <v>-3.1210000000000001E-3</v>
      </c>
      <c r="AA86" s="10">
        <v>-3.1029999999999999E-3</v>
      </c>
      <c r="AB86" s="10">
        <v>-3.088E-3</v>
      </c>
      <c r="AC86" s="10">
        <v>0</v>
      </c>
      <c r="AD86" s="10">
        <v>0</v>
      </c>
      <c r="AE86" s="10">
        <v>-9.2519999999999998E-3</v>
      </c>
      <c r="AF86" s="10">
        <v>-3.1480000000000002E-3</v>
      </c>
      <c r="AG86" s="10">
        <v>-3.1879999999999999E-3</v>
      </c>
      <c r="AH86" s="10">
        <v>-3.2330000000000002E-3</v>
      </c>
      <c r="AI86" s="10">
        <v>-3.2629999999999998E-3</v>
      </c>
      <c r="AJ86" s="10">
        <v>0</v>
      </c>
      <c r="AK86" s="5">
        <f t="shared" si="3"/>
        <v>9.3644000000000005E-2</v>
      </c>
    </row>
    <row r="87" spans="1:37" ht="21" customHeight="1">
      <c r="A87" s="16"/>
      <c r="B87" s="19"/>
      <c r="C87" s="20" t="s">
        <v>80</v>
      </c>
      <c r="D87" s="7" t="s">
        <v>40</v>
      </c>
      <c r="E87" s="10">
        <v>368.76612899999998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5">
        <f t="shared" si="3"/>
        <v>368.76612899999998</v>
      </c>
    </row>
    <row r="88" spans="1:37" ht="21" customHeight="1">
      <c r="A88" s="16"/>
      <c r="B88" s="19"/>
      <c r="C88" s="20"/>
      <c r="D88" s="7" t="s">
        <v>50</v>
      </c>
      <c r="E88" s="10">
        <v>-35.202548999999998</v>
      </c>
      <c r="F88" s="10">
        <v>0</v>
      </c>
      <c r="G88" s="10">
        <v>0</v>
      </c>
      <c r="H88" s="10">
        <v>0</v>
      </c>
      <c r="I88" s="10">
        <v>0</v>
      </c>
      <c r="J88" s="10">
        <v>2.6789700000000001</v>
      </c>
      <c r="K88" s="10">
        <v>10.52163</v>
      </c>
      <c r="L88" s="10">
        <v>-4.2747599999999997</v>
      </c>
      <c r="M88" s="10">
        <v>-8.2604199999999999</v>
      </c>
      <c r="N88" s="10">
        <v>-0.63307999999999998</v>
      </c>
      <c r="O88" s="10">
        <v>0</v>
      </c>
      <c r="P88" s="10">
        <v>0</v>
      </c>
      <c r="Q88" s="10">
        <v>-0.70140000000000002</v>
      </c>
      <c r="R88" s="10">
        <v>-3.6869000000000001</v>
      </c>
      <c r="S88" s="10">
        <v>1.2517400000000001</v>
      </c>
      <c r="T88" s="10">
        <v>1.9147799999999999</v>
      </c>
      <c r="U88" s="10">
        <v>-3.3874399999999998</v>
      </c>
      <c r="V88" s="10">
        <v>0</v>
      </c>
      <c r="W88" s="10">
        <v>0</v>
      </c>
      <c r="X88" s="10">
        <v>-3.2366600000000001</v>
      </c>
      <c r="Y88" s="10">
        <v>0.99421000000000004</v>
      </c>
      <c r="Z88" s="10">
        <v>-4.6983300000000003</v>
      </c>
      <c r="AA88" s="10">
        <v>4.80816</v>
      </c>
      <c r="AB88" s="10">
        <v>-9.4455200000000001</v>
      </c>
      <c r="AC88" s="10">
        <v>0</v>
      </c>
      <c r="AD88" s="10">
        <v>0</v>
      </c>
      <c r="AE88" s="10">
        <v>-4.9635600000000002</v>
      </c>
      <c r="AF88" s="10">
        <v>0.37940000000000002</v>
      </c>
      <c r="AG88" s="10">
        <v>1.80264</v>
      </c>
      <c r="AH88" s="10">
        <v>16.000109999999999</v>
      </c>
      <c r="AI88" s="10">
        <v>-10.585050000000001</v>
      </c>
      <c r="AJ88" s="10">
        <v>0</v>
      </c>
      <c r="AK88" s="5">
        <f t="shared" si="3"/>
        <v>129.42730900000001</v>
      </c>
    </row>
    <row r="89" spans="1:37" ht="21" hidden="1" customHeight="1">
      <c r="A89" s="16"/>
      <c r="B89" s="19"/>
      <c r="C89" s="20"/>
      <c r="D89" s="7" t="s">
        <v>51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2.6789700000000001</v>
      </c>
      <c r="K89" s="10">
        <v>10.52163</v>
      </c>
      <c r="L89" s="10">
        <v>-4.2747599999999997</v>
      </c>
      <c r="M89" s="10">
        <v>-8.2604199999999999</v>
      </c>
      <c r="N89" s="10">
        <v>-0.63307999999999998</v>
      </c>
      <c r="O89" s="10">
        <v>0</v>
      </c>
      <c r="P89" s="10">
        <v>0</v>
      </c>
      <c r="Q89" s="10">
        <v>-0.70140000000000002</v>
      </c>
      <c r="R89" s="10">
        <v>-3.6869000000000001</v>
      </c>
      <c r="S89" s="10">
        <v>1.2517400000000001</v>
      </c>
      <c r="T89" s="10">
        <v>1.9147799999999999</v>
      </c>
      <c r="U89" s="10">
        <v>-3.3874399999999998</v>
      </c>
      <c r="V89" s="10">
        <v>0</v>
      </c>
      <c r="W89" s="10">
        <v>0</v>
      </c>
      <c r="X89" s="10">
        <v>-3.2366600000000001</v>
      </c>
      <c r="Y89" s="10">
        <v>0.99421000000000004</v>
      </c>
      <c r="Z89" s="10">
        <v>-4.6983300000000003</v>
      </c>
      <c r="AA89" s="10">
        <v>4.80816</v>
      </c>
      <c r="AB89" s="10">
        <v>-9.4455200000000001</v>
      </c>
      <c r="AC89" s="10">
        <v>0</v>
      </c>
      <c r="AD89" s="10">
        <v>0</v>
      </c>
      <c r="AE89" s="10">
        <v>-4.9635600000000002</v>
      </c>
      <c r="AF89" s="10">
        <v>0.37940000000000002</v>
      </c>
      <c r="AG89" s="10">
        <v>1.80264</v>
      </c>
      <c r="AH89" s="10">
        <v>16.000109999999999</v>
      </c>
      <c r="AI89" s="10">
        <v>-10.585050000000001</v>
      </c>
      <c r="AJ89" s="10">
        <v>0</v>
      </c>
      <c r="AK89" s="5">
        <f t="shared" si="3"/>
        <v>94.224760000000003</v>
      </c>
    </row>
    <row r="90" spans="1:37" ht="21" customHeight="1">
      <c r="A90" s="16"/>
      <c r="B90" s="19"/>
      <c r="C90" s="20" t="s">
        <v>81</v>
      </c>
      <c r="D90" s="7" t="s">
        <v>40</v>
      </c>
      <c r="E90" s="10">
        <v>259.59688999999997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-259.59688999999997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5">
        <f t="shared" si="3"/>
        <v>519.19377999999995</v>
      </c>
    </row>
    <row r="91" spans="1:37" ht="21" customHeight="1">
      <c r="A91" s="16"/>
      <c r="B91" s="19"/>
      <c r="C91" s="20"/>
      <c r="D91" s="7" t="s">
        <v>50</v>
      </c>
      <c r="E91" s="10">
        <v>-47.716889999999999</v>
      </c>
      <c r="F91" s="10">
        <v>0</v>
      </c>
      <c r="G91" s="10">
        <v>0</v>
      </c>
      <c r="H91" s="10">
        <v>0</v>
      </c>
      <c r="I91" s="10">
        <v>0</v>
      </c>
      <c r="J91" s="10">
        <v>3.92</v>
      </c>
      <c r="K91" s="10">
        <v>0.54</v>
      </c>
      <c r="L91" s="10">
        <v>-1.3</v>
      </c>
      <c r="M91" s="10">
        <v>-1.24</v>
      </c>
      <c r="N91" s="10">
        <v>0.48</v>
      </c>
      <c r="O91" s="10">
        <v>0</v>
      </c>
      <c r="P91" s="10">
        <v>0</v>
      </c>
      <c r="Q91" s="10">
        <v>2.82</v>
      </c>
      <c r="R91" s="10">
        <v>-1.1000000000000001</v>
      </c>
      <c r="S91" s="10">
        <v>-1.92</v>
      </c>
      <c r="T91" s="10">
        <v>-1.9</v>
      </c>
      <c r="U91" s="10">
        <v>-1.86</v>
      </c>
      <c r="V91" s="10">
        <v>0</v>
      </c>
      <c r="W91" s="10">
        <v>0</v>
      </c>
      <c r="X91" s="10">
        <v>-1.22</v>
      </c>
      <c r="Y91" s="10">
        <v>0.72</v>
      </c>
      <c r="Z91" s="10">
        <v>49.776890000000002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5">
        <f t="shared" si="3"/>
        <v>116.51378</v>
      </c>
    </row>
    <row r="92" spans="1:37" ht="21" hidden="1" customHeight="1">
      <c r="A92" s="16"/>
      <c r="B92" s="19"/>
      <c r="C92" s="20"/>
      <c r="D92" s="7" t="s">
        <v>51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3.92</v>
      </c>
      <c r="K92" s="10">
        <v>0.54</v>
      </c>
      <c r="L92" s="10">
        <v>-1.3</v>
      </c>
      <c r="M92" s="10">
        <v>-1.24</v>
      </c>
      <c r="N92" s="10">
        <v>0.48</v>
      </c>
      <c r="O92" s="10">
        <v>0</v>
      </c>
      <c r="P92" s="10">
        <v>0</v>
      </c>
      <c r="Q92" s="10">
        <v>2.82</v>
      </c>
      <c r="R92" s="10">
        <v>-1.1000000000000001</v>
      </c>
      <c r="S92" s="10">
        <v>-1.92</v>
      </c>
      <c r="T92" s="10">
        <v>-1.9</v>
      </c>
      <c r="U92" s="10">
        <v>-1.86</v>
      </c>
      <c r="V92" s="10">
        <v>0</v>
      </c>
      <c r="W92" s="10">
        <v>0</v>
      </c>
      <c r="X92" s="10">
        <v>-1.22</v>
      </c>
      <c r="Y92" s="10">
        <v>0.72</v>
      </c>
      <c r="Z92" s="10">
        <v>49.776890000000002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5">
        <f t="shared" si="3"/>
        <v>68.796890000000005</v>
      </c>
    </row>
    <row r="93" spans="1:37" ht="21" hidden="1" customHeight="1">
      <c r="A93" s="16"/>
      <c r="B93" s="19"/>
      <c r="C93" s="20"/>
      <c r="D93" s="7" t="s">
        <v>58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-53.681213999999997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5">
        <f t="shared" si="3"/>
        <v>53.681213999999997</v>
      </c>
    </row>
    <row r="94" spans="1:37" ht="21" hidden="1" customHeight="1">
      <c r="A94" s="16"/>
      <c r="B94" s="19"/>
      <c r="C94" s="9" t="s">
        <v>82</v>
      </c>
      <c r="D94" s="7" t="s">
        <v>70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15.195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5">
        <f t="shared" si="3"/>
        <v>15.195</v>
      </c>
    </row>
    <row r="95" spans="1:37" ht="21" customHeight="1">
      <c r="A95" s="16"/>
      <c r="B95" s="19"/>
      <c r="C95" s="20" t="s">
        <v>83</v>
      </c>
      <c r="D95" s="7" t="s">
        <v>40</v>
      </c>
      <c r="E95" s="10">
        <v>297.18518399999999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5">
        <f t="shared" si="3"/>
        <v>297.18518399999999</v>
      </c>
    </row>
    <row r="96" spans="1:37" ht="21" customHeight="1">
      <c r="A96" s="16"/>
      <c r="B96" s="19"/>
      <c r="C96" s="20"/>
      <c r="D96" s="7" t="s">
        <v>50</v>
      </c>
      <c r="E96" s="10">
        <v>-21.503903999999999</v>
      </c>
      <c r="F96" s="10">
        <v>0</v>
      </c>
      <c r="G96" s="10">
        <v>0</v>
      </c>
      <c r="H96" s="10">
        <v>0</v>
      </c>
      <c r="I96" s="10">
        <v>0</v>
      </c>
      <c r="J96" s="10">
        <v>-5.4528299999999996</v>
      </c>
      <c r="K96" s="10">
        <v>1.7364299999999999</v>
      </c>
      <c r="L96" s="10">
        <v>2.2417199999999999</v>
      </c>
      <c r="M96" s="10">
        <v>4.4671500000000002</v>
      </c>
      <c r="N96" s="10">
        <v>4.8469499999999996</v>
      </c>
      <c r="O96" s="10">
        <v>0</v>
      </c>
      <c r="P96" s="10">
        <v>0</v>
      </c>
      <c r="Q96" s="10">
        <v>0.74273999999999996</v>
      </c>
      <c r="R96" s="10">
        <v>-1.5490200000000001</v>
      </c>
      <c r="S96" s="10">
        <v>1.60938</v>
      </c>
      <c r="T96" s="10">
        <v>-0.77298</v>
      </c>
      <c r="U96" s="10">
        <v>0.58218000000000003</v>
      </c>
      <c r="V96" s="10">
        <v>0</v>
      </c>
      <c r="W96" s="10">
        <v>0</v>
      </c>
      <c r="X96" s="10">
        <v>0.97643999999999997</v>
      </c>
      <c r="Y96" s="10">
        <v>-2.0976900000000001</v>
      </c>
      <c r="Z96" s="10">
        <v>0.51705000000000001</v>
      </c>
      <c r="AA96" s="10">
        <v>4.3992000000000004</v>
      </c>
      <c r="AB96" s="10">
        <v>2.6133000000000002</v>
      </c>
      <c r="AC96" s="10">
        <v>0</v>
      </c>
      <c r="AD96" s="10">
        <v>0</v>
      </c>
      <c r="AE96" s="10">
        <v>-0.77088000000000001</v>
      </c>
      <c r="AF96" s="10">
        <v>-3.7060200000000001</v>
      </c>
      <c r="AG96" s="10">
        <v>2.6112600000000001</v>
      </c>
      <c r="AH96" s="10">
        <v>5.604E-2</v>
      </c>
      <c r="AI96" s="10">
        <v>3.4690500000000002</v>
      </c>
      <c r="AJ96" s="10">
        <v>0</v>
      </c>
      <c r="AK96" s="5">
        <f t="shared" si="3"/>
        <v>66.722213999999994</v>
      </c>
    </row>
    <row r="97" spans="1:37" ht="21" hidden="1" customHeight="1">
      <c r="A97" s="16"/>
      <c r="B97" s="19"/>
      <c r="C97" s="20"/>
      <c r="D97" s="7" t="s">
        <v>51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-5.4528299999999996</v>
      </c>
      <c r="K97" s="10">
        <v>1.7364299999999999</v>
      </c>
      <c r="L97" s="10">
        <v>2.2417199999999999</v>
      </c>
      <c r="M97" s="10">
        <v>4.4671500000000002</v>
      </c>
      <c r="N97" s="10">
        <v>4.8469499999999996</v>
      </c>
      <c r="O97" s="10">
        <v>0</v>
      </c>
      <c r="P97" s="10">
        <v>0</v>
      </c>
      <c r="Q97" s="10">
        <v>0.74273999999999996</v>
      </c>
      <c r="R97" s="10">
        <v>-1.5490200000000001</v>
      </c>
      <c r="S97" s="10">
        <v>1.60938</v>
      </c>
      <c r="T97" s="10">
        <v>-0.77298</v>
      </c>
      <c r="U97" s="10">
        <v>0.58218000000000003</v>
      </c>
      <c r="V97" s="10">
        <v>0</v>
      </c>
      <c r="W97" s="10">
        <v>0</v>
      </c>
      <c r="X97" s="10">
        <v>0.97643999999999997</v>
      </c>
      <c r="Y97" s="10">
        <v>-2.0976900000000001</v>
      </c>
      <c r="Z97" s="10">
        <v>0.51705000000000001</v>
      </c>
      <c r="AA97" s="10">
        <v>4.3992000000000004</v>
      </c>
      <c r="AB97" s="10">
        <v>2.6133000000000002</v>
      </c>
      <c r="AC97" s="10">
        <v>0</v>
      </c>
      <c r="AD97" s="10">
        <v>0</v>
      </c>
      <c r="AE97" s="10">
        <v>-0.77088000000000001</v>
      </c>
      <c r="AF97" s="10">
        <v>-3.7060200000000001</v>
      </c>
      <c r="AG97" s="10">
        <v>2.6112600000000001</v>
      </c>
      <c r="AH97" s="10">
        <v>5.604E-2</v>
      </c>
      <c r="AI97" s="10">
        <v>3.4690500000000002</v>
      </c>
      <c r="AJ97" s="10">
        <v>0</v>
      </c>
      <c r="AK97" s="5">
        <f t="shared" si="3"/>
        <v>45.218310000000002</v>
      </c>
    </row>
    <row r="98" spans="1:37" ht="21" customHeight="1">
      <c r="A98" s="16"/>
      <c r="B98" s="19"/>
      <c r="C98" s="20" t="s">
        <v>84</v>
      </c>
      <c r="D98" s="7" t="s">
        <v>40</v>
      </c>
      <c r="E98" s="10">
        <v>634.79066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93.438987999999995</v>
      </c>
      <c r="AH98" s="10">
        <v>0</v>
      </c>
      <c r="AI98" s="10">
        <v>0</v>
      </c>
      <c r="AJ98" s="10">
        <v>0</v>
      </c>
      <c r="AK98" s="5">
        <f t="shared" si="3"/>
        <v>728.229648</v>
      </c>
    </row>
    <row r="99" spans="1:37" ht="21" customHeight="1">
      <c r="A99" s="16"/>
      <c r="B99" s="19"/>
      <c r="C99" s="20"/>
      <c r="D99" s="7" t="s">
        <v>50</v>
      </c>
      <c r="E99" s="10">
        <v>-2.9906600000000001</v>
      </c>
      <c r="F99" s="10">
        <v>0</v>
      </c>
      <c r="G99" s="10">
        <v>0</v>
      </c>
      <c r="H99" s="10">
        <v>0</v>
      </c>
      <c r="I99" s="10">
        <v>0</v>
      </c>
      <c r="J99" s="10">
        <v>-0.3</v>
      </c>
      <c r="K99" s="10">
        <v>12.3</v>
      </c>
      <c r="L99" s="10">
        <v>-6.6</v>
      </c>
      <c r="M99" s="10">
        <v>-9.6</v>
      </c>
      <c r="N99" s="10">
        <v>-2.4</v>
      </c>
      <c r="O99" s="10">
        <v>0</v>
      </c>
      <c r="P99" s="10">
        <v>0</v>
      </c>
      <c r="Q99" s="10">
        <v>2.4</v>
      </c>
      <c r="R99" s="10">
        <v>2.7</v>
      </c>
      <c r="S99" s="10">
        <v>-15</v>
      </c>
      <c r="T99" s="10">
        <v>-5.7</v>
      </c>
      <c r="U99" s="10">
        <v>-7.2</v>
      </c>
      <c r="V99" s="10">
        <v>0</v>
      </c>
      <c r="W99" s="10">
        <v>0</v>
      </c>
      <c r="X99" s="10">
        <v>0</v>
      </c>
      <c r="Y99" s="10">
        <v>0.3</v>
      </c>
      <c r="Z99" s="10">
        <v>-14.4</v>
      </c>
      <c r="AA99" s="10">
        <v>-7.8</v>
      </c>
      <c r="AB99" s="10">
        <v>-6.9</v>
      </c>
      <c r="AC99" s="10">
        <v>0</v>
      </c>
      <c r="AD99" s="10">
        <v>0</v>
      </c>
      <c r="AE99" s="10">
        <v>-7.2</v>
      </c>
      <c r="AF99" s="10">
        <v>-1.8</v>
      </c>
      <c r="AG99" s="10">
        <v>-8.6034880000000005</v>
      </c>
      <c r="AH99" s="10">
        <v>11.9034</v>
      </c>
      <c r="AI99" s="10">
        <v>-6.6519000000000004</v>
      </c>
      <c r="AJ99" s="10">
        <v>0</v>
      </c>
      <c r="AK99" s="5">
        <f t="shared" si="3"/>
        <v>132.749448</v>
      </c>
    </row>
    <row r="100" spans="1:37" ht="21" hidden="1" customHeight="1">
      <c r="A100" s="16"/>
      <c r="B100" s="19"/>
      <c r="C100" s="20"/>
      <c r="D100" s="7" t="s">
        <v>51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-0.3</v>
      </c>
      <c r="K100" s="10">
        <v>12.3</v>
      </c>
      <c r="L100" s="10">
        <v>-6.6</v>
      </c>
      <c r="M100" s="10">
        <v>-9.6</v>
      </c>
      <c r="N100" s="10">
        <v>-2.4</v>
      </c>
      <c r="O100" s="10">
        <v>0</v>
      </c>
      <c r="P100" s="10">
        <v>0</v>
      </c>
      <c r="Q100" s="10">
        <v>2.4</v>
      </c>
      <c r="R100" s="10">
        <v>2.7</v>
      </c>
      <c r="S100" s="10">
        <v>-15</v>
      </c>
      <c r="T100" s="10">
        <v>-5.7</v>
      </c>
      <c r="U100" s="10">
        <v>-7.2</v>
      </c>
      <c r="V100" s="10">
        <v>0</v>
      </c>
      <c r="W100" s="10">
        <v>0</v>
      </c>
      <c r="X100" s="10">
        <v>0</v>
      </c>
      <c r="Y100" s="10">
        <v>0.3</v>
      </c>
      <c r="Z100" s="10">
        <v>-14.4</v>
      </c>
      <c r="AA100" s="10">
        <v>-7.8</v>
      </c>
      <c r="AB100" s="10">
        <v>-6.9</v>
      </c>
      <c r="AC100" s="10">
        <v>0</v>
      </c>
      <c r="AD100" s="10">
        <v>0</v>
      </c>
      <c r="AE100" s="10">
        <v>-7.2</v>
      </c>
      <c r="AF100" s="10">
        <v>-1.8</v>
      </c>
      <c r="AG100" s="10">
        <v>-8.6034880000000005</v>
      </c>
      <c r="AH100" s="10">
        <v>11.9034</v>
      </c>
      <c r="AI100" s="10">
        <v>-6.6519000000000004</v>
      </c>
      <c r="AJ100" s="10">
        <v>0</v>
      </c>
      <c r="AK100" s="5">
        <f t="shared" si="3"/>
        <v>129.75878800000001</v>
      </c>
    </row>
    <row r="101" spans="1:37" ht="21" customHeight="1">
      <c r="A101" s="16"/>
      <c r="B101" s="19"/>
      <c r="C101" s="20" t="s">
        <v>85</v>
      </c>
      <c r="D101" s="7" t="s">
        <v>40</v>
      </c>
      <c r="E101" s="10">
        <v>263.79599000000002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-263.79599000000002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5">
        <f t="shared" si="3"/>
        <v>527.59198000000004</v>
      </c>
    </row>
    <row r="102" spans="1:37" ht="21" customHeight="1">
      <c r="A102" s="16"/>
      <c r="B102" s="19"/>
      <c r="C102" s="20"/>
      <c r="D102" s="7" t="s">
        <v>50</v>
      </c>
      <c r="E102" s="10">
        <v>-26.43599</v>
      </c>
      <c r="F102" s="10">
        <v>0</v>
      </c>
      <c r="G102" s="10">
        <v>0</v>
      </c>
      <c r="H102" s="10">
        <v>0</v>
      </c>
      <c r="I102" s="10">
        <v>0</v>
      </c>
      <c r="J102" s="10">
        <v>3.3</v>
      </c>
      <c r="K102" s="10">
        <v>0.78</v>
      </c>
      <c r="L102" s="10">
        <v>-2.76</v>
      </c>
      <c r="M102" s="10">
        <v>-0.54</v>
      </c>
      <c r="N102" s="10">
        <v>0.9</v>
      </c>
      <c r="O102" s="10">
        <v>0</v>
      </c>
      <c r="P102" s="10">
        <v>0</v>
      </c>
      <c r="Q102" s="10">
        <v>2.04</v>
      </c>
      <c r="R102" s="10">
        <v>-3.72</v>
      </c>
      <c r="S102" s="10">
        <v>-1.32</v>
      </c>
      <c r="T102" s="10">
        <v>-1.56</v>
      </c>
      <c r="U102" s="10">
        <v>-0.54</v>
      </c>
      <c r="V102" s="10">
        <v>0</v>
      </c>
      <c r="W102" s="10">
        <v>0</v>
      </c>
      <c r="X102" s="10">
        <v>1.5</v>
      </c>
      <c r="Y102" s="10">
        <v>3.84</v>
      </c>
      <c r="Z102" s="10">
        <v>-5.52</v>
      </c>
      <c r="AA102" s="10">
        <v>30.035990000000002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5">
        <f t="shared" si="3"/>
        <v>84.791979999999995</v>
      </c>
    </row>
    <row r="103" spans="1:37" ht="21" hidden="1" customHeight="1">
      <c r="A103" s="16"/>
      <c r="B103" s="19"/>
      <c r="C103" s="20"/>
      <c r="D103" s="7" t="s">
        <v>51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3.3</v>
      </c>
      <c r="K103" s="10">
        <v>0.78</v>
      </c>
      <c r="L103" s="10">
        <v>-2.76</v>
      </c>
      <c r="M103" s="10">
        <v>-0.54</v>
      </c>
      <c r="N103" s="10">
        <v>0.9</v>
      </c>
      <c r="O103" s="10">
        <v>0</v>
      </c>
      <c r="P103" s="10">
        <v>0</v>
      </c>
      <c r="Q103" s="10">
        <v>2.04</v>
      </c>
      <c r="R103" s="10">
        <v>-3.72</v>
      </c>
      <c r="S103" s="10">
        <v>-1.32</v>
      </c>
      <c r="T103" s="10">
        <v>-1.56</v>
      </c>
      <c r="U103" s="10">
        <v>-0.54</v>
      </c>
      <c r="V103" s="10">
        <v>0</v>
      </c>
      <c r="W103" s="10">
        <v>0</v>
      </c>
      <c r="X103" s="10">
        <v>1.5</v>
      </c>
      <c r="Y103" s="10">
        <v>3.84</v>
      </c>
      <c r="Z103" s="10">
        <v>-5.52</v>
      </c>
      <c r="AA103" s="10">
        <v>30.035990000000002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5">
        <f t="shared" si="3"/>
        <v>58.355989999999998</v>
      </c>
    </row>
    <row r="104" spans="1:37" ht="21" hidden="1" customHeight="1">
      <c r="A104" s="16"/>
      <c r="B104" s="19"/>
      <c r="C104" s="20"/>
      <c r="D104" s="7" t="s">
        <v>58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-31.027370000000001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5">
        <f t="shared" si="3"/>
        <v>31.027370000000001</v>
      </c>
    </row>
    <row r="105" spans="1:37" ht="21" customHeight="1">
      <c r="A105" s="16"/>
      <c r="B105" s="19"/>
      <c r="C105" s="20" t="s">
        <v>86</v>
      </c>
      <c r="D105" s="7" t="s">
        <v>40</v>
      </c>
      <c r="E105" s="10">
        <v>630.73252300000001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107.01526</v>
      </c>
      <c r="AH105" s="10">
        <v>0</v>
      </c>
      <c r="AI105" s="10">
        <v>0</v>
      </c>
      <c r="AJ105" s="10">
        <v>0</v>
      </c>
      <c r="AK105" s="5">
        <f t="shared" si="3"/>
        <v>737.74778300000003</v>
      </c>
    </row>
    <row r="106" spans="1:37" ht="21" customHeight="1">
      <c r="A106" s="16"/>
      <c r="B106" s="19"/>
      <c r="C106" s="20"/>
      <c r="D106" s="7" t="s">
        <v>50</v>
      </c>
      <c r="E106" s="10">
        <v>0.76747699999998398</v>
      </c>
      <c r="F106" s="10">
        <v>0</v>
      </c>
      <c r="G106" s="10">
        <v>0</v>
      </c>
      <c r="H106" s="10">
        <v>0</v>
      </c>
      <c r="I106" s="10">
        <v>0</v>
      </c>
      <c r="J106" s="10">
        <v>3.75</v>
      </c>
      <c r="K106" s="10">
        <v>5.7</v>
      </c>
      <c r="L106" s="10">
        <v>-8.6999999999999993</v>
      </c>
      <c r="M106" s="10">
        <v>-8.5500000000000007</v>
      </c>
      <c r="N106" s="10">
        <v>-4.2</v>
      </c>
      <c r="O106" s="10">
        <v>0</v>
      </c>
      <c r="P106" s="10">
        <v>0</v>
      </c>
      <c r="Q106" s="10">
        <v>-2.7</v>
      </c>
      <c r="R106" s="10">
        <v>0.15</v>
      </c>
      <c r="S106" s="10">
        <v>-15.9</v>
      </c>
      <c r="T106" s="10">
        <v>0.6</v>
      </c>
      <c r="U106" s="10">
        <v>-20.85</v>
      </c>
      <c r="V106" s="10">
        <v>0</v>
      </c>
      <c r="W106" s="10">
        <v>0</v>
      </c>
      <c r="X106" s="10">
        <v>-2.5499999999999998</v>
      </c>
      <c r="Y106" s="10">
        <v>2.7</v>
      </c>
      <c r="Z106" s="10">
        <v>-7.35</v>
      </c>
      <c r="AA106" s="10">
        <v>-5.85</v>
      </c>
      <c r="AB106" s="10">
        <v>-5.25</v>
      </c>
      <c r="AC106" s="10">
        <v>0</v>
      </c>
      <c r="AD106" s="10">
        <v>0</v>
      </c>
      <c r="AE106" s="10">
        <v>7.8</v>
      </c>
      <c r="AF106" s="10">
        <v>1.2</v>
      </c>
      <c r="AG106" s="10">
        <v>-5.2972599999999996</v>
      </c>
      <c r="AH106" s="10">
        <v>13.001300000000001</v>
      </c>
      <c r="AI106" s="10">
        <v>2.4933999999999998</v>
      </c>
      <c r="AJ106" s="10">
        <v>0</v>
      </c>
      <c r="AK106" s="5">
        <f t="shared" si="3"/>
        <v>125.359437</v>
      </c>
    </row>
    <row r="107" spans="1:37" ht="21" hidden="1" customHeight="1">
      <c r="A107" s="16"/>
      <c r="B107" s="19"/>
      <c r="C107" s="20"/>
      <c r="D107" s="7" t="s">
        <v>51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3.75</v>
      </c>
      <c r="K107" s="10">
        <v>5.7</v>
      </c>
      <c r="L107" s="10">
        <v>-8.6999999999999993</v>
      </c>
      <c r="M107" s="10">
        <v>-8.5500000000000007</v>
      </c>
      <c r="N107" s="10">
        <v>-4.2</v>
      </c>
      <c r="O107" s="10">
        <v>0</v>
      </c>
      <c r="P107" s="10">
        <v>0</v>
      </c>
      <c r="Q107" s="10">
        <v>-2.7</v>
      </c>
      <c r="R107" s="10">
        <v>0.15</v>
      </c>
      <c r="S107" s="10">
        <v>-15.9</v>
      </c>
      <c r="T107" s="10">
        <v>0.6</v>
      </c>
      <c r="U107" s="10">
        <v>-20.85</v>
      </c>
      <c r="V107" s="10">
        <v>0</v>
      </c>
      <c r="W107" s="10">
        <v>0</v>
      </c>
      <c r="X107" s="10">
        <v>-2.5499999999999998</v>
      </c>
      <c r="Y107" s="10">
        <v>2.7</v>
      </c>
      <c r="Z107" s="10">
        <v>-7.35</v>
      </c>
      <c r="AA107" s="10">
        <v>-5.85</v>
      </c>
      <c r="AB107" s="10">
        <v>-5.25</v>
      </c>
      <c r="AC107" s="10">
        <v>0</v>
      </c>
      <c r="AD107" s="10">
        <v>0</v>
      </c>
      <c r="AE107" s="10">
        <v>7.8</v>
      </c>
      <c r="AF107" s="10">
        <v>1.2</v>
      </c>
      <c r="AG107" s="10">
        <v>-5.2972599999999996</v>
      </c>
      <c r="AH107" s="10">
        <v>13.001300000000001</v>
      </c>
      <c r="AI107" s="10">
        <v>2.4933999999999998</v>
      </c>
      <c r="AJ107" s="10">
        <v>0</v>
      </c>
      <c r="AK107" s="5">
        <f t="shared" ref="AK107:AK136" si="4">ROUND(ABS(E107)+ABS(F107)+ABS(G107)+ABS(H107)+ABS(I107)+ABS(J107)+ABS(K107)+ABS(L107)+ABS(M107)+ABS(N107)+ABS(O107)+ABS(P107)+ABS(Q107)+ABS(R107)+ABS(S107)+ABS(T107)+ABS(U107)+ABS(V107)+ABS(W107)+ABS(X107)+ABS(Y107)+ABS(Z107)+ABS(AA107)+ABS(AB107)+ABS(AC107)+ABS(AD107)+ABS(AE107)+ABS(AF107)+ABS(AG107)+ABS(AH107)+ABS(AI107)+ABS(AJ107),6)</f>
        <v>124.59196</v>
      </c>
    </row>
    <row r="108" spans="1:37" ht="21" customHeight="1">
      <c r="A108" s="16"/>
      <c r="B108" s="19"/>
      <c r="C108" s="20" t="s">
        <v>87</v>
      </c>
      <c r="D108" s="7" t="s">
        <v>40</v>
      </c>
      <c r="E108" s="10">
        <v>353.92173500000001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5">
        <f t="shared" si="4"/>
        <v>353.92173500000001</v>
      </c>
    </row>
    <row r="109" spans="1:37" ht="21" customHeight="1">
      <c r="A109" s="16"/>
      <c r="B109" s="19"/>
      <c r="C109" s="20"/>
      <c r="D109" s="7" t="s">
        <v>50</v>
      </c>
      <c r="E109" s="10">
        <v>32.139744999999998</v>
      </c>
      <c r="F109" s="10">
        <v>0</v>
      </c>
      <c r="G109" s="10">
        <v>0</v>
      </c>
      <c r="H109" s="10">
        <v>0</v>
      </c>
      <c r="I109" s="10">
        <v>0</v>
      </c>
      <c r="J109" s="10">
        <v>0.89922000000000002</v>
      </c>
      <c r="K109" s="10">
        <v>2.4899999999999999E-2</v>
      </c>
      <c r="L109" s="10">
        <v>-4.1716800000000003</v>
      </c>
      <c r="M109" s="10">
        <v>-7.4794200000000002</v>
      </c>
      <c r="N109" s="10">
        <v>-0.71094000000000002</v>
      </c>
      <c r="O109" s="10">
        <v>0</v>
      </c>
      <c r="P109" s="10">
        <v>0</v>
      </c>
      <c r="Q109" s="10">
        <v>0.99107999999999996</v>
      </c>
      <c r="R109" s="10">
        <v>1.51674</v>
      </c>
      <c r="S109" s="10">
        <v>-5.3646000000000003</v>
      </c>
      <c r="T109" s="10">
        <v>-6.3966599999999998</v>
      </c>
      <c r="U109" s="10">
        <v>-1.35822</v>
      </c>
      <c r="V109" s="10">
        <v>0</v>
      </c>
      <c r="W109" s="10">
        <v>0</v>
      </c>
      <c r="X109" s="10">
        <v>-4.4095800000000001</v>
      </c>
      <c r="Y109" s="10">
        <v>9.8926800000000004</v>
      </c>
      <c r="Z109" s="10">
        <v>-3.58236</v>
      </c>
      <c r="AA109" s="10">
        <v>-1.11456</v>
      </c>
      <c r="AB109" s="10">
        <v>-8.1720000000000001E-2</v>
      </c>
      <c r="AC109" s="10">
        <v>0</v>
      </c>
      <c r="AD109" s="10">
        <v>0</v>
      </c>
      <c r="AE109" s="10">
        <v>3.7902</v>
      </c>
      <c r="AF109" s="10">
        <v>6.1334400000000002</v>
      </c>
      <c r="AG109" s="10">
        <v>7.9421999999999997</v>
      </c>
      <c r="AH109" s="10">
        <v>8.0861999999999998</v>
      </c>
      <c r="AI109" s="10">
        <v>2.6684999999999999</v>
      </c>
      <c r="AJ109" s="10">
        <v>0</v>
      </c>
      <c r="AK109" s="5">
        <f t="shared" si="4"/>
        <v>108.754645</v>
      </c>
    </row>
    <row r="110" spans="1:37" ht="21" hidden="1" customHeight="1">
      <c r="A110" s="16"/>
      <c r="B110" s="19"/>
      <c r="C110" s="20"/>
      <c r="D110" s="7" t="s">
        <v>51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0.89922000000000002</v>
      </c>
      <c r="K110" s="10">
        <v>2.4899999999999999E-2</v>
      </c>
      <c r="L110" s="10">
        <v>-4.1716800000000003</v>
      </c>
      <c r="M110" s="10">
        <v>-7.4794200000000002</v>
      </c>
      <c r="N110" s="10">
        <v>-0.71094000000000002</v>
      </c>
      <c r="O110" s="10">
        <v>0</v>
      </c>
      <c r="P110" s="10">
        <v>0</v>
      </c>
      <c r="Q110" s="10">
        <v>0.99107999999999996</v>
      </c>
      <c r="R110" s="10">
        <v>1.51674</v>
      </c>
      <c r="S110" s="10">
        <v>-5.3646000000000003</v>
      </c>
      <c r="T110" s="10">
        <v>-6.3966599999999998</v>
      </c>
      <c r="U110" s="10">
        <v>-1.35822</v>
      </c>
      <c r="V110" s="10">
        <v>0</v>
      </c>
      <c r="W110" s="10">
        <v>0</v>
      </c>
      <c r="X110" s="10">
        <v>-4.4095800000000001</v>
      </c>
      <c r="Y110" s="10">
        <v>9.8926800000000004</v>
      </c>
      <c r="Z110" s="10">
        <v>-3.58236</v>
      </c>
      <c r="AA110" s="10">
        <v>-1.11456</v>
      </c>
      <c r="AB110" s="10">
        <v>-8.1720000000000001E-2</v>
      </c>
      <c r="AC110" s="10">
        <v>0</v>
      </c>
      <c r="AD110" s="10">
        <v>0</v>
      </c>
      <c r="AE110" s="10">
        <v>3.7902</v>
      </c>
      <c r="AF110" s="10">
        <v>6.1334400000000002</v>
      </c>
      <c r="AG110" s="10">
        <v>7.9421999999999997</v>
      </c>
      <c r="AH110" s="10">
        <v>8.0861999999999998</v>
      </c>
      <c r="AI110" s="10">
        <v>2.6684999999999999</v>
      </c>
      <c r="AJ110" s="10">
        <v>0</v>
      </c>
      <c r="AK110" s="5">
        <f t="shared" si="4"/>
        <v>76.614900000000006</v>
      </c>
    </row>
    <row r="111" spans="1:37" ht="21" customHeight="1">
      <c r="A111" s="16"/>
      <c r="B111" s="19"/>
      <c r="C111" s="20" t="s">
        <v>88</v>
      </c>
      <c r="D111" s="7" t="s">
        <v>40</v>
      </c>
      <c r="E111" s="10">
        <v>879.986087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5">
        <f t="shared" si="4"/>
        <v>879.986087</v>
      </c>
    </row>
    <row r="112" spans="1:37" ht="21" customHeight="1">
      <c r="A112" s="16"/>
      <c r="B112" s="19"/>
      <c r="C112" s="20"/>
      <c r="D112" s="7" t="s">
        <v>50</v>
      </c>
      <c r="E112" s="10">
        <v>-57.698467000000001</v>
      </c>
      <c r="F112" s="10">
        <v>0</v>
      </c>
      <c r="G112" s="10">
        <v>0</v>
      </c>
      <c r="H112" s="10">
        <v>0</v>
      </c>
      <c r="I112" s="10">
        <v>0</v>
      </c>
      <c r="J112" s="10">
        <v>0.38402999999999998</v>
      </c>
      <c r="K112" s="10">
        <v>10.33277</v>
      </c>
      <c r="L112" s="10">
        <v>-13.43136</v>
      </c>
      <c r="M112" s="10">
        <v>-4.8225600000000002</v>
      </c>
      <c r="N112" s="10">
        <v>-6.1118399999999999</v>
      </c>
      <c r="O112" s="10">
        <v>0</v>
      </c>
      <c r="P112" s="10">
        <v>0</v>
      </c>
      <c r="Q112" s="10">
        <v>2.8645</v>
      </c>
      <c r="R112" s="10">
        <v>-2.8791199999999999</v>
      </c>
      <c r="S112" s="10">
        <v>0</v>
      </c>
      <c r="T112" s="10">
        <v>-5.9901200000000001</v>
      </c>
      <c r="U112" s="10">
        <v>-14.298870000000001</v>
      </c>
      <c r="V112" s="10">
        <v>0</v>
      </c>
      <c r="W112" s="10">
        <v>0</v>
      </c>
      <c r="X112" s="10">
        <v>-10.89377</v>
      </c>
      <c r="Y112" s="10">
        <v>8.4942200000000003</v>
      </c>
      <c r="Z112" s="10">
        <v>-8.3711400000000005</v>
      </c>
      <c r="AA112" s="10">
        <v>7.1175600000000001</v>
      </c>
      <c r="AB112" s="10">
        <v>10.446160000000001</v>
      </c>
      <c r="AC112" s="10">
        <v>0</v>
      </c>
      <c r="AD112" s="10">
        <v>0</v>
      </c>
      <c r="AE112" s="10">
        <v>-5.9812799999999999</v>
      </c>
      <c r="AF112" s="10">
        <v>-15.7828</v>
      </c>
      <c r="AG112" s="10">
        <v>48.340519999999998</v>
      </c>
      <c r="AH112" s="10">
        <v>-2.1192199999999999</v>
      </c>
      <c r="AI112" s="10">
        <v>-6.0486000000000004</v>
      </c>
      <c r="AJ112" s="10">
        <v>0</v>
      </c>
      <c r="AK112" s="5">
        <f t="shared" si="4"/>
        <v>242.408907</v>
      </c>
    </row>
    <row r="113" spans="1:37" ht="21" hidden="1" customHeight="1">
      <c r="A113" s="16"/>
      <c r="B113" s="19"/>
      <c r="C113" s="20"/>
      <c r="D113" s="7" t="s">
        <v>51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0.38402999999999998</v>
      </c>
      <c r="K113" s="10">
        <v>10.33277</v>
      </c>
      <c r="L113" s="10">
        <v>-13.43136</v>
      </c>
      <c r="M113" s="10">
        <v>-4.8225600000000002</v>
      </c>
      <c r="N113" s="10">
        <v>-6.1118399999999999</v>
      </c>
      <c r="O113" s="10">
        <v>0</v>
      </c>
      <c r="P113" s="10">
        <v>0</v>
      </c>
      <c r="Q113" s="10">
        <v>2.8645</v>
      </c>
      <c r="R113" s="10">
        <v>-2.8791199999999999</v>
      </c>
      <c r="S113" s="10">
        <v>0</v>
      </c>
      <c r="T113" s="10">
        <v>-5.9901200000000001</v>
      </c>
      <c r="U113" s="10">
        <v>-14.298870000000001</v>
      </c>
      <c r="V113" s="10">
        <v>0</v>
      </c>
      <c r="W113" s="10">
        <v>0</v>
      </c>
      <c r="X113" s="10">
        <v>-10.89377</v>
      </c>
      <c r="Y113" s="10">
        <v>8.4942200000000003</v>
      </c>
      <c r="Z113" s="10">
        <v>-8.3711400000000005</v>
      </c>
      <c r="AA113" s="10">
        <v>7.1175600000000001</v>
      </c>
      <c r="AB113" s="10">
        <v>10.446160000000001</v>
      </c>
      <c r="AC113" s="10">
        <v>0</v>
      </c>
      <c r="AD113" s="10">
        <v>0</v>
      </c>
      <c r="AE113" s="10">
        <v>-5.9812799999999999</v>
      </c>
      <c r="AF113" s="10">
        <v>-15.7828</v>
      </c>
      <c r="AG113" s="10">
        <v>48.340519999999998</v>
      </c>
      <c r="AH113" s="10">
        <v>-2.1192199999999999</v>
      </c>
      <c r="AI113" s="10">
        <v>-6.0486000000000004</v>
      </c>
      <c r="AJ113" s="10">
        <v>0</v>
      </c>
      <c r="AK113" s="5">
        <f t="shared" si="4"/>
        <v>184.71044000000001</v>
      </c>
    </row>
    <row r="114" spans="1:37" ht="21" customHeight="1">
      <c r="A114" s="16"/>
      <c r="B114" s="19"/>
      <c r="C114" s="20" t="s">
        <v>89</v>
      </c>
      <c r="D114" s="7" t="s">
        <v>40</v>
      </c>
      <c r="E114" s="10">
        <v>995.02334099999996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5">
        <f t="shared" si="4"/>
        <v>995.02334099999996</v>
      </c>
    </row>
    <row r="115" spans="1:37" ht="21" customHeight="1">
      <c r="A115" s="16"/>
      <c r="B115" s="19"/>
      <c r="C115" s="20"/>
      <c r="D115" s="7" t="s">
        <v>50</v>
      </c>
      <c r="E115" s="10">
        <v>-129.283613</v>
      </c>
      <c r="F115" s="10">
        <v>0</v>
      </c>
      <c r="G115" s="10">
        <v>0</v>
      </c>
      <c r="H115" s="10">
        <v>0</v>
      </c>
      <c r="I115" s="10">
        <v>0</v>
      </c>
      <c r="J115" s="10">
        <v>13.840012</v>
      </c>
      <c r="K115" s="10">
        <v>14.60782</v>
      </c>
      <c r="L115" s="10">
        <v>1.4106240000000001</v>
      </c>
      <c r="M115" s="10">
        <v>-8.6168840000000007</v>
      </c>
      <c r="N115" s="10">
        <v>7.2062600000000003</v>
      </c>
      <c r="O115" s="10">
        <v>0</v>
      </c>
      <c r="P115" s="10">
        <v>0</v>
      </c>
      <c r="Q115" s="10">
        <v>-1.310184</v>
      </c>
      <c r="R115" s="10">
        <v>-11.473596000000001</v>
      </c>
      <c r="S115" s="10">
        <v>0</v>
      </c>
      <c r="T115" s="10">
        <v>-14.315924000000001</v>
      </c>
      <c r="U115" s="10">
        <v>-12.866116</v>
      </c>
      <c r="V115" s="10">
        <v>0</v>
      </c>
      <c r="W115" s="10">
        <v>0</v>
      </c>
      <c r="X115" s="10">
        <v>-1.39438</v>
      </c>
      <c r="Y115" s="10">
        <v>-3.9884599999999999</v>
      </c>
      <c r="Z115" s="10">
        <v>-9.7006440000000005</v>
      </c>
      <c r="AA115" s="10">
        <v>4.4506079999999999</v>
      </c>
      <c r="AB115" s="10">
        <v>16.413384000000001</v>
      </c>
      <c r="AC115" s="10">
        <v>0</v>
      </c>
      <c r="AD115" s="10">
        <v>0</v>
      </c>
      <c r="AE115" s="10">
        <v>-2.1175480000000002</v>
      </c>
      <c r="AF115" s="10">
        <v>-3.9909400000000002</v>
      </c>
      <c r="AG115" s="10">
        <v>41.830159999999999</v>
      </c>
      <c r="AH115" s="10">
        <v>-1.2071400000000001</v>
      </c>
      <c r="AI115" s="10">
        <v>-17.647680000000001</v>
      </c>
      <c r="AJ115" s="10">
        <v>0</v>
      </c>
      <c r="AK115" s="5">
        <f t="shared" si="4"/>
        <v>317.67197700000003</v>
      </c>
    </row>
    <row r="116" spans="1:37" ht="21" hidden="1" customHeight="1">
      <c r="A116" s="16"/>
      <c r="B116" s="19"/>
      <c r="C116" s="20"/>
      <c r="D116" s="7" t="s">
        <v>51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13.840012</v>
      </c>
      <c r="K116" s="10">
        <v>14.60782</v>
      </c>
      <c r="L116" s="10">
        <v>1.4106240000000001</v>
      </c>
      <c r="M116" s="10">
        <v>-8.6168840000000007</v>
      </c>
      <c r="N116" s="10">
        <v>7.2062600000000003</v>
      </c>
      <c r="O116" s="10">
        <v>0</v>
      </c>
      <c r="P116" s="10">
        <v>0</v>
      </c>
      <c r="Q116" s="10">
        <v>-1.310184</v>
      </c>
      <c r="R116" s="10">
        <v>-11.473596000000001</v>
      </c>
      <c r="S116" s="10">
        <v>0</v>
      </c>
      <c r="T116" s="10">
        <v>-14.315924000000001</v>
      </c>
      <c r="U116" s="10">
        <v>-12.866116</v>
      </c>
      <c r="V116" s="10">
        <v>0</v>
      </c>
      <c r="W116" s="10">
        <v>0</v>
      </c>
      <c r="X116" s="10">
        <v>-1.39438</v>
      </c>
      <c r="Y116" s="10">
        <v>-3.9884599999999999</v>
      </c>
      <c r="Z116" s="10">
        <v>-9.7006440000000005</v>
      </c>
      <c r="AA116" s="10">
        <v>4.4506079999999999</v>
      </c>
      <c r="AB116" s="10">
        <v>16.413384000000001</v>
      </c>
      <c r="AC116" s="10">
        <v>0</v>
      </c>
      <c r="AD116" s="10">
        <v>0</v>
      </c>
      <c r="AE116" s="10">
        <v>-2.1175480000000002</v>
      </c>
      <c r="AF116" s="10">
        <v>-3.9909400000000002</v>
      </c>
      <c r="AG116" s="10">
        <v>41.830159999999999</v>
      </c>
      <c r="AH116" s="10">
        <v>-1.2071400000000001</v>
      </c>
      <c r="AI116" s="10">
        <v>-17.647680000000001</v>
      </c>
      <c r="AJ116" s="10">
        <v>0</v>
      </c>
      <c r="AK116" s="5">
        <f t="shared" si="4"/>
        <v>188.388364</v>
      </c>
    </row>
    <row r="117" spans="1:37" ht="21" customHeight="1">
      <c r="A117" s="16"/>
      <c r="B117" s="19"/>
      <c r="C117" s="20" t="s">
        <v>90</v>
      </c>
      <c r="D117" s="7" t="s">
        <v>40</v>
      </c>
      <c r="E117" s="10">
        <v>509.04464999999999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-42.420388000000003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-42.420386999999998</v>
      </c>
      <c r="AG117" s="10">
        <v>0</v>
      </c>
      <c r="AH117" s="10">
        <v>0</v>
      </c>
      <c r="AI117" s="10">
        <v>0</v>
      </c>
      <c r="AJ117" s="10">
        <v>0</v>
      </c>
      <c r="AK117" s="5">
        <f t="shared" si="4"/>
        <v>593.88542500000005</v>
      </c>
    </row>
    <row r="118" spans="1:37" ht="21" customHeight="1">
      <c r="A118" s="16"/>
      <c r="B118" s="19"/>
      <c r="C118" s="20"/>
      <c r="D118" s="7" t="s">
        <v>50</v>
      </c>
      <c r="E118" s="10">
        <v>192.54266999999999</v>
      </c>
      <c r="F118" s="10">
        <v>0</v>
      </c>
      <c r="G118" s="10">
        <v>0</v>
      </c>
      <c r="H118" s="10">
        <v>0</v>
      </c>
      <c r="I118" s="10">
        <v>0</v>
      </c>
      <c r="J118" s="10">
        <v>34.765079999999998</v>
      </c>
      <c r="K118" s="10">
        <v>37.6188</v>
      </c>
      <c r="L118" s="10">
        <v>-9.4186800000000002</v>
      </c>
      <c r="M118" s="10">
        <v>-8.4985199999999992</v>
      </c>
      <c r="N118" s="10">
        <v>-3.5819999999999999</v>
      </c>
      <c r="O118" s="10">
        <v>0</v>
      </c>
      <c r="P118" s="10">
        <v>0</v>
      </c>
      <c r="Q118" s="10">
        <v>-16.288799999999998</v>
      </c>
      <c r="R118" s="10">
        <v>14.860799999999999</v>
      </c>
      <c r="S118" s="10">
        <v>-13.94796</v>
      </c>
      <c r="T118" s="10">
        <v>9.2032799999999995</v>
      </c>
      <c r="U118" s="10">
        <v>-10.234019999999999</v>
      </c>
      <c r="V118" s="10">
        <v>0</v>
      </c>
      <c r="W118" s="10">
        <v>0</v>
      </c>
      <c r="X118" s="10">
        <v>-2.9267400000000001</v>
      </c>
      <c r="Y118" s="10">
        <v>-13.310672</v>
      </c>
      <c r="Z118" s="10">
        <v>-5.5869</v>
      </c>
      <c r="AA118" s="10">
        <v>-14.80908</v>
      </c>
      <c r="AB118" s="10">
        <v>0.83467999999999998</v>
      </c>
      <c r="AC118" s="10">
        <v>0</v>
      </c>
      <c r="AD118" s="10">
        <v>0</v>
      </c>
      <c r="AE118" s="10">
        <v>10.87537</v>
      </c>
      <c r="AF118" s="10">
        <v>-4.5771829999999998</v>
      </c>
      <c r="AG118" s="10">
        <v>11.008100000000001</v>
      </c>
      <c r="AH118" s="10">
        <v>19.2714</v>
      </c>
      <c r="AI118" s="10">
        <v>-5.3369999999999997</v>
      </c>
      <c r="AJ118" s="10">
        <v>0</v>
      </c>
      <c r="AK118" s="5">
        <f t="shared" si="4"/>
        <v>439.49773499999998</v>
      </c>
    </row>
    <row r="119" spans="1:37" ht="21" hidden="1" customHeight="1">
      <c r="A119" s="16"/>
      <c r="B119" s="19"/>
      <c r="C119" s="20"/>
      <c r="D119" s="7" t="s">
        <v>51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34.765079999999998</v>
      </c>
      <c r="K119" s="10">
        <v>37.6188</v>
      </c>
      <c r="L119" s="10">
        <v>-9.4186800000000002</v>
      </c>
      <c r="M119" s="10">
        <v>-8.4985199999999992</v>
      </c>
      <c r="N119" s="10">
        <v>-3.5819999999999999</v>
      </c>
      <c r="O119" s="10">
        <v>0</v>
      </c>
      <c r="P119" s="10">
        <v>0</v>
      </c>
      <c r="Q119" s="10">
        <v>-16.288799999999998</v>
      </c>
      <c r="R119" s="10">
        <v>14.860799999999999</v>
      </c>
      <c r="S119" s="10">
        <v>-13.94796</v>
      </c>
      <c r="T119" s="10">
        <v>9.2032799999999995</v>
      </c>
      <c r="U119" s="10">
        <v>-10.234019999999999</v>
      </c>
      <c r="V119" s="10">
        <v>0</v>
      </c>
      <c r="W119" s="10">
        <v>0</v>
      </c>
      <c r="X119" s="10">
        <v>-2.9267400000000001</v>
      </c>
      <c r="Y119" s="10">
        <v>-13.310672</v>
      </c>
      <c r="Z119" s="10">
        <v>-5.5869</v>
      </c>
      <c r="AA119" s="10">
        <v>-14.80908</v>
      </c>
      <c r="AB119" s="10">
        <v>0.83467999999999998</v>
      </c>
      <c r="AC119" s="10">
        <v>0</v>
      </c>
      <c r="AD119" s="10">
        <v>0</v>
      </c>
      <c r="AE119" s="10">
        <v>10.87537</v>
      </c>
      <c r="AF119" s="10">
        <v>-4.5771829999999998</v>
      </c>
      <c r="AG119" s="10">
        <v>11.008100000000001</v>
      </c>
      <c r="AH119" s="10">
        <v>19.2714</v>
      </c>
      <c r="AI119" s="10">
        <v>-5.3369999999999997</v>
      </c>
      <c r="AJ119" s="10">
        <v>0</v>
      </c>
      <c r="AK119" s="5">
        <f t="shared" si="4"/>
        <v>246.95506499999999</v>
      </c>
    </row>
    <row r="120" spans="1:37" ht="21" hidden="1" customHeight="1">
      <c r="A120" s="16"/>
      <c r="B120" s="19"/>
      <c r="C120" s="20"/>
      <c r="D120" s="7" t="s">
        <v>58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19.136972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19.013475</v>
      </c>
      <c r="AG120" s="10">
        <v>0</v>
      </c>
      <c r="AH120" s="10">
        <v>0</v>
      </c>
      <c r="AI120" s="10">
        <v>0</v>
      </c>
      <c r="AJ120" s="10">
        <v>0</v>
      </c>
      <c r="AK120" s="5">
        <f t="shared" si="4"/>
        <v>38.150447</v>
      </c>
    </row>
    <row r="121" spans="1:37" ht="21" customHeight="1">
      <c r="A121" s="16"/>
      <c r="B121" s="19"/>
      <c r="C121" s="20" t="s">
        <v>91</v>
      </c>
      <c r="D121" s="7" t="s">
        <v>40</v>
      </c>
      <c r="E121" s="10">
        <v>212.14263299999999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306.241961</v>
      </c>
      <c r="AB121" s="10">
        <v>101.605209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5">
        <f t="shared" si="4"/>
        <v>619.98980300000005</v>
      </c>
    </row>
    <row r="122" spans="1:37" ht="21" customHeight="1">
      <c r="A122" s="16"/>
      <c r="B122" s="19"/>
      <c r="C122" s="20"/>
      <c r="D122" s="7" t="s">
        <v>50</v>
      </c>
      <c r="E122" s="10">
        <v>-4.6637530000000096</v>
      </c>
      <c r="F122" s="10">
        <v>0</v>
      </c>
      <c r="G122" s="10">
        <v>0</v>
      </c>
      <c r="H122" s="10">
        <v>0</v>
      </c>
      <c r="I122" s="10">
        <v>0</v>
      </c>
      <c r="J122" s="10">
        <v>0.22402</v>
      </c>
      <c r="K122" s="10">
        <v>0.1227</v>
      </c>
      <c r="L122" s="10">
        <v>0.60726000000000002</v>
      </c>
      <c r="M122" s="10">
        <v>-2.00786</v>
      </c>
      <c r="N122" s="10">
        <v>1.75892</v>
      </c>
      <c r="O122" s="10">
        <v>0</v>
      </c>
      <c r="P122" s="10">
        <v>0</v>
      </c>
      <c r="Q122" s="10">
        <v>-1.65856</v>
      </c>
      <c r="R122" s="10">
        <v>-1.06118</v>
      </c>
      <c r="S122" s="10">
        <v>0.71528000000000003</v>
      </c>
      <c r="T122" s="10">
        <v>-0.69230000000000003</v>
      </c>
      <c r="U122" s="10">
        <v>-0.33955999999999997</v>
      </c>
      <c r="V122" s="10">
        <v>0</v>
      </c>
      <c r="W122" s="10">
        <v>0</v>
      </c>
      <c r="X122" s="10">
        <v>-2.5698400000000001</v>
      </c>
      <c r="Y122" s="10">
        <v>2.5187400000000002</v>
      </c>
      <c r="Z122" s="10">
        <v>-1.8117000000000001</v>
      </c>
      <c r="AA122" s="10">
        <v>2.0476390000000002</v>
      </c>
      <c r="AB122" s="10">
        <v>-3.712329</v>
      </c>
      <c r="AC122" s="10">
        <v>0</v>
      </c>
      <c r="AD122" s="10">
        <v>0</v>
      </c>
      <c r="AE122" s="10">
        <v>-1.5385800000000001</v>
      </c>
      <c r="AF122" s="10">
        <v>-7.9695</v>
      </c>
      <c r="AG122" s="10">
        <v>13.24248</v>
      </c>
      <c r="AH122" s="10">
        <v>-6.9184799999999997</v>
      </c>
      <c r="AI122" s="10">
        <v>-5.3369999999999997</v>
      </c>
      <c r="AJ122" s="10">
        <v>0</v>
      </c>
      <c r="AK122" s="5">
        <f t="shared" si="4"/>
        <v>61.517681000000003</v>
      </c>
    </row>
    <row r="123" spans="1:37" ht="21" hidden="1" customHeight="1">
      <c r="A123" s="16"/>
      <c r="B123" s="19"/>
      <c r="C123" s="20"/>
      <c r="D123" s="7" t="s">
        <v>51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0.22402</v>
      </c>
      <c r="K123" s="10">
        <v>0.1227</v>
      </c>
      <c r="L123" s="10">
        <v>0.60726000000000002</v>
      </c>
      <c r="M123" s="10">
        <v>-2.00786</v>
      </c>
      <c r="N123" s="10">
        <v>1.75892</v>
      </c>
      <c r="O123" s="10">
        <v>0</v>
      </c>
      <c r="P123" s="10">
        <v>0</v>
      </c>
      <c r="Q123" s="10">
        <v>-1.65856</v>
      </c>
      <c r="R123" s="10">
        <v>-1.06118</v>
      </c>
      <c r="S123" s="10">
        <v>0.71528000000000003</v>
      </c>
      <c r="T123" s="10">
        <v>-0.69230000000000003</v>
      </c>
      <c r="U123" s="10">
        <v>-0.33955999999999997</v>
      </c>
      <c r="V123" s="10">
        <v>0</v>
      </c>
      <c r="W123" s="10">
        <v>0</v>
      </c>
      <c r="X123" s="10">
        <v>-2.5698400000000001</v>
      </c>
      <c r="Y123" s="10">
        <v>2.5187400000000002</v>
      </c>
      <c r="Z123" s="10">
        <v>-1.8117000000000001</v>
      </c>
      <c r="AA123" s="10">
        <v>2.0476390000000002</v>
      </c>
      <c r="AB123" s="10">
        <v>-3.712329</v>
      </c>
      <c r="AC123" s="10">
        <v>0</v>
      </c>
      <c r="AD123" s="10">
        <v>0</v>
      </c>
      <c r="AE123" s="10">
        <v>-1.5385800000000001</v>
      </c>
      <c r="AF123" s="10">
        <v>-7.9695</v>
      </c>
      <c r="AG123" s="10">
        <v>13.24248</v>
      </c>
      <c r="AH123" s="10">
        <v>-6.9184799999999997</v>
      </c>
      <c r="AI123" s="10">
        <v>-5.3369999999999997</v>
      </c>
      <c r="AJ123" s="10">
        <v>0</v>
      </c>
      <c r="AK123" s="5">
        <f t="shared" si="4"/>
        <v>56.853928000000003</v>
      </c>
    </row>
    <row r="124" spans="1:37" ht="21" customHeight="1">
      <c r="A124" s="16"/>
      <c r="B124" s="19"/>
      <c r="C124" s="20" t="s">
        <v>92</v>
      </c>
      <c r="D124" s="7" t="s">
        <v>40</v>
      </c>
      <c r="E124" s="10">
        <v>965.34858099999997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5">
        <f t="shared" si="4"/>
        <v>965.34858099999997</v>
      </c>
    </row>
    <row r="125" spans="1:37" ht="21" customHeight="1">
      <c r="A125" s="16"/>
      <c r="B125" s="19"/>
      <c r="C125" s="20"/>
      <c r="D125" s="7" t="s">
        <v>50</v>
      </c>
      <c r="E125" s="10">
        <v>-85.537621000000001</v>
      </c>
      <c r="F125" s="10">
        <v>0</v>
      </c>
      <c r="G125" s="10">
        <v>0</v>
      </c>
      <c r="H125" s="10">
        <v>0</v>
      </c>
      <c r="I125" s="10">
        <v>0</v>
      </c>
      <c r="J125" s="10">
        <v>3.5972400000000002</v>
      </c>
      <c r="K125" s="10">
        <v>0.20891999999999999</v>
      </c>
      <c r="L125" s="10">
        <v>-8.3066399999999998</v>
      </c>
      <c r="M125" s="10">
        <v>-3.47898</v>
      </c>
      <c r="N125" s="10">
        <v>-1.6513800000000001</v>
      </c>
      <c r="O125" s="10">
        <v>0</v>
      </c>
      <c r="P125" s="10">
        <v>0</v>
      </c>
      <c r="Q125" s="10">
        <v>1.95516</v>
      </c>
      <c r="R125" s="10">
        <v>-3.6065399999999999</v>
      </c>
      <c r="S125" s="10">
        <v>-1.60938</v>
      </c>
      <c r="T125" s="10">
        <v>-2.0491199999999998</v>
      </c>
      <c r="U125" s="10">
        <v>-6.0380399999999996</v>
      </c>
      <c r="V125" s="10">
        <v>0</v>
      </c>
      <c r="W125" s="10">
        <v>0</v>
      </c>
      <c r="X125" s="10">
        <v>-8.8630800000000001</v>
      </c>
      <c r="Y125" s="10">
        <v>-0.66612000000000005</v>
      </c>
      <c r="Z125" s="10">
        <v>-1.9263600000000001</v>
      </c>
      <c r="AA125" s="10">
        <v>-1.00224</v>
      </c>
      <c r="AB125" s="10">
        <v>5.1660000000000004</v>
      </c>
      <c r="AC125" s="10">
        <v>0</v>
      </c>
      <c r="AD125" s="10">
        <v>0</v>
      </c>
      <c r="AE125" s="10">
        <v>-7.4032799999999996</v>
      </c>
      <c r="AF125" s="10">
        <v>-3.8731200000000001</v>
      </c>
      <c r="AG125" s="10">
        <v>25.495439999999999</v>
      </c>
      <c r="AH125" s="10">
        <v>-2.2328399999999999</v>
      </c>
      <c r="AI125" s="10">
        <v>-11.741400000000001</v>
      </c>
      <c r="AJ125" s="10">
        <v>0</v>
      </c>
      <c r="AK125" s="5">
        <f t="shared" si="4"/>
        <v>186.40890099999999</v>
      </c>
    </row>
    <row r="126" spans="1:37" ht="21" hidden="1" customHeight="1">
      <c r="A126" s="16"/>
      <c r="B126" s="19"/>
      <c r="C126" s="20"/>
      <c r="D126" s="7" t="s">
        <v>51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3.5972400000000002</v>
      </c>
      <c r="K126" s="10">
        <v>0.20891999999999999</v>
      </c>
      <c r="L126" s="10">
        <v>-8.3066399999999998</v>
      </c>
      <c r="M126" s="10">
        <v>-3.47898</v>
      </c>
      <c r="N126" s="10">
        <v>-1.6513800000000001</v>
      </c>
      <c r="O126" s="10">
        <v>0</v>
      </c>
      <c r="P126" s="10">
        <v>0</v>
      </c>
      <c r="Q126" s="10">
        <v>1.95516</v>
      </c>
      <c r="R126" s="10">
        <v>-3.6065399999999999</v>
      </c>
      <c r="S126" s="10">
        <v>-1.60938</v>
      </c>
      <c r="T126" s="10">
        <v>-2.0491199999999998</v>
      </c>
      <c r="U126" s="10">
        <v>-6.0380399999999996</v>
      </c>
      <c r="V126" s="10">
        <v>0</v>
      </c>
      <c r="W126" s="10">
        <v>0</v>
      </c>
      <c r="X126" s="10">
        <v>-8.8630800000000001</v>
      </c>
      <c r="Y126" s="10">
        <v>-0.66612000000000005</v>
      </c>
      <c r="Z126" s="10">
        <v>-1.9263600000000001</v>
      </c>
      <c r="AA126" s="10">
        <v>-1.00224</v>
      </c>
      <c r="AB126" s="10">
        <v>5.1660000000000004</v>
      </c>
      <c r="AC126" s="10">
        <v>0</v>
      </c>
      <c r="AD126" s="10">
        <v>0</v>
      </c>
      <c r="AE126" s="10">
        <v>-7.4032799999999996</v>
      </c>
      <c r="AF126" s="10">
        <v>-3.8731200000000001</v>
      </c>
      <c r="AG126" s="10">
        <v>25.495439999999999</v>
      </c>
      <c r="AH126" s="10">
        <v>-2.2328399999999999</v>
      </c>
      <c r="AI126" s="10">
        <v>-11.741400000000001</v>
      </c>
      <c r="AJ126" s="10">
        <v>0</v>
      </c>
      <c r="AK126" s="5">
        <f t="shared" si="4"/>
        <v>100.87128</v>
      </c>
    </row>
    <row r="127" spans="1:37" ht="21" customHeight="1">
      <c r="A127" s="16"/>
      <c r="B127" s="19"/>
      <c r="C127" s="20" t="s">
        <v>93</v>
      </c>
      <c r="D127" s="7" t="s">
        <v>40</v>
      </c>
      <c r="E127" s="10">
        <v>893.60728099999994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5">
        <f t="shared" si="4"/>
        <v>893.60728099999994</v>
      </c>
    </row>
    <row r="128" spans="1:37" ht="21" customHeight="1">
      <c r="A128" s="16"/>
      <c r="B128" s="19"/>
      <c r="C128" s="20"/>
      <c r="D128" s="7" t="s">
        <v>50</v>
      </c>
      <c r="E128" s="10">
        <v>-53.102440999999999</v>
      </c>
      <c r="F128" s="10">
        <v>0</v>
      </c>
      <c r="G128" s="10">
        <v>0</v>
      </c>
      <c r="H128" s="10">
        <v>0</v>
      </c>
      <c r="I128" s="10">
        <v>0</v>
      </c>
      <c r="J128" s="10">
        <v>-2.7161400000000002</v>
      </c>
      <c r="K128" s="10">
        <v>-0.66359999999999997</v>
      </c>
      <c r="L128" s="10">
        <v>0.28034999999999999</v>
      </c>
      <c r="M128" s="10">
        <v>-4.3459500000000002</v>
      </c>
      <c r="N128" s="10">
        <v>-7.2214799999999997</v>
      </c>
      <c r="O128" s="10">
        <v>0</v>
      </c>
      <c r="P128" s="10">
        <v>0</v>
      </c>
      <c r="Q128" s="10">
        <v>9.2194199999999995</v>
      </c>
      <c r="R128" s="10">
        <v>6.1118399999999999</v>
      </c>
      <c r="S128" s="10">
        <v>0</v>
      </c>
      <c r="T128" s="10">
        <v>7.6053600000000001</v>
      </c>
      <c r="U128" s="10">
        <v>-4.4171399999999998</v>
      </c>
      <c r="V128" s="10">
        <v>0</v>
      </c>
      <c r="W128" s="10">
        <v>0</v>
      </c>
      <c r="X128" s="10">
        <v>-2.1592199999999999</v>
      </c>
      <c r="Y128" s="10">
        <v>-4.4085299999999998</v>
      </c>
      <c r="Z128" s="10">
        <v>-2.71719</v>
      </c>
      <c r="AA128" s="10">
        <v>2.9988000000000001</v>
      </c>
      <c r="AB128" s="10">
        <v>-2.0621999999999998</v>
      </c>
      <c r="AC128" s="10">
        <v>0</v>
      </c>
      <c r="AD128" s="10">
        <v>0</v>
      </c>
      <c r="AE128" s="10">
        <v>1.9683299999999999</v>
      </c>
      <c r="AF128" s="10">
        <v>6.8357099999999997</v>
      </c>
      <c r="AG128" s="10">
        <v>29.77506</v>
      </c>
      <c r="AH128" s="10">
        <v>14.55594</v>
      </c>
      <c r="AI128" s="10">
        <v>-16.81155</v>
      </c>
      <c r="AJ128" s="10">
        <v>0</v>
      </c>
      <c r="AK128" s="5">
        <f t="shared" si="4"/>
        <v>179.97625099999999</v>
      </c>
    </row>
    <row r="129" spans="1:37" ht="21" hidden="1" customHeight="1">
      <c r="A129" s="16"/>
      <c r="B129" s="19"/>
      <c r="C129" s="20"/>
      <c r="D129" s="7" t="s">
        <v>51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-2.7161400000000002</v>
      </c>
      <c r="K129" s="10">
        <v>-0.66359999999999997</v>
      </c>
      <c r="L129" s="10">
        <v>0.28034999999999999</v>
      </c>
      <c r="M129" s="10">
        <v>-4.3459500000000002</v>
      </c>
      <c r="N129" s="10">
        <v>-7.2214799999999997</v>
      </c>
      <c r="O129" s="10">
        <v>0</v>
      </c>
      <c r="P129" s="10">
        <v>0</v>
      </c>
      <c r="Q129" s="10">
        <v>9.2194199999999995</v>
      </c>
      <c r="R129" s="10">
        <v>6.1118399999999999</v>
      </c>
      <c r="S129" s="10">
        <v>0</v>
      </c>
      <c r="T129" s="10">
        <v>7.6053600000000001</v>
      </c>
      <c r="U129" s="10">
        <v>-4.4171399999999998</v>
      </c>
      <c r="V129" s="10">
        <v>0</v>
      </c>
      <c r="W129" s="10">
        <v>0</v>
      </c>
      <c r="X129" s="10">
        <v>-2.1592199999999999</v>
      </c>
      <c r="Y129" s="10">
        <v>-4.4085299999999998</v>
      </c>
      <c r="Z129" s="10">
        <v>-2.71719</v>
      </c>
      <c r="AA129" s="10">
        <v>2.9988000000000001</v>
      </c>
      <c r="AB129" s="10">
        <v>-2.0621999999999998</v>
      </c>
      <c r="AC129" s="10">
        <v>0</v>
      </c>
      <c r="AD129" s="10">
        <v>0</v>
      </c>
      <c r="AE129" s="10">
        <v>1.9683299999999999</v>
      </c>
      <c r="AF129" s="10">
        <v>6.8357099999999997</v>
      </c>
      <c r="AG129" s="10">
        <v>29.77506</v>
      </c>
      <c r="AH129" s="10">
        <v>14.55594</v>
      </c>
      <c r="AI129" s="10">
        <v>-16.81155</v>
      </c>
      <c r="AJ129" s="10">
        <v>0</v>
      </c>
      <c r="AK129" s="5">
        <f t="shared" si="4"/>
        <v>126.87381000000001</v>
      </c>
    </row>
    <row r="130" spans="1:37" ht="21" customHeight="1">
      <c r="A130" s="16"/>
      <c r="B130" s="19"/>
      <c r="C130" s="20"/>
      <c r="D130" s="7" t="s">
        <v>37</v>
      </c>
      <c r="E130" s="10">
        <v>22.974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-22.974</v>
      </c>
      <c r="AG130" s="10">
        <v>0</v>
      </c>
      <c r="AH130" s="10">
        <v>0</v>
      </c>
      <c r="AI130" s="10">
        <v>0</v>
      </c>
      <c r="AJ130" s="10">
        <v>0</v>
      </c>
      <c r="AK130" s="5">
        <f t="shared" si="4"/>
        <v>45.948</v>
      </c>
    </row>
    <row r="131" spans="1:37" ht="21" customHeight="1">
      <c r="A131" s="16"/>
      <c r="B131" s="19"/>
      <c r="C131" s="20" t="s">
        <v>94</v>
      </c>
      <c r="D131" s="7" t="s">
        <v>40</v>
      </c>
      <c r="E131" s="10">
        <v>391.20340499999998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233.01493600000001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5">
        <f t="shared" si="4"/>
        <v>624.21834100000001</v>
      </c>
    </row>
    <row r="132" spans="1:37" ht="21" customHeight="1">
      <c r="A132" s="16"/>
      <c r="B132" s="19"/>
      <c r="C132" s="20"/>
      <c r="D132" s="7" t="s">
        <v>50</v>
      </c>
      <c r="E132" s="10">
        <v>-53.403404999999999</v>
      </c>
      <c r="F132" s="10">
        <v>0</v>
      </c>
      <c r="G132" s="10">
        <v>0</v>
      </c>
      <c r="H132" s="10">
        <v>0</v>
      </c>
      <c r="I132" s="10">
        <v>0</v>
      </c>
      <c r="J132" s="10">
        <v>2.1</v>
      </c>
      <c r="K132" s="10">
        <v>-1.5</v>
      </c>
      <c r="L132" s="10">
        <v>-2.1</v>
      </c>
      <c r="M132" s="10">
        <v>-0.3</v>
      </c>
      <c r="N132" s="10">
        <v>3.9</v>
      </c>
      <c r="O132" s="10">
        <v>0</v>
      </c>
      <c r="P132" s="10">
        <v>0</v>
      </c>
      <c r="Q132" s="10">
        <v>10.8</v>
      </c>
      <c r="R132" s="10">
        <v>-5.7149359999999998</v>
      </c>
      <c r="S132" s="10">
        <v>5.5</v>
      </c>
      <c r="T132" s="10">
        <v>-7</v>
      </c>
      <c r="U132" s="10">
        <v>-13</v>
      </c>
      <c r="V132" s="10">
        <v>0</v>
      </c>
      <c r="W132" s="10">
        <v>0</v>
      </c>
      <c r="X132" s="10">
        <v>-0.5</v>
      </c>
      <c r="Y132" s="10">
        <v>3.5</v>
      </c>
      <c r="Z132" s="10">
        <v>-3.5</v>
      </c>
      <c r="AA132" s="10">
        <v>0.5</v>
      </c>
      <c r="AB132" s="10">
        <v>4</v>
      </c>
      <c r="AC132" s="10">
        <v>0</v>
      </c>
      <c r="AD132" s="10">
        <v>0</v>
      </c>
      <c r="AE132" s="10">
        <v>-7.5</v>
      </c>
      <c r="AF132" s="10">
        <v>-9</v>
      </c>
      <c r="AG132" s="10">
        <v>0</v>
      </c>
      <c r="AH132" s="10">
        <v>6.5</v>
      </c>
      <c r="AI132" s="10">
        <v>-5.5</v>
      </c>
      <c r="AJ132" s="10">
        <v>0</v>
      </c>
      <c r="AK132" s="5">
        <f t="shared" si="4"/>
        <v>145.818341</v>
      </c>
    </row>
    <row r="133" spans="1:37" ht="21" hidden="1" customHeight="1">
      <c r="A133" s="16"/>
      <c r="B133" s="19"/>
      <c r="C133" s="20"/>
      <c r="D133" s="7" t="s">
        <v>51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2.1</v>
      </c>
      <c r="K133" s="10">
        <v>-1.5</v>
      </c>
      <c r="L133" s="10">
        <v>-2.1</v>
      </c>
      <c r="M133" s="10">
        <v>-0.3</v>
      </c>
      <c r="N133" s="10">
        <v>3.9</v>
      </c>
      <c r="O133" s="10">
        <v>0</v>
      </c>
      <c r="P133" s="10">
        <v>0</v>
      </c>
      <c r="Q133" s="10">
        <v>10.8</v>
      </c>
      <c r="R133" s="10">
        <v>-5.7149359999999998</v>
      </c>
      <c r="S133" s="10">
        <v>5.5</v>
      </c>
      <c r="T133" s="10">
        <v>-7</v>
      </c>
      <c r="U133" s="10">
        <v>-13</v>
      </c>
      <c r="V133" s="10">
        <v>0</v>
      </c>
      <c r="W133" s="10">
        <v>0</v>
      </c>
      <c r="X133" s="10">
        <v>-0.5</v>
      </c>
      <c r="Y133" s="10">
        <v>3.5</v>
      </c>
      <c r="Z133" s="10">
        <v>-3.5</v>
      </c>
      <c r="AA133" s="10">
        <v>0.5</v>
      </c>
      <c r="AB133" s="10">
        <v>4</v>
      </c>
      <c r="AC133" s="10">
        <v>0</v>
      </c>
      <c r="AD133" s="10">
        <v>0</v>
      </c>
      <c r="AE133" s="10">
        <v>-7.5</v>
      </c>
      <c r="AF133" s="10">
        <v>-9</v>
      </c>
      <c r="AG133" s="10">
        <v>0</v>
      </c>
      <c r="AH133" s="10">
        <v>6.5</v>
      </c>
      <c r="AI133" s="10">
        <v>-5.5</v>
      </c>
      <c r="AJ133" s="10">
        <v>0</v>
      </c>
      <c r="AK133" s="5">
        <f t="shared" si="4"/>
        <v>92.414935999999997</v>
      </c>
    </row>
    <row r="134" spans="1:37" ht="21" customHeight="1">
      <c r="A134" s="16"/>
      <c r="B134" s="19"/>
      <c r="C134" s="20" t="s">
        <v>95</v>
      </c>
      <c r="D134" s="7" t="s">
        <v>40</v>
      </c>
      <c r="E134" s="10">
        <v>867.29081099999996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5">
        <f t="shared" si="4"/>
        <v>867.29081099999996</v>
      </c>
    </row>
    <row r="135" spans="1:37" ht="21" customHeight="1">
      <c r="A135" s="16"/>
      <c r="B135" s="19"/>
      <c r="C135" s="20"/>
      <c r="D135" s="7" t="s">
        <v>50</v>
      </c>
      <c r="E135" s="10">
        <v>-57.656531000000001</v>
      </c>
      <c r="F135" s="10">
        <v>0</v>
      </c>
      <c r="G135" s="10">
        <v>0</v>
      </c>
      <c r="H135" s="10">
        <v>0</v>
      </c>
      <c r="I135" s="10">
        <v>0</v>
      </c>
      <c r="J135" s="10">
        <v>-0.29067999999999999</v>
      </c>
      <c r="K135" s="10">
        <v>2.3407800000000001</v>
      </c>
      <c r="L135" s="10">
        <v>2.6016900000000001</v>
      </c>
      <c r="M135" s="10">
        <v>-11.56207</v>
      </c>
      <c r="N135" s="10">
        <v>-2.6850200000000002</v>
      </c>
      <c r="O135" s="10">
        <v>0</v>
      </c>
      <c r="P135" s="10">
        <v>0</v>
      </c>
      <c r="Q135" s="10">
        <v>2.14994</v>
      </c>
      <c r="R135" s="10">
        <v>27.714700000000001</v>
      </c>
      <c r="S135" s="10">
        <v>-6.9739800000000001</v>
      </c>
      <c r="T135" s="10">
        <v>10.554180000000001</v>
      </c>
      <c r="U135" s="10">
        <v>-8.7833199999999998</v>
      </c>
      <c r="V135" s="10">
        <v>0</v>
      </c>
      <c r="W135" s="10">
        <v>0</v>
      </c>
      <c r="X135" s="10">
        <v>-0.27689999999999998</v>
      </c>
      <c r="Y135" s="10">
        <v>7.4756499999999999</v>
      </c>
      <c r="Z135" s="10">
        <v>-20.54325</v>
      </c>
      <c r="AA135" s="10">
        <v>11.53776</v>
      </c>
      <c r="AB135" s="10">
        <v>-18.750419999999998</v>
      </c>
      <c r="AC135" s="10">
        <v>0</v>
      </c>
      <c r="AD135" s="10">
        <v>0</v>
      </c>
      <c r="AE135" s="10">
        <v>7.0531499999999996</v>
      </c>
      <c r="AF135" s="10">
        <v>26.03471</v>
      </c>
      <c r="AG135" s="10">
        <v>9.0869999999999997</v>
      </c>
      <c r="AH135" s="10">
        <v>9.3808000000000007</v>
      </c>
      <c r="AI135" s="10">
        <v>-13.876200000000001</v>
      </c>
      <c r="AJ135" s="10">
        <v>0</v>
      </c>
      <c r="AK135" s="5">
        <f t="shared" si="4"/>
        <v>257.328731</v>
      </c>
    </row>
    <row r="136" spans="1:37" ht="21" hidden="1" customHeight="1">
      <c r="A136" s="16"/>
      <c r="B136" s="19"/>
      <c r="C136" s="20"/>
      <c r="D136" s="7" t="s">
        <v>51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-0.29067999999999999</v>
      </c>
      <c r="K136" s="10">
        <v>2.3407800000000001</v>
      </c>
      <c r="L136" s="10">
        <v>2.6016900000000001</v>
      </c>
      <c r="M136" s="10">
        <v>-11.56207</v>
      </c>
      <c r="N136" s="10">
        <v>-2.6850200000000002</v>
      </c>
      <c r="O136" s="10">
        <v>0</v>
      </c>
      <c r="P136" s="10">
        <v>0</v>
      </c>
      <c r="Q136" s="10">
        <v>2.14994</v>
      </c>
      <c r="R136" s="10">
        <v>27.714700000000001</v>
      </c>
      <c r="S136" s="10">
        <v>-6.9739800000000001</v>
      </c>
      <c r="T136" s="10">
        <v>10.554180000000001</v>
      </c>
      <c r="U136" s="10">
        <v>-8.7833199999999998</v>
      </c>
      <c r="V136" s="10">
        <v>0</v>
      </c>
      <c r="W136" s="10">
        <v>0</v>
      </c>
      <c r="X136" s="10">
        <v>-0.27689999999999998</v>
      </c>
      <c r="Y136" s="10">
        <v>7.4756499999999999</v>
      </c>
      <c r="Z136" s="10">
        <v>-20.54325</v>
      </c>
      <c r="AA136" s="10">
        <v>11.53776</v>
      </c>
      <c r="AB136" s="10">
        <v>-18.750419999999998</v>
      </c>
      <c r="AC136" s="10">
        <v>0</v>
      </c>
      <c r="AD136" s="10">
        <v>0</v>
      </c>
      <c r="AE136" s="10">
        <v>7.0531499999999996</v>
      </c>
      <c r="AF136" s="10">
        <v>26.03471</v>
      </c>
      <c r="AG136" s="10">
        <v>9.0869999999999997</v>
      </c>
      <c r="AH136" s="10">
        <v>9.3808000000000007</v>
      </c>
      <c r="AI136" s="10">
        <v>-13.876200000000001</v>
      </c>
      <c r="AJ136" s="10">
        <v>0</v>
      </c>
      <c r="AK136" s="5">
        <f t="shared" si="4"/>
        <v>199.6722</v>
      </c>
    </row>
    <row r="137" spans="1:37" ht="21" hidden="1" customHeight="1">
      <c r="A137" s="16"/>
      <c r="B137" s="19"/>
      <c r="C137" s="23" t="s">
        <v>39</v>
      </c>
      <c r="D137" s="7" t="s">
        <v>41</v>
      </c>
      <c r="E137" s="10">
        <v>0</v>
      </c>
      <c r="F137" s="10">
        <v>5.0000000000000004E-6</v>
      </c>
      <c r="G137" s="10">
        <v>5.0000000000000004E-6</v>
      </c>
      <c r="H137" s="10">
        <v>5.0000000000000004E-6</v>
      </c>
      <c r="I137" s="10">
        <v>5.0000000000000004E-6</v>
      </c>
      <c r="J137" s="10">
        <v>5.0000000000000004E-6</v>
      </c>
      <c r="K137" s="10">
        <v>5.0000000000000004E-6</v>
      </c>
      <c r="L137" s="10">
        <v>1.1671000000000001E-2</v>
      </c>
      <c r="M137" s="10">
        <v>1.1671000000000001E-2</v>
      </c>
      <c r="N137" s="10">
        <v>3.8939999999999999E-3</v>
      </c>
      <c r="O137" s="10">
        <v>3.8939999999999999E-3</v>
      </c>
      <c r="P137" s="10">
        <v>3.8939999999999999E-3</v>
      </c>
      <c r="Q137" s="10">
        <v>9.77E-4</v>
      </c>
      <c r="R137" s="10">
        <v>1.2644000000000001E-2</v>
      </c>
      <c r="S137" s="10">
        <v>5.0000000000000004E-6</v>
      </c>
      <c r="T137" s="10">
        <v>8.7550000000000006E-3</v>
      </c>
      <c r="U137" s="10">
        <v>5.0000000000000004E-6</v>
      </c>
      <c r="V137" s="10">
        <v>5.0000000000000004E-6</v>
      </c>
      <c r="W137" s="10">
        <v>5.0000000000000004E-6</v>
      </c>
      <c r="X137" s="10">
        <v>5.0000000000000004E-6</v>
      </c>
      <c r="Y137" s="10">
        <v>1.7505E-2</v>
      </c>
      <c r="Z137" s="10">
        <v>1.7505E-2</v>
      </c>
      <c r="AA137" s="10">
        <v>2.9170999999999999E-2</v>
      </c>
      <c r="AB137" s="10">
        <v>4.8659999999999997E-3</v>
      </c>
      <c r="AC137" s="10">
        <v>4.8659999999999997E-3</v>
      </c>
      <c r="AD137" s="10">
        <v>4.8659999999999997E-3</v>
      </c>
      <c r="AE137" s="10">
        <v>4.8659999999999997E-3</v>
      </c>
      <c r="AF137" s="10">
        <v>4.8659999999999997E-3</v>
      </c>
      <c r="AG137" s="10">
        <v>4.8659999999999997E-3</v>
      </c>
      <c r="AH137" s="10">
        <v>4.8659999999999997E-3</v>
      </c>
      <c r="AI137" s="10">
        <v>4.8659999999999997E-3</v>
      </c>
      <c r="AJ137" s="10">
        <v>4.8659999999999997E-3</v>
      </c>
      <c r="AK137" s="5">
        <f t="shared" ref="AK137:AK142" si="5">ROUND(ABS(E137)+ABS(F137)+ABS(G137)+ABS(H137)+ABS(I137)+ABS(J137)+ABS(K137)+ABS(L137)+ABS(M137)+ABS(N137)+ABS(O137)+ABS(P137)+ABS(Q137)+ABS(R137)+ABS(S137)+ABS(T137)+ABS(U137)+ABS(V137)+ABS(W137)+ABS(X137)+ABS(Y137)+ABS(Z137)+ABS(AA137)+ABS(AB137)+ABS(AC137)+ABS(AD137)+ABS(AE137)+ABS(AF137)+ABS(AG137)+ABS(AH137)+ABS(AI137)+ABS(AJ137),6)</f>
        <v>0.16542999999999999</v>
      </c>
    </row>
    <row r="138" spans="1:37" ht="21" hidden="1" customHeight="1">
      <c r="A138" s="16"/>
      <c r="B138" s="19"/>
      <c r="C138" s="23" t="s">
        <v>42</v>
      </c>
      <c r="D138" s="7" t="s">
        <v>41</v>
      </c>
      <c r="E138" s="10">
        <v>0</v>
      </c>
      <c r="F138" s="10">
        <v>3.9999999999999998E-6</v>
      </c>
      <c r="G138" s="10">
        <v>3.9999999999999998E-6</v>
      </c>
      <c r="H138" s="10">
        <v>3.9999999999999998E-6</v>
      </c>
      <c r="I138" s="10">
        <v>3.9999999999999998E-6</v>
      </c>
      <c r="J138" s="10">
        <v>3.9999999999999998E-6</v>
      </c>
      <c r="K138" s="10">
        <v>3.9999999999999998E-6</v>
      </c>
      <c r="L138" s="10">
        <v>3.9999999999999998E-6</v>
      </c>
      <c r="M138" s="10">
        <v>3.9999999999999998E-6</v>
      </c>
      <c r="N138" s="10">
        <v>3.9999999999999998E-6</v>
      </c>
      <c r="O138" s="10">
        <v>3.9999999999999998E-6</v>
      </c>
      <c r="P138" s="10">
        <v>3.9999999999999998E-6</v>
      </c>
      <c r="Q138" s="10">
        <v>3.9999999999999998E-6</v>
      </c>
      <c r="R138" s="10">
        <v>3.9999999999999998E-6</v>
      </c>
      <c r="S138" s="10">
        <v>3.9999999999999998E-6</v>
      </c>
      <c r="T138" s="10">
        <v>3.9999999999999998E-6</v>
      </c>
      <c r="U138" s="10">
        <v>3.9999999999999998E-6</v>
      </c>
      <c r="V138" s="10">
        <v>3.9999999999999998E-6</v>
      </c>
      <c r="W138" s="10">
        <v>3.9999999999999998E-6</v>
      </c>
      <c r="X138" s="10">
        <v>3.9999999999999998E-6</v>
      </c>
      <c r="Y138" s="10">
        <v>3.9999999999999998E-6</v>
      </c>
      <c r="Z138" s="10">
        <v>3.9999999999999998E-6</v>
      </c>
      <c r="AA138" s="10">
        <v>3.9999999999999998E-6</v>
      </c>
      <c r="AB138" s="10">
        <v>3.9999999999999998E-6</v>
      </c>
      <c r="AC138" s="10">
        <v>3.9999999999999998E-6</v>
      </c>
      <c r="AD138" s="10">
        <v>3.9999999999999998E-6</v>
      </c>
      <c r="AE138" s="10">
        <v>3.9999999999999998E-6</v>
      </c>
      <c r="AF138" s="10">
        <v>3.9999999999999998E-6</v>
      </c>
      <c r="AG138" s="10">
        <v>3.9999999999999998E-6</v>
      </c>
      <c r="AH138" s="10">
        <v>3.9999999999999998E-6</v>
      </c>
      <c r="AI138" s="10">
        <v>3.9999999999999998E-6</v>
      </c>
      <c r="AJ138" s="10">
        <v>3.9999999999999998E-6</v>
      </c>
      <c r="AK138" s="5">
        <f t="shared" si="5"/>
        <v>1.2400000000000001E-4</v>
      </c>
    </row>
    <row r="139" spans="1:37" ht="21" hidden="1" customHeight="1">
      <c r="A139" s="16"/>
      <c r="B139" s="19"/>
      <c r="C139" s="23" t="s">
        <v>43</v>
      </c>
      <c r="D139" s="7" t="s">
        <v>41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-1.17E-4</v>
      </c>
      <c r="K139" s="10">
        <v>-8.8669999999999999E-3</v>
      </c>
      <c r="L139" s="10">
        <v>-2.0532999999999999E-2</v>
      </c>
      <c r="M139" s="10">
        <v>-2.6367000000000002E-2</v>
      </c>
      <c r="N139" s="10">
        <v>-2.6367000000000002E-2</v>
      </c>
      <c r="O139" s="10">
        <v>-2.6367000000000002E-2</v>
      </c>
      <c r="P139" s="10">
        <v>-2.6367000000000002E-2</v>
      </c>
      <c r="Q139" s="10">
        <v>-2.6367000000000002E-2</v>
      </c>
      <c r="R139" s="10">
        <v>-4.7756E-2</v>
      </c>
      <c r="S139" s="10">
        <v>-4.7759999999999997E-2</v>
      </c>
      <c r="T139" s="10">
        <v>-6.0399000000000001E-2</v>
      </c>
      <c r="U139" s="10">
        <v>-5.1646999999999998E-2</v>
      </c>
      <c r="V139" s="10">
        <v>-5.1646999999999998E-2</v>
      </c>
      <c r="W139" s="10">
        <v>-5.1646999999999998E-2</v>
      </c>
      <c r="X139" s="10">
        <v>-5.8938999999999998E-2</v>
      </c>
      <c r="Y139" s="10">
        <v>-7.6439000000000007E-2</v>
      </c>
      <c r="Z139" s="10">
        <v>-7.6439000000000007E-2</v>
      </c>
      <c r="AA139" s="10">
        <v>-7.1636000000000005E-2</v>
      </c>
      <c r="AB139" s="10">
        <v>-5.9970000000000002E-2</v>
      </c>
      <c r="AC139" s="10">
        <v>-5.9970000000000002E-2</v>
      </c>
      <c r="AD139" s="10">
        <v>-5.9970000000000002E-2</v>
      </c>
      <c r="AE139" s="10">
        <v>-6.5609000000000001E-2</v>
      </c>
      <c r="AF139" s="10">
        <v>-6.5603999999999996E-2</v>
      </c>
      <c r="AG139" s="10">
        <v>-6.3659999999999994E-2</v>
      </c>
      <c r="AH139" s="10">
        <v>-6.5609000000000001E-2</v>
      </c>
      <c r="AI139" s="10">
        <v>-6.5609000000000001E-2</v>
      </c>
      <c r="AJ139" s="10">
        <v>-6.5609000000000001E-2</v>
      </c>
      <c r="AK139" s="5">
        <f t="shared" si="5"/>
        <v>1.3272710000000001</v>
      </c>
    </row>
    <row r="140" spans="1:37" ht="21" hidden="1" customHeight="1">
      <c r="A140" s="16"/>
      <c r="B140" s="19"/>
      <c r="C140" s="23" t="s">
        <v>44</v>
      </c>
      <c r="D140" s="7" t="s">
        <v>41</v>
      </c>
      <c r="E140" s="10">
        <v>0</v>
      </c>
      <c r="F140" s="10">
        <v>9.0000000000000002E-6</v>
      </c>
      <c r="G140" s="10">
        <v>9.0000000000000002E-6</v>
      </c>
      <c r="H140" s="10">
        <v>9.0000000000000002E-6</v>
      </c>
      <c r="I140" s="10">
        <v>9.0000000000000002E-6</v>
      </c>
      <c r="J140" s="10">
        <v>9.0000000000000002E-6</v>
      </c>
      <c r="K140" s="10">
        <v>9.0000000000000002E-6</v>
      </c>
      <c r="L140" s="10">
        <v>9.0000000000000002E-6</v>
      </c>
      <c r="M140" s="10">
        <v>9.0000000000000002E-6</v>
      </c>
      <c r="N140" s="10">
        <v>9.0000000000000002E-6</v>
      </c>
      <c r="O140" s="10">
        <v>9.0000000000000002E-6</v>
      </c>
      <c r="P140" s="10">
        <v>9.0000000000000002E-6</v>
      </c>
      <c r="Q140" s="10">
        <v>9.0000000000000002E-6</v>
      </c>
      <c r="R140" s="10">
        <v>9.0000000000000002E-6</v>
      </c>
      <c r="S140" s="10">
        <v>9.0000000000000002E-6</v>
      </c>
      <c r="T140" s="10">
        <v>9.0000000000000002E-6</v>
      </c>
      <c r="U140" s="10">
        <v>9.0000000000000002E-6</v>
      </c>
      <c r="V140" s="10">
        <v>9.0000000000000002E-6</v>
      </c>
      <c r="W140" s="10">
        <v>9.0000000000000002E-6</v>
      </c>
      <c r="X140" s="10">
        <v>9.0000000000000002E-6</v>
      </c>
      <c r="Y140" s="10">
        <v>9.0000000000000002E-6</v>
      </c>
      <c r="Z140" s="10">
        <v>9.0000000000000002E-6</v>
      </c>
      <c r="AA140" s="10">
        <v>3.0959999999999998E-3</v>
      </c>
      <c r="AB140" s="10">
        <v>4.0489999999999996E-3</v>
      </c>
      <c r="AC140" s="10">
        <v>4.0489999999999996E-3</v>
      </c>
      <c r="AD140" s="10">
        <v>4.0489999999999996E-3</v>
      </c>
      <c r="AE140" s="10">
        <v>1.0709999999999999E-3</v>
      </c>
      <c r="AF140" s="10">
        <v>5.0000000000000004E-6</v>
      </c>
      <c r="AG140" s="10">
        <v>5.4900000000000001E-4</v>
      </c>
      <c r="AH140" s="10">
        <v>6.02E-4</v>
      </c>
      <c r="AI140" s="10">
        <v>6.9999999999999999E-6</v>
      </c>
      <c r="AJ140" s="10">
        <v>6.9999999999999999E-6</v>
      </c>
      <c r="AK140" s="5">
        <f t="shared" si="5"/>
        <v>1.7673000000000001E-2</v>
      </c>
    </row>
    <row r="141" spans="1:37" ht="21" hidden="1" customHeight="1">
      <c r="A141" s="16"/>
      <c r="B141" s="19"/>
      <c r="C141" s="23" t="s">
        <v>45</v>
      </c>
      <c r="D141" s="7" t="s">
        <v>41</v>
      </c>
      <c r="E141" s="10">
        <v>0</v>
      </c>
      <c r="F141" s="10">
        <v>1.18E-4</v>
      </c>
      <c r="G141" s="10">
        <v>1.18E-4</v>
      </c>
      <c r="H141" s="10">
        <v>1.18E-4</v>
      </c>
      <c r="I141" s="10">
        <v>1.18E-4</v>
      </c>
      <c r="J141" s="10">
        <v>1.18E-4</v>
      </c>
      <c r="K141" s="10">
        <v>8.8679999999999991E-3</v>
      </c>
      <c r="L141" s="10">
        <v>8.8679999999999991E-3</v>
      </c>
      <c r="M141" s="10">
        <v>1.4701000000000001E-2</v>
      </c>
      <c r="N141" s="10">
        <v>2.2478999999999999E-2</v>
      </c>
      <c r="O141" s="10">
        <v>2.2478999999999999E-2</v>
      </c>
      <c r="P141" s="10">
        <v>2.2478999999999999E-2</v>
      </c>
      <c r="Q141" s="10">
        <v>2.5395000000000001E-2</v>
      </c>
      <c r="R141" s="10">
        <v>3.5118000000000003E-2</v>
      </c>
      <c r="S141" s="10">
        <v>4.7757000000000001E-2</v>
      </c>
      <c r="T141" s="10">
        <v>5.1645000000000003E-2</v>
      </c>
      <c r="U141" s="10">
        <v>5.1645000000000003E-2</v>
      </c>
      <c r="V141" s="10">
        <v>5.1645000000000003E-2</v>
      </c>
      <c r="W141" s="10">
        <v>5.1645000000000003E-2</v>
      </c>
      <c r="X141" s="10">
        <v>5.8937000000000003E-2</v>
      </c>
      <c r="Y141" s="10">
        <v>5.8937000000000003E-2</v>
      </c>
      <c r="Z141" s="10">
        <v>5.8937000000000003E-2</v>
      </c>
      <c r="AA141" s="10">
        <v>4.2466999999999998E-2</v>
      </c>
      <c r="AB141" s="10">
        <v>5.5106000000000002E-2</v>
      </c>
      <c r="AC141" s="10">
        <v>5.5106000000000002E-2</v>
      </c>
      <c r="AD141" s="10">
        <v>5.5106000000000002E-2</v>
      </c>
      <c r="AE141" s="10">
        <v>6.0745E-2</v>
      </c>
      <c r="AF141" s="10">
        <v>6.0745E-2</v>
      </c>
      <c r="AG141" s="10">
        <v>6.0745E-2</v>
      </c>
      <c r="AH141" s="10">
        <v>6.0745E-2</v>
      </c>
      <c r="AI141" s="10">
        <v>6.0777999999999999E-2</v>
      </c>
      <c r="AJ141" s="10">
        <v>6.0777999999999999E-2</v>
      </c>
      <c r="AK141" s="5">
        <f t="shared" si="5"/>
        <v>1.1644460000000001</v>
      </c>
    </row>
    <row r="142" spans="1:37" ht="21" hidden="1" customHeight="1">
      <c r="A142" s="16"/>
      <c r="B142" s="19"/>
      <c r="C142" s="23" t="s">
        <v>46</v>
      </c>
      <c r="D142" s="7" t="s">
        <v>41</v>
      </c>
      <c r="E142" s="10">
        <v>0</v>
      </c>
      <c r="F142" s="10">
        <v>1.2999999999999999E-5</v>
      </c>
      <c r="G142" s="10">
        <v>1.2999999999999999E-5</v>
      </c>
      <c r="H142" s="10">
        <v>1.2999999999999999E-5</v>
      </c>
      <c r="I142" s="10">
        <v>1.2999999999999999E-5</v>
      </c>
      <c r="J142" s="10">
        <v>1.2999999999999999E-5</v>
      </c>
      <c r="K142" s="10">
        <v>1.2999999999999999E-5</v>
      </c>
      <c r="L142" s="10">
        <v>1.2999999999999999E-5</v>
      </c>
      <c r="M142" s="10">
        <v>1.2999999999999999E-5</v>
      </c>
      <c r="N142" s="10">
        <v>1.2999999999999999E-5</v>
      </c>
      <c r="O142" s="10">
        <v>1.2999999999999999E-5</v>
      </c>
      <c r="P142" s="10">
        <v>1.2999999999999999E-5</v>
      </c>
      <c r="Q142" s="10">
        <v>1.2999999999999999E-5</v>
      </c>
      <c r="R142" s="10">
        <v>1.2999999999999999E-5</v>
      </c>
      <c r="S142" s="10">
        <v>1.2999999999999999E-5</v>
      </c>
      <c r="T142" s="10">
        <v>1.2999999999999999E-5</v>
      </c>
      <c r="U142" s="10">
        <v>1.2999999999999999E-5</v>
      </c>
      <c r="V142" s="10">
        <v>1.2999999999999999E-5</v>
      </c>
      <c r="W142" s="10">
        <v>1.2999999999999999E-5</v>
      </c>
      <c r="X142" s="10">
        <v>1.2999999999999999E-5</v>
      </c>
      <c r="Y142" s="10">
        <v>1.2999999999999999E-5</v>
      </c>
      <c r="Z142" s="10">
        <v>1.2999999999999999E-5</v>
      </c>
      <c r="AA142" s="10">
        <v>1.2999999999999999E-5</v>
      </c>
      <c r="AB142" s="10">
        <v>1.2999999999999999E-5</v>
      </c>
      <c r="AC142" s="10">
        <v>1.2999999999999999E-5</v>
      </c>
      <c r="AD142" s="10">
        <v>1.2999999999999999E-5</v>
      </c>
      <c r="AE142" s="10">
        <v>1.2999999999999999E-5</v>
      </c>
      <c r="AF142" s="10">
        <v>1.2999999999999999E-5</v>
      </c>
      <c r="AG142" s="10">
        <v>1.2999999999999999E-5</v>
      </c>
      <c r="AH142" s="10">
        <v>1.2999999999999999E-5</v>
      </c>
      <c r="AI142" s="10">
        <v>1.2999999999999999E-5</v>
      </c>
      <c r="AJ142" s="10">
        <v>1.2999999999999999E-5</v>
      </c>
      <c r="AK142" s="5">
        <f t="shared" si="5"/>
        <v>4.0299999999999998E-4</v>
      </c>
    </row>
    <row r="146" spans="1:1" ht="21" customHeight="1">
      <c r="A146" s="7"/>
    </row>
  </sheetData>
  <autoFilter ref="A1:AK142" xr:uid="{00000000-0009-0000-0000-000000000000}">
    <filterColumn colId="3">
      <filters>
        <filter val="持仓成本"/>
        <filter val="持仓公允"/>
        <filter val="应收应付"/>
      </filters>
    </filterColumn>
  </autoFilter>
  <mergeCells count="44">
    <mergeCell ref="C134:C136"/>
    <mergeCell ref="C117:C120"/>
    <mergeCell ref="C121:C123"/>
    <mergeCell ref="C124:C126"/>
    <mergeCell ref="C127:C130"/>
    <mergeCell ref="C131:C133"/>
    <mergeCell ref="C101:C104"/>
    <mergeCell ref="C105:C107"/>
    <mergeCell ref="C108:C110"/>
    <mergeCell ref="C111:C113"/>
    <mergeCell ref="C114:C116"/>
    <mergeCell ref="C81:C85"/>
    <mergeCell ref="C87:C89"/>
    <mergeCell ref="C90:C93"/>
    <mergeCell ref="C95:C97"/>
    <mergeCell ref="C98:C100"/>
    <mergeCell ref="C65:C67"/>
    <mergeCell ref="C68:C71"/>
    <mergeCell ref="C72:C74"/>
    <mergeCell ref="C75:C77"/>
    <mergeCell ref="C78:C80"/>
    <mergeCell ref="C48:C51"/>
    <mergeCell ref="C52:C54"/>
    <mergeCell ref="C55:C57"/>
    <mergeCell ref="C58:C61"/>
    <mergeCell ref="C62:C64"/>
    <mergeCell ref="C31:C33"/>
    <mergeCell ref="C34:C36"/>
    <mergeCell ref="C37:C40"/>
    <mergeCell ref="C41:C43"/>
    <mergeCell ref="C44:C47"/>
    <mergeCell ref="C14:C17"/>
    <mergeCell ref="C18:C20"/>
    <mergeCell ref="C21:C24"/>
    <mergeCell ref="C25:C27"/>
    <mergeCell ref="C28:C30"/>
    <mergeCell ref="C2:C4"/>
    <mergeCell ref="C5:C7"/>
    <mergeCell ref="C8:C10"/>
    <mergeCell ref="C11:C13"/>
    <mergeCell ref="A137:A142"/>
    <mergeCell ref="A2:A136"/>
    <mergeCell ref="B137:B142"/>
    <mergeCell ref="B2:B136"/>
  </mergeCells>
  <pageMargins left="0.75" right="0.75" top="1" bottom="1" header="0.5" footer="0.5"/>
  <pageSetup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146"/>
  <sheetViews>
    <sheetView tabSelected="1" zoomScale="55" zoomScaleNormal="55" workbookViewId="0">
      <selection activeCell="F8" sqref="F8"/>
    </sheetView>
  </sheetViews>
  <sheetFormatPr defaultColWidth="13.109375" defaultRowHeight="21" customHeight="1"/>
  <cols>
    <col min="3" max="3" width="25.5546875" customWidth="1"/>
    <col min="4" max="4" width="19.77734375" customWidth="1"/>
  </cols>
  <sheetData>
    <row r="1" spans="1:37" ht="21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7" ht="21" customHeight="1">
      <c r="A2" s="11" t="s">
        <v>47</v>
      </c>
      <c r="B2" s="13" t="s">
        <v>48</v>
      </c>
      <c r="C2" s="15" t="s">
        <v>49</v>
      </c>
      <c r="D2" s="22" t="s">
        <v>40</v>
      </c>
      <c r="E2" s="4">
        <v>12.061916999999999</v>
      </c>
      <c r="F2" s="4">
        <f>E2+Sheet54!F2</f>
        <v>12.061916999999999</v>
      </c>
      <c r="G2" s="4">
        <f>F2+Sheet54!G2</f>
        <v>12.061916999999999</v>
      </c>
      <c r="H2" s="4">
        <f>G2+Sheet54!H2</f>
        <v>12.061916999999999</v>
      </c>
      <c r="I2" s="4">
        <f>H2+Sheet54!I2</f>
        <v>12.061916999999999</v>
      </c>
      <c r="J2" s="4">
        <f>I2+Sheet54!J2</f>
        <v>12.061916999999999</v>
      </c>
      <c r="K2" s="4">
        <f>J2+Sheet54!K2</f>
        <v>12.061916999999999</v>
      </c>
      <c r="L2" s="4">
        <f>K2+Sheet54!L2</f>
        <v>12.061916999999999</v>
      </c>
      <c r="M2" s="4">
        <f>L2+Sheet54!M2</f>
        <v>12.061916999999999</v>
      </c>
      <c r="N2" s="4">
        <f>M2+Sheet54!N2</f>
        <v>12.061916999999999</v>
      </c>
      <c r="O2" s="4">
        <f>N2+Sheet54!O2</f>
        <v>12.061916999999999</v>
      </c>
      <c r="P2" s="4">
        <f>O2+Sheet54!P2</f>
        <v>12.061916999999999</v>
      </c>
      <c r="Q2" s="4">
        <f>P2+Sheet54!Q2</f>
        <v>12.061916999999999</v>
      </c>
      <c r="R2" s="4">
        <f>Q2+Sheet54!R2</f>
        <v>12.061916999999999</v>
      </c>
      <c r="S2" s="4">
        <f>R2+Sheet54!S2</f>
        <v>12.061916999999999</v>
      </c>
      <c r="T2" s="4">
        <f>S2+Sheet54!T2</f>
        <v>12.061916999999999</v>
      </c>
      <c r="U2" s="4">
        <f>T2+Sheet54!U2</f>
        <v>12.061916999999999</v>
      </c>
      <c r="V2" s="4">
        <f>U2+Sheet54!V2</f>
        <v>12.061916999999999</v>
      </c>
      <c r="W2" s="4">
        <f>V2+Sheet54!W2</f>
        <v>12.061916999999999</v>
      </c>
      <c r="X2" s="4">
        <f>W2+Sheet54!X2</f>
        <v>12.061916999999999</v>
      </c>
      <c r="Y2" s="4">
        <f>X2+Sheet54!Y2</f>
        <v>12.061916999999999</v>
      </c>
      <c r="Z2" s="4">
        <f>Y2+Sheet54!Z2</f>
        <v>12.061916999999999</v>
      </c>
      <c r="AA2" s="4">
        <f>Z2+Sheet54!AA2</f>
        <v>12.061916999999999</v>
      </c>
      <c r="AB2" s="4">
        <f>AA2+Sheet54!AB2</f>
        <v>12.061916999999999</v>
      </c>
      <c r="AC2" s="4">
        <f>AB2+Sheet54!AC2</f>
        <v>12.061916999999999</v>
      </c>
      <c r="AD2" s="4">
        <f>AC2+Sheet54!AD2</f>
        <v>12.061916999999999</v>
      </c>
      <c r="AE2" s="4">
        <f>AD2+Sheet54!AE2</f>
        <v>12.061916999999999</v>
      </c>
      <c r="AF2" s="4">
        <f>AE2+Sheet54!AF2</f>
        <v>12.061916999999999</v>
      </c>
      <c r="AG2" s="4">
        <f>AF2+Sheet54!AG2</f>
        <v>12.061916999999999</v>
      </c>
      <c r="AH2" s="4">
        <f>AG2+Sheet54!AH2</f>
        <v>12.061916999999999</v>
      </c>
      <c r="AI2" s="4">
        <f>AH2+Sheet54!AI2</f>
        <v>12.061916999999999</v>
      </c>
      <c r="AJ2" s="4">
        <f>AI2+Sheet54!AJ2</f>
        <v>12.061916999999999</v>
      </c>
      <c r="AK2" s="5"/>
    </row>
    <row r="3" spans="1:37" ht="21" customHeight="1">
      <c r="A3" s="12"/>
      <c r="B3" s="14"/>
      <c r="C3" s="15"/>
      <c r="D3" s="22" t="s">
        <v>50</v>
      </c>
      <c r="E3" s="4">
        <v>-0.32392500000000002</v>
      </c>
      <c r="F3" s="4">
        <f>E3+Sheet54!F3</f>
        <v>-0.32392500000000002</v>
      </c>
      <c r="G3" s="4">
        <f>F3+Sheet54!G3</f>
        <v>-0.32392500000000002</v>
      </c>
      <c r="H3" s="4">
        <f>G3+Sheet54!H3</f>
        <v>-0.32392500000000002</v>
      </c>
      <c r="I3" s="4">
        <f>H3+Sheet54!I3</f>
        <v>-0.32392500000000002</v>
      </c>
      <c r="J3" s="4">
        <f>I3+Sheet54!J3</f>
        <v>-0.50497700000000001</v>
      </c>
      <c r="K3" s="4">
        <f>J3+Sheet54!K3</f>
        <v>-0.55088700000000002</v>
      </c>
      <c r="L3" s="4">
        <f>K3+Sheet54!L3</f>
        <v>-0.52910999999999997</v>
      </c>
      <c r="M3" s="4">
        <f>L3+Sheet54!M3</f>
        <v>-0.56494199999999994</v>
      </c>
      <c r="N3" s="4">
        <f>M3+Sheet54!N3</f>
        <v>-0.41651699999999992</v>
      </c>
      <c r="O3" s="4">
        <f>N3+Sheet54!O3</f>
        <v>-0.41651699999999992</v>
      </c>
      <c r="P3" s="4">
        <f>O3+Sheet54!P3</f>
        <v>-0.41651699999999992</v>
      </c>
      <c r="Q3" s="4">
        <f>P3+Sheet54!Q3</f>
        <v>-0.47285299999999991</v>
      </c>
      <c r="R3" s="4">
        <f>Q3+Sheet54!R3</f>
        <v>-0.46543999999999991</v>
      </c>
      <c r="S3" s="4">
        <f>R3+Sheet54!S3</f>
        <v>-0.6174369999999999</v>
      </c>
      <c r="T3" s="4">
        <f>S3+Sheet54!T3</f>
        <v>-0.68769299999999989</v>
      </c>
      <c r="U3" s="4">
        <f>T3+Sheet54!U3</f>
        <v>-0.57150699999999988</v>
      </c>
      <c r="V3" s="4">
        <f>U3+Sheet54!V3</f>
        <v>-0.57150699999999988</v>
      </c>
      <c r="W3" s="4">
        <f>V3+Sheet54!W3</f>
        <v>-0.57150699999999988</v>
      </c>
      <c r="X3" s="4">
        <f>W3+Sheet54!X3</f>
        <v>-0.68254899999999985</v>
      </c>
      <c r="Y3" s="4">
        <f>X3+Sheet54!Y3</f>
        <v>-0.49511699999999986</v>
      </c>
      <c r="Z3" s="4">
        <f>Y3+Sheet54!Z3</f>
        <v>-0.48003299999999988</v>
      </c>
      <c r="AA3" s="4">
        <f>Z3+Sheet54!AA3</f>
        <v>-0.60729299999999986</v>
      </c>
      <c r="AB3" s="4">
        <f>AA3+Sheet54!AB3</f>
        <v>-0.5295249999999998</v>
      </c>
      <c r="AC3" s="4">
        <f>AB3+Sheet54!AC3</f>
        <v>-0.5295249999999998</v>
      </c>
      <c r="AD3" s="4">
        <f>AC3+Sheet54!AD3</f>
        <v>-0.5295249999999998</v>
      </c>
      <c r="AE3" s="4">
        <f>AD3+Sheet54!AE3</f>
        <v>-0.58179499999999984</v>
      </c>
      <c r="AF3" s="4">
        <f>AE3+Sheet54!AF3</f>
        <v>-0.43915699999999985</v>
      </c>
      <c r="AG3" s="4">
        <f>AF3+Sheet54!AG3</f>
        <v>-0.39717299999999983</v>
      </c>
      <c r="AH3" s="4">
        <f>AG3+Sheet54!AH3</f>
        <v>-9.814199999999984E-2</v>
      </c>
      <c r="AI3" s="4">
        <f>AH3+Sheet54!AI3</f>
        <v>0.31102800000000014</v>
      </c>
      <c r="AJ3" s="4">
        <f>AI3+Sheet54!AJ3</f>
        <v>0.31102800000000014</v>
      </c>
      <c r="AK3" s="5"/>
    </row>
    <row r="4" spans="1:37" ht="21" customHeight="1">
      <c r="A4" s="12"/>
      <c r="B4" s="14"/>
      <c r="C4" s="15"/>
      <c r="D4" s="21" t="s">
        <v>51</v>
      </c>
      <c r="E4" s="4">
        <v>0</v>
      </c>
      <c r="F4" s="4">
        <f>Sheet54!F4</f>
        <v>0</v>
      </c>
      <c r="G4" s="4">
        <f>Sheet54!G4</f>
        <v>0</v>
      </c>
      <c r="H4" s="4">
        <f>Sheet54!H4</f>
        <v>0</v>
      </c>
      <c r="I4" s="4">
        <f>Sheet54!I4</f>
        <v>0</v>
      </c>
      <c r="J4" s="4">
        <f>Sheet54!J4</f>
        <v>-0.18105199999999999</v>
      </c>
      <c r="K4" s="4">
        <f>Sheet54!K4</f>
        <v>-4.5909999999999999E-2</v>
      </c>
      <c r="L4" s="4">
        <f>Sheet54!L4</f>
        <v>2.1777000000000001E-2</v>
      </c>
      <c r="M4" s="4">
        <f>Sheet54!M4</f>
        <v>-3.5832000000000003E-2</v>
      </c>
      <c r="N4" s="4">
        <f>Sheet54!N4</f>
        <v>0.148425</v>
      </c>
      <c r="O4" s="4">
        <f>Sheet54!O4</f>
        <v>0</v>
      </c>
      <c r="P4" s="4">
        <f>Sheet54!P4</f>
        <v>0</v>
      </c>
      <c r="Q4" s="4">
        <f>Sheet54!Q4</f>
        <v>-5.6335999999999997E-2</v>
      </c>
      <c r="R4" s="4">
        <f>Sheet54!R4</f>
        <v>7.4130000000000003E-3</v>
      </c>
      <c r="S4" s="4">
        <f>Sheet54!S4</f>
        <v>-0.15199699999999999</v>
      </c>
      <c r="T4" s="4">
        <f>Sheet54!T4</f>
        <v>-7.0255999999999999E-2</v>
      </c>
      <c r="U4" s="4">
        <f>Sheet54!U4</f>
        <v>0.116186</v>
      </c>
      <c r="V4" s="4">
        <f>Sheet54!V4</f>
        <v>0</v>
      </c>
      <c r="W4" s="4">
        <f>Sheet54!W4</f>
        <v>0</v>
      </c>
      <c r="X4" s="4">
        <f>Sheet54!X4</f>
        <v>-0.111042</v>
      </c>
      <c r="Y4" s="4">
        <f>Sheet54!Y4</f>
        <v>0.18743199999999999</v>
      </c>
      <c r="Z4" s="4">
        <f>Sheet54!Z4</f>
        <v>1.5084E-2</v>
      </c>
      <c r="AA4" s="4">
        <f>Sheet54!AA4</f>
        <v>-0.12726000000000001</v>
      </c>
      <c r="AB4" s="4">
        <f>Sheet54!AB4</f>
        <v>7.7768000000000004E-2</v>
      </c>
      <c r="AC4" s="4">
        <f>Sheet54!AC4</f>
        <v>0</v>
      </c>
      <c r="AD4" s="4">
        <f>Sheet54!AD4</f>
        <v>0</v>
      </c>
      <c r="AE4" s="4">
        <f>Sheet54!AE4</f>
        <v>-5.2269999999999997E-2</v>
      </c>
      <c r="AF4" s="4">
        <f>Sheet54!AF4</f>
        <v>0.14263799999999999</v>
      </c>
      <c r="AG4" s="4">
        <f>Sheet54!AG4</f>
        <v>4.1984E-2</v>
      </c>
      <c r="AH4" s="4">
        <f>Sheet54!AH4</f>
        <v>0.29903099999999999</v>
      </c>
      <c r="AI4" s="4">
        <f>Sheet54!AI4</f>
        <v>0.40916999999999998</v>
      </c>
      <c r="AJ4" s="4">
        <f>Sheet54!AJ4</f>
        <v>0</v>
      </c>
      <c r="AK4" s="5"/>
    </row>
    <row r="5" spans="1:37" ht="21" customHeight="1">
      <c r="A5" s="12"/>
      <c r="B5" s="14"/>
      <c r="C5" s="15" t="s">
        <v>52</v>
      </c>
      <c r="D5" s="22" t="s">
        <v>40</v>
      </c>
      <c r="E5" s="4">
        <v>758.75399200000004</v>
      </c>
      <c r="F5" s="4">
        <f>E5+Sheet54!F5</f>
        <v>758.75399200000004</v>
      </c>
      <c r="G5" s="4">
        <f>F5+Sheet54!G5</f>
        <v>758.75399200000004</v>
      </c>
      <c r="H5" s="4">
        <f>G5+Sheet54!H5</f>
        <v>758.75399200000004</v>
      </c>
      <c r="I5" s="4">
        <f>H5+Sheet54!I5</f>
        <v>758.75399200000004</v>
      </c>
      <c r="J5" s="4">
        <f>I5+Sheet54!J5</f>
        <v>758.75399200000004</v>
      </c>
      <c r="K5" s="4">
        <f>J5+Sheet54!K5</f>
        <v>758.75399200000004</v>
      </c>
      <c r="L5" s="4">
        <f>K5+Sheet54!L5</f>
        <v>758.75399200000004</v>
      </c>
      <c r="M5" s="4">
        <f>L5+Sheet54!M5</f>
        <v>758.75399200000004</v>
      </c>
      <c r="N5" s="4">
        <f>M5+Sheet54!N5</f>
        <v>758.75399200000004</v>
      </c>
      <c r="O5" s="4">
        <f>N5+Sheet54!O5</f>
        <v>758.75399200000004</v>
      </c>
      <c r="P5" s="4">
        <f>O5+Sheet54!P5</f>
        <v>758.75399200000004</v>
      </c>
      <c r="Q5" s="4">
        <f>P5+Sheet54!Q5</f>
        <v>758.75399200000004</v>
      </c>
      <c r="R5" s="4">
        <f>Q5+Sheet54!R5</f>
        <v>758.75399200000004</v>
      </c>
      <c r="S5" s="4">
        <f>R5+Sheet54!S5</f>
        <v>758.75399200000004</v>
      </c>
      <c r="T5" s="4">
        <f>S5+Sheet54!T5</f>
        <v>758.75399200000004</v>
      </c>
      <c r="U5" s="4">
        <f>T5+Sheet54!U5</f>
        <v>758.75399200000004</v>
      </c>
      <c r="V5" s="4">
        <f>U5+Sheet54!V5</f>
        <v>758.75399200000004</v>
      </c>
      <c r="W5" s="4">
        <f>V5+Sheet54!W5</f>
        <v>758.75399200000004</v>
      </c>
      <c r="X5" s="4">
        <f>W5+Sheet54!X5</f>
        <v>758.75399200000004</v>
      </c>
      <c r="Y5" s="4">
        <f>X5+Sheet54!Y5</f>
        <v>758.75399200000004</v>
      </c>
      <c r="Z5" s="4">
        <f>Y5+Sheet54!Z5</f>
        <v>758.75399200000004</v>
      </c>
      <c r="AA5" s="4">
        <f>Z5+Sheet54!AA5</f>
        <v>758.75399200000004</v>
      </c>
      <c r="AB5" s="4">
        <f>AA5+Sheet54!AB5</f>
        <v>758.75399200000004</v>
      </c>
      <c r="AC5" s="4">
        <f>AB5+Sheet54!AC5</f>
        <v>758.75399200000004</v>
      </c>
      <c r="AD5" s="4">
        <f>AC5+Sheet54!AD5</f>
        <v>758.75399200000004</v>
      </c>
      <c r="AE5" s="4">
        <f>AD5+Sheet54!AE5</f>
        <v>758.75399200000004</v>
      </c>
      <c r="AF5" s="4">
        <f>AE5+Sheet54!AF5</f>
        <v>758.75399200000004</v>
      </c>
      <c r="AG5" s="4">
        <f>AF5+Sheet54!AG5</f>
        <v>758.75399200000004</v>
      </c>
      <c r="AH5" s="4">
        <f>AG5+Sheet54!AH5</f>
        <v>758.75399200000004</v>
      </c>
      <c r="AI5" s="4">
        <f>AH5+Sheet54!AI5</f>
        <v>758.75399200000004</v>
      </c>
      <c r="AJ5" s="4">
        <f>AI5+Sheet54!AJ5</f>
        <v>758.75399200000004</v>
      </c>
      <c r="AK5" s="5"/>
    </row>
    <row r="6" spans="1:37" ht="21" customHeight="1">
      <c r="A6" s="12"/>
      <c r="B6" s="14"/>
      <c r="C6" s="15"/>
      <c r="D6" s="22" t="s">
        <v>50</v>
      </c>
      <c r="E6" s="4">
        <v>-35.898291999999998</v>
      </c>
      <c r="F6" s="4">
        <f>E6+Sheet54!F6</f>
        <v>-35.898291999999998</v>
      </c>
      <c r="G6" s="4">
        <f>F6+Sheet54!G6</f>
        <v>-35.898291999999998</v>
      </c>
      <c r="H6" s="4">
        <f>G6+Sheet54!H6</f>
        <v>-35.898291999999998</v>
      </c>
      <c r="I6" s="4">
        <f>H6+Sheet54!I6</f>
        <v>-35.898291999999998</v>
      </c>
      <c r="J6" s="4">
        <f>I6+Sheet54!J6</f>
        <v>-40.023241999999996</v>
      </c>
      <c r="K6" s="4">
        <f>J6+Sheet54!K6</f>
        <v>-18.375291999999995</v>
      </c>
      <c r="L6" s="4">
        <f>K6+Sheet54!L6</f>
        <v>-28.432491999999996</v>
      </c>
      <c r="M6" s="4">
        <f>L6+Sheet54!M6</f>
        <v>-27.291491999999998</v>
      </c>
      <c r="N6" s="4">
        <f>M6+Sheet54!N6</f>
        <v>-39.426591999999999</v>
      </c>
      <c r="O6" s="4">
        <f>N6+Sheet54!O6</f>
        <v>-39.426591999999999</v>
      </c>
      <c r="P6" s="4">
        <f>O6+Sheet54!P6</f>
        <v>-39.426591999999999</v>
      </c>
      <c r="Q6" s="4">
        <f>P6+Sheet54!Q6</f>
        <v>-47.647592000000003</v>
      </c>
      <c r="R6" s="4">
        <f>Q6+Sheet54!R6</f>
        <v>-41.685792000000006</v>
      </c>
      <c r="S6" s="4">
        <f>R6+Sheet54!S6</f>
        <v>-33.191842000000008</v>
      </c>
      <c r="T6" s="4">
        <f>S6+Sheet54!T6</f>
        <v>-27.745492000000009</v>
      </c>
      <c r="U6" s="4">
        <f>T6+Sheet54!U6</f>
        <v>-25.637242000000008</v>
      </c>
      <c r="V6" s="4">
        <f>U6+Sheet54!V6</f>
        <v>-25.637242000000008</v>
      </c>
      <c r="W6" s="4">
        <f>V6+Sheet54!W6</f>
        <v>-25.637242000000008</v>
      </c>
      <c r="X6" s="4">
        <f>W6+Sheet54!X6</f>
        <v>-28.116392000000008</v>
      </c>
      <c r="Y6" s="4">
        <f>X6+Sheet54!Y6</f>
        <v>-21.995242000000008</v>
      </c>
      <c r="Z6" s="4">
        <f>Y6+Sheet54!Z6</f>
        <v>-53.49839200000001</v>
      </c>
      <c r="AA6" s="4">
        <f>Z6+Sheet54!AA6</f>
        <v>-66.833992000000009</v>
      </c>
      <c r="AB6" s="4">
        <f>AA6+Sheet54!AB6</f>
        <v>-71.00569200000001</v>
      </c>
      <c r="AC6" s="4">
        <f>AB6+Sheet54!AC6</f>
        <v>-71.00569200000001</v>
      </c>
      <c r="AD6" s="4">
        <f>AC6+Sheet54!AD6</f>
        <v>-71.00569200000001</v>
      </c>
      <c r="AE6" s="4">
        <f>AD6+Sheet54!AE6</f>
        <v>-77.177542000000017</v>
      </c>
      <c r="AF6" s="4">
        <f>AE6+Sheet54!AF6</f>
        <v>-63.885992000000016</v>
      </c>
      <c r="AG6" s="4">
        <f>AF6+Sheet54!AG6</f>
        <v>-72.067992000000018</v>
      </c>
      <c r="AH6" s="4">
        <f>AG6+Sheet54!AH6</f>
        <v>-40.927492000000015</v>
      </c>
      <c r="AI6" s="4">
        <f>AH6+Sheet54!AI6</f>
        <v>-62.720242000000013</v>
      </c>
      <c r="AJ6" s="4">
        <f>AI6+Sheet54!AJ6</f>
        <v>-62.720242000000013</v>
      </c>
      <c r="AK6" s="5"/>
    </row>
    <row r="7" spans="1:37" ht="21" customHeight="1">
      <c r="A7" s="12"/>
      <c r="B7" s="14"/>
      <c r="C7" s="15"/>
      <c r="D7" s="21" t="s">
        <v>51</v>
      </c>
      <c r="E7" s="4">
        <v>0</v>
      </c>
      <c r="F7" s="4">
        <f>Sheet54!F7</f>
        <v>0</v>
      </c>
      <c r="G7" s="4">
        <f>Sheet54!G7</f>
        <v>0</v>
      </c>
      <c r="H7" s="4">
        <f>Sheet54!H7</f>
        <v>0</v>
      </c>
      <c r="I7" s="4">
        <f>Sheet54!I7</f>
        <v>0</v>
      </c>
      <c r="J7" s="4">
        <f>Sheet54!J7</f>
        <v>-4.1249500000000001</v>
      </c>
      <c r="K7" s="4">
        <f>Sheet54!K7</f>
        <v>21.647950000000002</v>
      </c>
      <c r="L7" s="4">
        <f>Sheet54!L7</f>
        <v>-10.0572</v>
      </c>
      <c r="M7" s="4">
        <f>Sheet54!M7</f>
        <v>1.141</v>
      </c>
      <c r="N7" s="4">
        <f>Sheet54!N7</f>
        <v>-12.1351</v>
      </c>
      <c r="O7" s="4">
        <f>Sheet54!O7</f>
        <v>0</v>
      </c>
      <c r="P7" s="4">
        <f>Sheet54!P7</f>
        <v>0</v>
      </c>
      <c r="Q7" s="4">
        <f>Sheet54!Q7</f>
        <v>-8.2210000000000001</v>
      </c>
      <c r="R7" s="4">
        <f>Sheet54!R7</f>
        <v>5.9618000000000002</v>
      </c>
      <c r="S7" s="4">
        <f>Sheet54!S7</f>
        <v>8.4939499999999999</v>
      </c>
      <c r="T7" s="4">
        <f>Sheet54!T7</f>
        <v>5.4463499999999998</v>
      </c>
      <c r="U7" s="4">
        <f>Sheet54!U7</f>
        <v>2.10825</v>
      </c>
      <c r="V7" s="4">
        <f>Sheet54!V7</f>
        <v>0</v>
      </c>
      <c r="W7" s="4">
        <f>Sheet54!W7</f>
        <v>0</v>
      </c>
      <c r="X7" s="4">
        <f>Sheet54!X7</f>
        <v>-2.4791500000000002</v>
      </c>
      <c r="Y7" s="4">
        <f>Sheet54!Y7</f>
        <v>6.1211500000000001</v>
      </c>
      <c r="Z7" s="4">
        <f>Sheet54!Z7</f>
        <v>-31.503150000000002</v>
      </c>
      <c r="AA7" s="4">
        <f>Sheet54!AA7</f>
        <v>-13.335599999999999</v>
      </c>
      <c r="AB7" s="4">
        <f>Sheet54!AB7</f>
        <v>-4.1717000000000004</v>
      </c>
      <c r="AC7" s="4">
        <f>Sheet54!AC7</f>
        <v>0</v>
      </c>
      <c r="AD7" s="4">
        <f>Sheet54!AD7</f>
        <v>0</v>
      </c>
      <c r="AE7" s="4">
        <f>Sheet54!AE7</f>
        <v>-6.1718500000000001</v>
      </c>
      <c r="AF7" s="4">
        <f>Sheet54!AF7</f>
        <v>13.291550000000001</v>
      </c>
      <c r="AG7" s="4">
        <f>Sheet54!AG7</f>
        <v>-8.1820000000000004</v>
      </c>
      <c r="AH7" s="4">
        <f>Sheet54!AH7</f>
        <v>31.140499999999999</v>
      </c>
      <c r="AI7" s="4">
        <f>Sheet54!AI7</f>
        <v>-21.792750000000002</v>
      </c>
      <c r="AJ7" s="4">
        <f>Sheet54!AJ7</f>
        <v>0</v>
      </c>
      <c r="AK7" s="5"/>
    </row>
    <row r="8" spans="1:37" ht="21" customHeight="1">
      <c r="A8" s="12"/>
      <c r="B8" s="14"/>
      <c r="C8" s="15" t="s">
        <v>53</v>
      </c>
      <c r="D8" s="22" t="s">
        <v>40</v>
      </c>
      <c r="E8" s="4">
        <v>879.184259</v>
      </c>
      <c r="F8" s="4">
        <f>E8+Sheet54!F8</f>
        <v>879.184259</v>
      </c>
      <c r="G8" s="4">
        <f>F8+Sheet54!G8</f>
        <v>879.184259</v>
      </c>
      <c r="H8" s="4">
        <f>G8+Sheet54!H8</f>
        <v>879.184259</v>
      </c>
      <c r="I8" s="4">
        <f>H8+Sheet54!I8</f>
        <v>879.184259</v>
      </c>
      <c r="J8" s="4">
        <f>I8+Sheet54!J8</f>
        <v>879.184259</v>
      </c>
      <c r="K8" s="4">
        <f>J8+Sheet54!K8</f>
        <v>879.184259</v>
      </c>
      <c r="L8" s="4">
        <f>K8+Sheet54!L8</f>
        <v>879.184259</v>
      </c>
      <c r="M8" s="4">
        <f>L8+Sheet54!M8</f>
        <v>879.184259</v>
      </c>
      <c r="N8" s="4">
        <f>M8+Sheet54!N8</f>
        <v>879.184259</v>
      </c>
      <c r="O8" s="4">
        <f>N8+Sheet54!O8</f>
        <v>879.184259</v>
      </c>
      <c r="P8" s="4">
        <f>O8+Sheet54!P8</f>
        <v>879.184259</v>
      </c>
      <c r="Q8" s="4">
        <f>P8+Sheet54!Q8</f>
        <v>879.184259</v>
      </c>
      <c r="R8" s="4">
        <f>Q8+Sheet54!R8</f>
        <v>879.184259</v>
      </c>
      <c r="S8" s="4">
        <f>R8+Sheet54!S8</f>
        <v>879.184259</v>
      </c>
      <c r="T8" s="4">
        <f>S8+Sheet54!T8</f>
        <v>879.184259</v>
      </c>
      <c r="U8" s="4">
        <f>T8+Sheet54!U8</f>
        <v>879.184259</v>
      </c>
      <c r="V8" s="4">
        <f>U8+Sheet54!V8</f>
        <v>879.184259</v>
      </c>
      <c r="W8" s="4">
        <f>V8+Sheet54!W8</f>
        <v>879.184259</v>
      </c>
      <c r="X8" s="4">
        <f>W8+Sheet54!X8</f>
        <v>879.184259</v>
      </c>
      <c r="Y8" s="4">
        <f>X8+Sheet54!Y8</f>
        <v>879.184259</v>
      </c>
      <c r="Z8" s="4">
        <f>Y8+Sheet54!Z8</f>
        <v>879.184259</v>
      </c>
      <c r="AA8" s="4">
        <f>Z8+Sheet54!AA8</f>
        <v>879.184259</v>
      </c>
      <c r="AB8" s="4">
        <f>AA8+Sheet54!AB8</f>
        <v>879.184259</v>
      </c>
      <c r="AC8" s="4">
        <f>AB8+Sheet54!AC8</f>
        <v>879.184259</v>
      </c>
      <c r="AD8" s="4">
        <f>AC8+Sheet54!AD8</f>
        <v>879.184259</v>
      </c>
      <c r="AE8" s="4">
        <f>AD8+Sheet54!AE8</f>
        <v>879.184259</v>
      </c>
      <c r="AF8" s="4">
        <f>AE8+Sheet54!AF8</f>
        <v>879.184259</v>
      </c>
      <c r="AG8" s="4">
        <f>AF8+Sheet54!AG8</f>
        <v>879.184259</v>
      </c>
      <c r="AH8" s="4">
        <f>AG8+Sheet54!AH8</f>
        <v>879.184259</v>
      </c>
      <c r="AI8" s="4">
        <f>AH8+Sheet54!AI8</f>
        <v>879.184259</v>
      </c>
      <c r="AJ8" s="4">
        <f>AI8+Sheet54!AJ8</f>
        <v>879.184259</v>
      </c>
      <c r="AK8" s="5"/>
    </row>
    <row r="9" spans="1:37" ht="21" customHeight="1">
      <c r="A9" s="12"/>
      <c r="B9" s="14"/>
      <c r="C9" s="15"/>
      <c r="D9" s="22" t="s">
        <v>50</v>
      </c>
      <c r="E9" s="4">
        <v>-57.184258999999997</v>
      </c>
      <c r="F9" s="4">
        <f>E9+Sheet54!F9</f>
        <v>-57.184258999999997</v>
      </c>
      <c r="G9" s="4">
        <f>F9+Sheet54!G9</f>
        <v>-57.184258999999997</v>
      </c>
      <c r="H9" s="4">
        <f>G9+Sheet54!H9</f>
        <v>-57.184258999999997</v>
      </c>
      <c r="I9" s="4">
        <f>H9+Sheet54!I9</f>
        <v>-57.184258999999997</v>
      </c>
      <c r="J9" s="4">
        <f>I9+Sheet54!J9</f>
        <v>-51.184258999999997</v>
      </c>
      <c r="K9" s="4">
        <f>J9+Sheet54!K9</f>
        <v>-40.684258999999997</v>
      </c>
      <c r="L9" s="4">
        <f>K9+Sheet54!L9</f>
        <v>-46.684258999999997</v>
      </c>
      <c r="M9" s="4">
        <f>L9+Sheet54!M9</f>
        <v>-49.684258999999997</v>
      </c>
      <c r="N9" s="4">
        <f>M9+Sheet54!N9</f>
        <v>-52.684258999999997</v>
      </c>
      <c r="O9" s="4">
        <f>N9+Sheet54!O9</f>
        <v>-52.684258999999997</v>
      </c>
      <c r="P9" s="4">
        <f>O9+Sheet54!P9</f>
        <v>-52.684258999999997</v>
      </c>
      <c r="Q9" s="4">
        <f>P9+Sheet54!Q9</f>
        <v>-51.184258999999997</v>
      </c>
      <c r="R9" s="4">
        <f>Q9+Sheet54!R9</f>
        <v>-49.684258999999997</v>
      </c>
      <c r="S9" s="4">
        <f>R9+Sheet54!S9</f>
        <v>-72.184258999999997</v>
      </c>
      <c r="T9" s="4">
        <f>S9+Sheet54!T9</f>
        <v>-79.684258999999997</v>
      </c>
      <c r="U9" s="4">
        <f>T9+Sheet54!U9</f>
        <v>-93.184258999999997</v>
      </c>
      <c r="V9" s="4">
        <f>U9+Sheet54!V9</f>
        <v>-93.184258999999997</v>
      </c>
      <c r="W9" s="4">
        <f>V9+Sheet54!W9</f>
        <v>-93.184258999999997</v>
      </c>
      <c r="X9" s="4">
        <f>W9+Sheet54!X9</f>
        <v>-96.184258999999997</v>
      </c>
      <c r="Y9" s="4">
        <f>X9+Sheet54!Y9</f>
        <v>-81.184258999999997</v>
      </c>
      <c r="Z9" s="4">
        <f>Y9+Sheet54!Z9</f>
        <v>-90.184258999999997</v>
      </c>
      <c r="AA9" s="4">
        <f>Z9+Sheet54!AA9</f>
        <v>-84.184258999999997</v>
      </c>
      <c r="AB9" s="4">
        <f>AA9+Sheet54!AB9</f>
        <v>-90.184258999999997</v>
      </c>
      <c r="AC9" s="4">
        <f>AB9+Sheet54!AC9</f>
        <v>-90.184258999999997</v>
      </c>
      <c r="AD9" s="4">
        <f>AC9+Sheet54!AD9</f>
        <v>-90.184258999999997</v>
      </c>
      <c r="AE9" s="4">
        <f>AD9+Sheet54!AE9</f>
        <v>-88.684258999999997</v>
      </c>
      <c r="AF9" s="4">
        <f>AE9+Sheet54!AF9</f>
        <v>-93.184258999999997</v>
      </c>
      <c r="AG9" s="4">
        <f>AF9+Sheet54!AG9</f>
        <v>-88.684258999999997</v>
      </c>
      <c r="AH9" s="4">
        <f>AG9+Sheet54!AH9</f>
        <v>-75.184258999999997</v>
      </c>
      <c r="AI9" s="4">
        <f>AH9+Sheet54!AI9</f>
        <v>-84.184258999999997</v>
      </c>
      <c r="AJ9" s="4">
        <f>AI9+Sheet54!AJ9</f>
        <v>-84.184258999999997</v>
      </c>
      <c r="AK9" s="5"/>
    </row>
    <row r="10" spans="1:37" ht="21" customHeight="1">
      <c r="A10" s="12"/>
      <c r="B10" s="14"/>
      <c r="C10" s="15"/>
      <c r="D10" s="21" t="s">
        <v>51</v>
      </c>
      <c r="E10" s="4">
        <v>0</v>
      </c>
      <c r="F10" s="4">
        <f>Sheet54!F10</f>
        <v>0</v>
      </c>
      <c r="G10" s="4">
        <f>Sheet54!G10</f>
        <v>0</v>
      </c>
      <c r="H10" s="4">
        <f>Sheet54!H10</f>
        <v>0</v>
      </c>
      <c r="I10" s="4">
        <f>Sheet54!I10</f>
        <v>0</v>
      </c>
      <c r="J10" s="4">
        <f>Sheet54!J10</f>
        <v>6</v>
      </c>
      <c r="K10" s="4">
        <f>Sheet54!K10</f>
        <v>10.5</v>
      </c>
      <c r="L10" s="4">
        <f>Sheet54!L10</f>
        <v>-6</v>
      </c>
      <c r="M10" s="4">
        <f>Sheet54!M10</f>
        <v>-3</v>
      </c>
      <c r="N10" s="4">
        <f>Sheet54!N10</f>
        <v>-3</v>
      </c>
      <c r="O10" s="4">
        <f>Sheet54!O10</f>
        <v>0</v>
      </c>
      <c r="P10" s="4">
        <f>Sheet54!P10</f>
        <v>0</v>
      </c>
      <c r="Q10" s="4">
        <f>Sheet54!Q10</f>
        <v>1.5</v>
      </c>
      <c r="R10" s="4">
        <f>Sheet54!R10</f>
        <v>1.5</v>
      </c>
      <c r="S10" s="4">
        <f>Sheet54!S10</f>
        <v>-22.5</v>
      </c>
      <c r="T10" s="4">
        <f>Sheet54!T10</f>
        <v>-7.5</v>
      </c>
      <c r="U10" s="4">
        <f>Sheet54!U10</f>
        <v>-13.5</v>
      </c>
      <c r="V10" s="4">
        <f>Sheet54!V10</f>
        <v>0</v>
      </c>
      <c r="W10" s="4">
        <f>Sheet54!W10</f>
        <v>0</v>
      </c>
      <c r="X10" s="4">
        <f>Sheet54!X10</f>
        <v>-3</v>
      </c>
      <c r="Y10" s="4">
        <f>Sheet54!Y10</f>
        <v>15</v>
      </c>
      <c r="Z10" s="4">
        <f>Sheet54!Z10</f>
        <v>-9</v>
      </c>
      <c r="AA10" s="4">
        <f>Sheet54!AA10</f>
        <v>6</v>
      </c>
      <c r="AB10" s="4">
        <f>Sheet54!AB10</f>
        <v>-6</v>
      </c>
      <c r="AC10" s="4">
        <f>Sheet54!AC10</f>
        <v>0</v>
      </c>
      <c r="AD10" s="4">
        <f>Sheet54!AD10</f>
        <v>0</v>
      </c>
      <c r="AE10" s="4">
        <f>Sheet54!AE10</f>
        <v>1.5</v>
      </c>
      <c r="AF10" s="4">
        <f>Sheet54!AF10</f>
        <v>-4.5</v>
      </c>
      <c r="AG10" s="4">
        <f>Sheet54!AG10</f>
        <v>4.5</v>
      </c>
      <c r="AH10" s="4">
        <f>Sheet54!AH10</f>
        <v>13.5</v>
      </c>
      <c r="AI10" s="4">
        <f>Sheet54!AI10</f>
        <v>-9</v>
      </c>
      <c r="AJ10" s="4">
        <f>Sheet54!AJ10</f>
        <v>0</v>
      </c>
      <c r="AK10" s="5"/>
    </row>
    <row r="11" spans="1:37" ht="21" customHeight="1">
      <c r="A11" s="12"/>
      <c r="B11" s="14"/>
      <c r="C11" s="15" t="s">
        <v>54</v>
      </c>
      <c r="D11" s="22" t="s">
        <v>40</v>
      </c>
      <c r="E11" s="4">
        <v>452.26320900000002</v>
      </c>
      <c r="F11" s="4">
        <f>E11+Sheet54!F11</f>
        <v>452.26320900000002</v>
      </c>
      <c r="G11" s="4">
        <f>F11+Sheet54!G11</f>
        <v>452.26320900000002</v>
      </c>
      <c r="H11" s="4">
        <f>G11+Sheet54!H11</f>
        <v>452.26320900000002</v>
      </c>
      <c r="I11" s="4">
        <f>H11+Sheet54!I11</f>
        <v>452.26320900000002</v>
      </c>
      <c r="J11" s="4">
        <f>I11+Sheet54!J11</f>
        <v>452.26320900000002</v>
      </c>
      <c r="K11" s="4">
        <f>J11+Sheet54!K11</f>
        <v>452.26320900000002</v>
      </c>
      <c r="L11" s="4">
        <f>K11+Sheet54!L11</f>
        <v>452.26320900000002</v>
      </c>
      <c r="M11" s="4">
        <f>L11+Sheet54!M11</f>
        <v>452.26320900000002</v>
      </c>
      <c r="N11" s="4">
        <f>M11+Sheet54!N11</f>
        <v>452.26320900000002</v>
      </c>
      <c r="O11" s="4">
        <f>N11+Sheet54!O11</f>
        <v>452.26320900000002</v>
      </c>
      <c r="P11" s="4">
        <f>O11+Sheet54!P11</f>
        <v>452.26320900000002</v>
      </c>
      <c r="Q11" s="4">
        <f>P11+Sheet54!Q11</f>
        <v>452.26320900000002</v>
      </c>
      <c r="R11" s="4">
        <f>Q11+Sheet54!R11</f>
        <v>452.26320900000002</v>
      </c>
      <c r="S11" s="4">
        <f>R11+Sheet54!S11</f>
        <v>452.26320900000002</v>
      </c>
      <c r="T11" s="4">
        <f>S11+Sheet54!T11</f>
        <v>452.26320900000002</v>
      </c>
      <c r="U11" s="4">
        <f>T11+Sheet54!U11</f>
        <v>452.26320900000002</v>
      </c>
      <c r="V11" s="4">
        <f>U11+Sheet54!V11</f>
        <v>452.26320900000002</v>
      </c>
      <c r="W11" s="4">
        <f>V11+Sheet54!W11</f>
        <v>452.26320900000002</v>
      </c>
      <c r="X11" s="4">
        <f>W11+Sheet54!X11</f>
        <v>452.26320900000002</v>
      </c>
      <c r="Y11" s="4">
        <f>X11+Sheet54!Y11</f>
        <v>452.26320900000002</v>
      </c>
      <c r="Z11" s="4">
        <f>Y11+Sheet54!Z11</f>
        <v>452.26320900000002</v>
      </c>
      <c r="AA11" s="4">
        <f>Z11+Sheet54!AA11</f>
        <v>452.26320900000002</v>
      </c>
      <c r="AB11" s="4">
        <f>AA11+Sheet54!AB11</f>
        <v>452.26320900000002</v>
      </c>
      <c r="AC11" s="4">
        <f>AB11+Sheet54!AC11</f>
        <v>452.26320900000002</v>
      </c>
      <c r="AD11" s="4">
        <f>AC11+Sheet54!AD11</f>
        <v>452.26320900000002</v>
      </c>
      <c r="AE11" s="4">
        <f>AD11+Sheet54!AE11</f>
        <v>452.26320900000002</v>
      </c>
      <c r="AF11" s="4">
        <f>AE11+Sheet54!AF11</f>
        <v>452.26320900000002</v>
      </c>
      <c r="AG11" s="4">
        <f>AF11+Sheet54!AG11</f>
        <v>452.26320900000002</v>
      </c>
      <c r="AH11" s="4">
        <f>AG11+Sheet54!AH11</f>
        <v>452.26320900000002</v>
      </c>
      <c r="AI11" s="4">
        <f>AH11+Sheet54!AI11</f>
        <v>452.26320900000002</v>
      </c>
      <c r="AJ11" s="4">
        <f>AI11+Sheet54!AJ11</f>
        <v>452.26320900000002</v>
      </c>
      <c r="AK11" s="5"/>
    </row>
    <row r="12" spans="1:37" ht="21" customHeight="1">
      <c r="A12" s="12"/>
      <c r="B12" s="14"/>
      <c r="C12" s="15"/>
      <c r="D12" s="22" t="s">
        <v>50</v>
      </c>
      <c r="E12" s="4">
        <v>-10.742409</v>
      </c>
      <c r="F12" s="4">
        <f>E12+Sheet54!F12</f>
        <v>-10.742409</v>
      </c>
      <c r="G12" s="4">
        <f>F12+Sheet54!G12</f>
        <v>-10.742409</v>
      </c>
      <c r="H12" s="4">
        <f>G12+Sheet54!H12</f>
        <v>-10.742409</v>
      </c>
      <c r="I12" s="4">
        <f>H12+Sheet54!I12</f>
        <v>-10.742409</v>
      </c>
      <c r="J12" s="4">
        <f>I12+Sheet54!J12</f>
        <v>-10.380209000000001</v>
      </c>
      <c r="K12" s="4">
        <f>J12+Sheet54!K12</f>
        <v>-4.3632090000000003</v>
      </c>
      <c r="L12" s="4">
        <f>K12+Sheet54!L12</f>
        <v>-2.4210090000000006</v>
      </c>
      <c r="M12" s="4">
        <f>L12+Sheet54!M12</f>
        <v>-1.7182090000000008</v>
      </c>
      <c r="N12" s="4">
        <f>M12+Sheet54!N12</f>
        <v>-0.78000900000000073</v>
      </c>
      <c r="O12" s="4">
        <f>N12+Sheet54!O12</f>
        <v>-0.78000900000000073</v>
      </c>
      <c r="P12" s="4">
        <f>O12+Sheet54!P12</f>
        <v>-0.78000900000000073</v>
      </c>
      <c r="Q12" s="4">
        <f>P12+Sheet54!Q12</f>
        <v>-0.88080900000000073</v>
      </c>
      <c r="R12" s="4">
        <f>Q12+Sheet54!R12</f>
        <v>0.15139099999999928</v>
      </c>
      <c r="S12" s="4">
        <f>R12+Sheet54!S12</f>
        <v>5.5159909999999996</v>
      </c>
      <c r="T12" s="4">
        <f>S12+Sheet54!T12</f>
        <v>5.5671909999999993</v>
      </c>
      <c r="U12" s="4">
        <f>T12+Sheet54!U12</f>
        <v>-1.9392090000000008</v>
      </c>
      <c r="V12" s="4">
        <f>U12+Sheet54!V12</f>
        <v>-1.9392090000000008</v>
      </c>
      <c r="W12" s="4">
        <f>V12+Sheet54!W12</f>
        <v>-1.9392090000000008</v>
      </c>
      <c r="X12" s="4">
        <f>W12+Sheet54!X12</f>
        <v>-2.0904090000000011</v>
      </c>
      <c r="Y12" s="4">
        <f>X12+Sheet54!Y12</f>
        <v>6.4817909999999994</v>
      </c>
      <c r="Z12" s="4">
        <f>Y12+Sheet54!Z12</f>
        <v>7.8023909999999992</v>
      </c>
      <c r="AA12" s="4">
        <f>Z12+Sheet54!AA12</f>
        <v>19.135190999999999</v>
      </c>
      <c r="AB12" s="4">
        <f>AA12+Sheet54!AB12</f>
        <v>19.029591</v>
      </c>
      <c r="AC12" s="4">
        <f>AB12+Sheet54!AC12</f>
        <v>19.029591</v>
      </c>
      <c r="AD12" s="4">
        <f>AC12+Sheet54!AD12</f>
        <v>19.029591</v>
      </c>
      <c r="AE12" s="4">
        <f>AD12+Sheet54!AE12</f>
        <v>17.296990999999998</v>
      </c>
      <c r="AF12" s="4">
        <f>AE12+Sheet54!AF12</f>
        <v>11.576790999999998</v>
      </c>
      <c r="AG12" s="4">
        <f>AF12+Sheet54!AG12</f>
        <v>18.607191</v>
      </c>
      <c r="AH12" s="4">
        <f>AG12+Sheet54!AH12</f>
        <v>22.729790999999999</v>
      </c>
      <c r="AI12" s="4">
        <f>AH12+Sheet54!AI12</f>
        <v>26.287790999999999</v>
      </c>
      <c r="AJ12" s="4">
        <f>AI12+Sheet54!AJ12</f>
        <v>26.287790999999999</v>
      </c>
      <c r="AK12" s="5"/>
    </row>
    <row r="13" spans="1:37" ht="21" customHeight="1">
      <c r="A13" s="12"/>
      <c r="B13" s="14"/>
      <c r="C13" s="15"/>
      <c r="D13" s="21" t="s">
        <v>51</v>
      </c>
      <c r="E13" s="4">
        <v>0</v>
      </c>
      <c r="F13" s="4">
        <f>Sheet54!F13</f>
        <v>0</v>
      </c>
      <c r="G13" s="4">
        <f>Sheet54!G13</f>
        <v>0</v>
      </c>
      <c r="H13" s="4">
        <f>Sheet54!H13</f>
        <v>0</v>
      </c>
      <c r="I13" s="4">
        <f>Sheet54!I13</f>
        <v>0</v>
      </c>
      <c r="J13" s="4">
        <f>Sheet54!J13</f>
        <v>0.36220000000000002</v>
      </c>
      <c r="K13" s="4">
        <f>Sheet54!K13</f>
        <v>6.0170000000000003</v>
      </c>
      <c r="L13" s="4">
        <f>Sheet54!L13</f>
        <v>1.9421999999999999</v>
      </c>
      <c r="M13" s="4">
        <f>Sheet54!M13</f>
        <v>0.70279999999999998</v>
      </c>
      <c r="N13" s="4">
        <f>Sheet54!N13</f>
        <v>0.93820000000000003</v>
      </c>
      <c r="O13" s="4">
        <f>Sheet54!O13</f>
        <v>0</v>
      </c>
      <c r="P13" s="4">
        <f>Sheet54!P13</f>
        <v>0</v>
      </c>
      <c r="Q13" s="4">
        <f>Sheet54!Q13</f>
        <v>-0.1008</v>
      </c>
      <c r="R13" s="4">
        <f>Sheet54!R13</f>
        <v>1.0322</v>
      </c>
      <c r="S13" s="4">
        <f>Sheet54!S13</f>
        <v>5.3646000000000003</v>
      </c>
      <c r="T13" s="4">
        <f>Sheet54!T13</f>
        <v>5.1200000000000002E-2</v>
      </c>
      <c r="U13" s="4">
        <f>Sheet54!U13</f>
        <v>-7.5064000000000002</v>
      </c>
      <c r="V13" s="4">
        <f>Sheet54!V13</f>
        <v>0</v>
      </c>
      <c r="W13" s="4">
        <f>Sheet54!W13</f>
        <v>0</v>
      </c>
      <c r="X13" s="4">
        <f>Sheet54!X13</f>
        <v>-0.1512</v>
      </c>
      <c r="Y13" s="4">
        <f>Sheet54!Y13</f>
        <v>8.5722000000000005</v>
      </c>
      <c r="Z13" s="4">
        <f>Sheet54!Z13</f>
        <v>1.3206</v>
      </c>
      <c r="AA13" s="4">
        <f>Sheet54!AA13</f>
        <v>11.332800000000001</v>
      </c>
      <c r="AB13" s="4">
        <f>Sheet54!AB13</f>
        <v>-0.1056</v>
      </c>
      <c r="AC13" s="4">
        <f>Sheet54!AC13</f>
        <v>0</v>
      </c>
      <c r="AD13" s="4">
        <f>Sheet54!AD13</f>
        <v>0</v>
      </c>
      <c r="AE13" s="4">
        <f>Sheet54!AE13</f>
        <v>-1.7325999999999999</v>
      </c>
      <c r="AF13" s="4">
        <f>Sheet54!AF13</f>
        <v>-5.7202000000000002</v>
      </c>
      <c r="AG13" s="4">
        <f>Sheet54!AG13</f>
        <v>7.0304000000000002</v>
      </c>
      <c r="AH13" s="4">
        <f>Sheet54!AH13</f>
        <v>4.1226000000000003</v>
      </c>
      <c r="AI13" s="4">
        <f>Sheet54!AI13</f>
        <v>3.5579999999999998</v>
      </c>
      <c r="AJ13" s="4">
        <f>Sheet54!AJ13</f>
        <v>0</v>
      </c>
      <c r="AK13" s="5"/>
    </row>
    <row r="14" spans="1:37" ht="21" customHeight="1">
      <c r="A14" s="12"/>
      <c r="B14" s="14"/>
      <c r="C14" s="15" t="s">
        <v>55</v>
      </c>
      <c r="D14" s="22" t="s">
        <v>40</v>
      </c>
      <c r="E14" s="4">
        <v>814.29188299999998</v>
      </c>
      <c r="F14" s="4">
        <f>E14+Sheet54!F14</f>
        <v>814.29188299999998</v>
      </c>
      <c r="G14" s="4">
        <f>F14+Sheet54!G14</f>
        <v>814.29188299999998</v>
      </c>
      <c r="H14" s="4">
        <f>G14+Sheet54!H14</f>
        <v>814.29188299999998</v>
      </c>
      <c r="I14" s="4">
        <f>H14+Sheet54!I14</f>
        <v>814.29188299999998</v>
      </c>
      <c r="J14" s="4">
        <f>I14+Sheet54!J14</f>
        <v>814.29188299999998</v>
      </c>
      <c r="K14" s="4">
        <f>J14+Sheet54!K14</f>
        <v>814.29188299999998</v>
      </c>
      <c r="L14" s="4">
        <f>K14+Sheet54!L14</f>
        <v>814.29188299999998</v>
      </c>
      <c r="M14" s="4">
        <f>L14+Sheet54!M14</f>
        <v>814.29188299999998</v>
      </c>
      <c r="N14" s="4">
        <f>M14+Sheet54!N14</f>
        <v>814.29188299999998</v>
      </c>
      <c r="O14" s="4">
        <f>N14+Sheet54!O14</f>
        <v>814.29188299999998</v>
      </c>
      <c r="P14" s="4">
        <f>O14+Sheet54!P14</f>
        <v>814.29188299999998</v>
      </c>
      <c r="Q14" s="4">
        <f>P14+Sheet54!Q14</f>
        <v>814.29188299999998</v>
      </c>
      <c r="R14" s="4">
        <f>Q14+Sheet54!R14</f>
        <v>814.29188299999998</v>
      </c>
      <c r="S14" s="4">
        <f>R14+Sheet54!S14</f>
        <v>814.29188299999998</v>
      </c>
      <c r="T14" s="4">
        <f>S14+Sheet54!T14</f>
        <v>814.29188299999998</v>
      </c>
      <c r="U14" s="4">
        <f>T14+Sheet54!U14</f>
        <v>814.29188299999998</v>
      </c>
      <c r="V14" s="4">
        <f>U14+Sheet54!V14</f>
        <v>814.29188299999998</v>
      </c>
      <c r="W14" s="4">
        <f>V14+Sheet54!W14</f>
        <v>814.29188299999998</v>
      </c>
      <c r="X14" s="4">
        <f>W14+Sheet54!X14</f>
        <v>814.29188299999998</v>
      </c>
      <c r="Y14" s="4">
        <f>X14+Sheet54!Y14</f>
        <v>814.29188299999998</v>
      </c>
      <c r="Z14" s="4">
        <f>Y14+Sheet54!Z14</f>
        <v>814.29188299999998</v>
      </c>
      <c r="AA14" s="4">
        <f>Z14+Sheet54!AA14</f>
        <v>814.29188299999998</v>
      </c>
      <c r="AB14" s="4">
        <f>AA14+Sheet54!AB14</f>
        <v>814.29188299999998</v>
      </c>
      <c r="AC14" s="4">
        <f>AB14+Sheet54!AC14</f>
        <v>814.29188299999998</v>
      </c>
      <c r="AD14" s="4">
        <f>AC14+Sheet54!AD14</f>
        <v>814.29188299999998</v>
      </c>
      <c r="AE14" s="4">
        <f>AD14+Sheet54!AE14</f>
        <v>814.29188299999998</v>
      </c>
      <c r="AF14" s="4">
        <f>AE14+Sheet54!AF14</f>
        <v>814.29188299999998</v>
      </c>
      <c r="AG14" s="4">
        <f>AF14+Sheet54!AG14</f>
        <v>814.29188299999998</v>
      </c>
      <c r="AH14" s="4">
        <f>AG14+Sheet54!AH14</f>
        <v>814.29188299999998</v>
      </c>
      <c r="AI14" s="4">
        <f>AH14+Sheet54!AI14</f>
        <v>814.29188299999998</v>
      </c>
      <c r="AJ14" s="4">
        <f>AI14+Sheet54!AJ14</f>
        <v>814.29188299999998</v>
      </c>
      <c r="AK14" s="5"/>
    </row>
    <row r="15" spans="1:37" ht="21" customHeight="1">
      <c r="A15" s="12"/>
      <c r="B15" s="14"/>
      <c r="C15" s="15"/>
      <c r="D15" s="22" t="s">
        <v>50</v>
      </c>
      <c r="E15" s="4">
        <v>145.29793699999999</v>
      </c>
      <c r="F15" s="4">
        <f>E15+Sheet54!F15</f>
        <v>145.29793699999999</v>
      </c>
      <c r="G15" s="4">
        <f>F15+Sheet54!G15</f>
        <v>145.29793699999999</v>
      </c>
      <c r="H15" s="4">
        <f>G15+Sheet54!H15</f>
        <v>145.29793699999999</v>
      </c>
      <c r="I15" s="4">
        <f>H15+Sheet54!I15</f>
        <v>145.29793699999999</v>
      </c>
      <c r="J15" s="4">
        <f>I15+Sheet54!J15</f>
        <v>130.031767</v>
      </c>
      <c r="K15" s="4">
        <f>J15+Sheet54!K15</f>
        <v>131.404177</v>
      </c>
      <c r="L15" s="4">
        <f>K15+Sheet54!L15</f>
        <v>121.05729700000001</v>
      </c>
      <c r="M15" s="4">
        <f>L15+Sheet54!M15</f>
        <v>116.41561700000001</v>
      </c>
      <c r="N15" s="4">
        <f>M15+Sheet54!N15</f>
        <v>119.22129700000001</v>
      </c>
      <c r="O15" s="4">
        <f>N15+Sheet54!O15</f>
        <v>119.22129700000001</v>
      </c>
      <c r="P15" s="4">
        <f>O15+Sheet54!P15</f>
        <v>119.22129700000001</v>
      </c>
      <c r="Q15" s="4">
        <f>P15+Sheet54!Q15</f>
        <v>135.76059700000002</v>
      </c>
      <c r="R15" s="4">
        <f>Q15+Sheet54!R15</f>
        <v>143.28921700000001</v>
      </c>
      <c r="S15" s="4">
        <f>R15+Sheet54!S15</f>
        <v>134.169397</v>
      </c>
      <c r="T15" s="4">
        <f>S15+Sheet54!T15</f>
        <v>149.476877</v>
      </c>
      <c r="U15" s="4">
        <f>T15+Sheet54!U15</f>
        <v>150.241367</v>
      </c>
      <c r="V15" s="4">
        <f>U15+Sheet54!V15</f>
        <v>150.241367</v>
      </c>
      <c r="W15" s="4">
        <f>V15+Sheet54!W15</f>
        <v>150.241367</v>
      </c>
      <c r="X15" s="4">
        <f>W15+Sheet54!X15</f>
        <v>148.39907700000001</v>
      </c>
      <c r="Y15" s="4">
        <f>X15+Sheet54!Y15</f>
        <v>143.09286700000001</v>
      </c>
      <c r="Z15" s="4">
        <f>Y15+Sheet54!Z15</f>
        <v>126.97023700000001</v>
      </c>
      <c r="AA15" s="4">
        <f>Z15+Sheet54!AA15</f>
        <v>122.16603700000002</v>
      </c>
      <c r="AB15" s="4">
        <f>AA15+Sheet54!AB15</f>
        <v>118.92141700000002</v>
      </c>
      <c r="AC15" s="4">
        <f>AB15+Sheet54!AC15</f>
        <v>118.92141700000002</v>
      </c>
      <c r="AD15" s="4">
        <f>AC15+Sheet54!AD15</f>
        <v>118.92141700000002</v>
      </c>
      <c r="AE15" s="4">
        <f>AD15+Sheet54!AE15</f>
        <v>132.68427700000001</v>
      </c>
      <c r="AF15" s="4">
        <f>AE15+Sheet54!AF15</f>
        <v>150.13851700000001</v>
      </c>
      <c r="AG15" s="4">
        <f>AF15+Sheet54!AG15</f>
        <v>184.79165700000001</v>
      </c>
      <c r="AH15" s="4">
        <f>AG15+Sheet54!AH15</f>
        <v>189.77571700000001</v>
      </c>
      <c r="AI15" s="4">
        <f>AH15+Sheet54!AI15</f>
        <v>167.093467</v>
      </c>
      <c r="AJ15" s="4">
        <f>AI15+Sheet54!AJ15</f>
        <v>167.093467</v>
      </c>
      <c r="AK15" s="5"/>
    </row>
    <row r="16" spans="1:37" ht="21" customHeight="1">
      <c r="A16" s="12"/>
      <c r="B16" s="14"/>
      <c r="C16" s="15"/>
      <c r="D16" s="21" t="s">
        <v>51</v>
      </c>
      <c r="E16" s="4">
        <v>0</v>
      </c>
      <c r="F16" s="4">
        <f>Sheet54!F16</f>
        <v>0</v>
      </c>
      <c r="G16" s="4">
        <f>Sheet54!G16</f>
        <v>0</v>
      </c>
      <c r="H16" s="4">
        <f>Sheet54!H16</f>
        <v>0</v>
      </c>
      <c r="I16" s="4">
        <f>Sheet54!I16</f>
        <v>0</v>
      </c>
      <c r="J16" s="4">
        <f>Sheet54!J16</f>
        <v>-15.266170000000001</v>
      </c>
      <c r="K16" s="4">
        <f>Sheet54!K16</f>
        <v>1.3724099999999999</v>
      </c>
      <c r="L16" s="4">
        <f>Sheet54!L16</f>
        <v>-10.346880000000001</v>
      </c>
      <c r="M16" s="4">
        <f>Sheet54!M16</f>
        <v>-4.64168</v>
      </c>
      <c r="N16" s="4">
        <f>Sheet54!N16</f>
        <v>2.8056800000000002</v>
      </c>
      <c r="O16" s="4">
        <f>Sheet54!O16</f>
        <v>0</v>
      </c>
      <c r="P16" s="4">
        <f>Sheet54!P16</f>
        <v>0</v>
      </c>
      <c r="Q16" s="4">
        <f>Sheet54!Q16</f>
        <v>16.539300000000001</v>
      </c>
      <c r="R16" s="4">
        <f>Sheet54!R16</f>
        <v>7.5286200000000001</v>
      </c>
      <c r="S16" s="4">
        <f>Sheet54!S16</f>
        <v>-9.1198200000000007</v>
      </c>
      <c r="T16" s="4">
        <f>Sheet54!T16</f>
        <v>15.30748</v>
      </c>
      <c r="U16" s="4">
        <f>Sheet54!U16</f>
        <v>0.76449</v>
      </c>
      <c r="V16" s="4">
        <f>Sheet54!V16</f>
        <v>0</v>
      </c>
      <c r="W16" s="4">
        <f>Sheet54!W16</f>
        <v>0</v>
      </c>
      <c r="X16" s="4">
        <f>Sheet54!X16</f>
        <v>-1.84229</v>
      </c>
      <c r="Y16" s="4">
        <f>Sheet54!Y16</f>
        <v>-5.3062100000000001</v>
      </c>
      <c r="Z16" s="4">
        <f>Sheet54!Z16</f>
        <v>-16.122630000000001</v>
      </c>
      <c r="AA16" s="4">
        <f>Sheet54!AA16</f>
        <v>-4.8041999999999998</v>
      </c>
      <c r="AB16" s="4">
        <f>Sheet54!AB16</f>
        <v>-3.2446199999999998</v>
      </c>
      <c r="AC16" s="4">
        <f>Sheet54!AC16</f>
        <v>0</v>
      </c>
      <c r="AD16" s="4">
        <f>Sheet54!AD16</f>
        <v>0</v>
      </c>
      <c r="AE16" s="4">
        <f>Sheet54!AE16</f>
        <v>13.76286</v>
      </c>
      <c r="AF16" s="4">
        <f>Sheet54!AF16</f>
        <v>17.454239999999999</v>
      </c>
      <c r="AG16" s="4">
        <f>Sheet54!AG16</f>
        <v>34.65314</v>
      </c>
      <c r="AH16" s="4">
        <f>Sheet54!AH16</f>
        <v>4.9840600000000004</v>
      </c>
      <c r="AI16" s="4">
        <f>Sheet54!AI16</f>
        <v>-22.68225</v>
      </c>
      <c r="AJ16" s="4">
        <f>Sheet54!AJ16</f>
        <v>0</v>
      </c>
      <c r="AK16" s="5"/>
    </row>
    <row r="17" spans="1:37" ht="21" customHeight="1">
      <c r="A17" s="12"/>
      <c r="B17" s="14"/>
      <c r="C17" s="15"/>
      <c r="D17" s="22" t="s">
        <v>37</v>
      </c>
      <c r="E17" s="4">
        <v>24.038</v>
      </c>
      <c r="F17" s="4">
        <f>E17+Sheet54!F17</f>
        <v>24.038</v>
      </c>
      <c r="G17" s="4">
        <f>F17+Sheet54!G17</f>
        <v>24.038</v>
      </c>
      <c r="H17" s="4">
        <f>G17+Sheet54!H17</f>
        <v>24.038</v>
      </c>
      <c r="I17" s="4">
        <f>H17+Sheet54!I17</f>
        <v>24.038</v>
      </c>
      <c r="J17" s="4">
        <f>I17+Sheet54!J17</f>
        <v>24.038</v>
      </c>
      <c r="K17" s="4">
        <f>J17+Sheet54!K17</f>
        <v>24.038</v>
      </c>
      <c r="L17" s="4">
        <f>K17+Sheet54!L17</f>
        <v>24.038</v>
      </c>
      <c r="M17" s="4">
        <f>L17+Sheet54!M17</f>
        <v>24.038</v>
      </c>
      <c r="N17" s="4">
        <f>M17+Sheet54!N17</f>
        <v>24.038</v>
      </c>
      <c r="O17" s="4">
        <f>N17+Sheet54!O17</f>
        <v>24.038</v>
      </c>
      <c r="P17" s="4">
        <f>O17+Sheet54!P17</f>
        <v>24.038</v>
      </c>
      <c r="Q17" s="4">
        <f>P17+Sheet54!Q17</f>
        <v>24.038</v>
      </c>
      <c r="R17" s="4">
        <f>Q17+Sheet54!R17</f>
        <v>24.038</v>
      </c>
      <c r="S17" s="4">
        <f>R17+Sheet54!S17</f>
        <v>24.038</v>
      </c>
      <c r="T17" s="4">
        <f>S17+Sheet54!T17</f>
        <v>24.038</v>
      </c>
      <c r="U17" s="4">
        <f>T17+Sheet54!U17</f>
        <v>24.038</v>
      </c>
      <c r="V17" s="4">
        <f>U17+Sheet54!V17</f>
        <v>24.038</v>
      </c>
      <c r="W17" s="4">
        <f>V17+Sheet54!W17</f>
        <v>24.038</v>
      </c>
      <c r="X17" s="4">
        <f>W17+Sheet54!X17</f>
        <v>24.038</v>
      </c>
      <c r="Y17" s="4">
        <f>X17+Sheet54!Y17</f>
        <v>24.038</v>
      </c>
      <c r="Z17" s="4">
        <f>Y17+Sheet54!Z17</f>
        <v>24.038</v>
      </c>
      <c r="AA17" s="4">
        <f>Z17+Sheet54!AA17</f>
        <v>24.038</v>
      </c>
      <c r="AB17" s="4">
        <f>AA17+Sheet54!AB17</f>
        <v>24.038</v>
      </c>
      <c r="AC17" s="4">
        <f>AB17+Sheet54!AC17</f>
        <v>24.038</v>
      </c>
      <c r="AD17" s="4">
        <f>AC17+Sheet54!AD17</f>
        <v>24.038</v>
      </c>
      <c r="AE17" s="4">
        <f>AD17+Sheet54!AE17</f>
        <v>24.038</v>
      </c>
      <c r="AF17" s="4">
        <f>AE17+Sheet54!AF17</f>
        <v>24.038</v>
      </c>
      <c r="AG17" s="4">
        <f>AF17+Sheet54!AG17</f>
        <v>0</v>
      </c>
      <c r="AH17" s="4">
        <f>AG17+Sheet54!AH17</f>
        <v>0</v>
      </c>
      <c r="AI17" s="4">
        <f>AH17+Sheet54!AI17</f>
        <v>0</v>
      </c>
      <c r="AJ17" s="4">
        <f>AI17+Sheet54!AJ17</f>
        <v>0</v>
      </c>
      <c r="AK17" s="5"/>
    </row>
    <row r="18" spans="1:37" ht="21" customHeight="1">
      <c r="A18" s="12"/>
      <c r="B18" s="14"/>
      <c r="C18" s="15" t="s">
        <v>56</v>
      </c>
      <c r="D18" s="22" t="s">
        <v>40</v>
      </c>
      <c r="E18" s="4">
        <v>976.68199400000003</v>
      </c>
      <c r="F18" s="4">
        <f>E18+Sheet54!F18</f>
        <v>976.68199400000003</v>
      </c>
      <c r="G18" s="4">
        <f>F18+Sheet54!G18</f>
        <v>976.68199400000003</v>
      </c>
      <c r="H18" s="4">
        <f>G18+Sheet54!H18</f>
        <v>976.68199400000003</v>
      </c>
      <c r="I18" s="4">
        <f>H18+Sheet54!I18</f>
        <v>976.68199400000003</v>
      </c>
      <c r="J18" s="4">
        <f>I18+Sheet54!J18</f>
        <v>976.68199400000003</v>
      </c>
      <c r="K18" s="4">
        <f>J18+Sheet54!K18</f>
        <v>976.68199400000003</v>
      </c>
      <c r="L18" s="4">
        <f>K18+Sheet54!L18</f>
        <v>976.68199400000003</v>
      </c>
      <c r="M18" s="4">
        <f>L18+Sheet54!M18</f>
        <v>976.68199400000003</v>
      </c>
      <c r="N18" s="4">
        <f>M18+Sheet54!N18</f>
        <v>976.68199400000003</v>
      </c>
      <c r="O18" s="4">
        <f>N18+Sheet54!O18</f>
        <v>976.68199400000003</v>
      </c>
      <c r="P18" s="4">
        <f>O18+Sheet54!P18</f>
        <v>976.68199400000003</v>
      </c>
      <c r="Q18" s="4">
        <f>P18+Sheet54!Q18</f>
        <v>976.68199400000003</v>
      </c>
      <c r="R18" s="4">
        <f>Q18+Sheet54!R18</f>
        <v>976.68199400000003</v>
      </c>
      <c r="S18" s="4">
        <f>R18+Sheet54!S18</f>
        <v>976.68199400000003</v>
      </c>
      <c r="T18" s="4">
        <f>S18+Sheet54!T18</f>
        <v>976.68199400000003</v>
      </c>
      <c r="U18" s="4">
        <f>T18+Sheet54!U18</f>
        <v>976.68199400000003</v>
      </c>
      <c r="V18" s="4">
        <f>U18+Sheet54!V18</f>
        <v>976.68199400000003</v>
      </c>
      <c r="W18" s="4">
        <f>V18+Sheet54!W18</f>
        <v>976.68199400000003</v>
      </c>
      <c r="X18" s="4">
        <f>W18+Sheet54!X18</f>
        <v>976.68199400000003</v>
      </c>
      <c r="Y18" s="4">
        <f>X18+Sheet54!Y18</f>
        <v>976.68199400000003</v>
      </c>
      <c r="Z18" s="4">
        <f>Y18+Sheet54!Z18</f>
        <v>976.68199400000003</v>
      </c>
      <c r="AA18" s="4">
        <f>Z18+Sheet54!AA18</f>
        <v>976.68199400000003</v>
      </c>
      <c r="AB18" s="4">
        <f>AA18+Sheet54!AB18</f>
        <v>976.68199400000003</v>
      </c>
      <c r="AC18" s="4">
        <f>AB18+Sheet54!AC18</f>
        <v>976.68199400000003</v>
      </c>
      <c r="AD18" s="4">
        <f>AC18+Sheet54!AD18</f>
        <v>976.68199400000003</v>
      </c>
      <c r="AE18" s="4">
        <f>AD18+Sheet54!AE18</f>
        <v>976.68199400000003</v>
      </c>
      <c r="AF18" s="4">
        <f>AE18+Sheet54!AF18</f>
        <v>976.68199400000003</v>
      </c>
      <c r="AG18" s="4">
        <f>AF18+Sheet54!AG18</f>
        <v>976.68199400000003</v>
      </c>
      <c r="AH18" s="4">
        <f>AG18+Sheet54!AH18</f>
        <v>976.68199400000003</v>
      </c>
      <c r="AI18" s="4">
        <f>AH18+Sheet54!AI18</f>
        <v>976.68199400000003</v>
      </c>
      <c r="AJ18" s="4">
        <f>AI18+Sheet54!AJ18</f>
        <v>976.68199400000003</v>
      </c>
      <c r="AK18" s="5"/>
    </row>
    <row r="19" spans="1:37" ht="21" customHeight="1">
      <c r="A19" s="12"/>
      <c r="B19" s="14"/>
      <c r="C19" s="15"/>
      <c r="D19" s="22" t="s">
        <v>50</v>
      </c>
      <c r="E19" s="4">
        <v>-34.381993999999999</v>
      </c>
      <c r="F19" s="4">
        <f>E19+Sheet54!F19</f>
        <v>-34.381993999999999</v>
      </c>
      <c r="G19" s="4">
        <f>F19+Sheet54!G19</f>
        <v>-34.381993999999999</v>
      </c>
      <c r="H19" s="4">
        <f>G19+Sheet54!H19</f>
        <v>-34.381993999999999</v>
      </c>
      <c r="I19" s="4">
        <f>H19+Sheet54!I19</f>
        <v>-34.381993999999999</v>
      </c>
      <c r="J19" s="4">
        <f>I19+Sheet54!J19</f>
        <v>-37.081994000000002</v>
      </c>
      <c r="K19" s="4">
        <f>J19+Sheet54!K19</f>
        <v>-31.681994000000003</v>
      </c>
      <c r="L19" s="4">
        <f>K19+Sheet54!L19</f>
        <v>-34.381994000000006</v>
      </c>
      <c r="M19" s="4">
        <f>L19+Sheet54!M19</f>
        <v>-39.781994000000005</v>
      </c>
      <c r="N19" s="4">
        <f>M19+Sheet54!N19</f>
        <v>-45.181994000000003</v>
      </c>
      <c r="O19" s="4">
        <f>N19+Sheet54!O19</f>
        <v>-45.181994000000003</v>
      </c>
      <c r="P19" s="4">
        <f>O19+Sheet54!P19</f>
        <v>-45.181994000000003</v>
      </c>
      <c r="Q19" s="4">
        <f>P19+Sheet54!Q19</f>
        <v>-42.481994</v>
      </c>
      <c r="R19" s="4">
        <f>Q19+Sheet54!R19</f>
        <v>-42.481994</v>
      </c>
      <c r="S19" s="4">
        <f>R19+Sheet54!S19</f>
        <v>-50.581994000000002</v>
      </c>
      <c r="T19" s="4">
        <f>S19+Sheet54!T19</f>
        <v>-64.081994000000009</v>
      </c>
      <c r="U19" s="4">
        <f>T19+Sheet54!U19</f>
        <v>-72.181994000000003</v>
      </c>
      <c r="V19" s="4">
        <f>U19+Sheet54!V19</f>
        <v>-72.181994000000003</v>
      </c>
      <c r="W19" s="4">
        <f>V19+Sheet54!W19</f>
        <v>-72.181994000000003</v>
      </c>
      <c r="X19" s="4">
        <f>W19+Sheet54!X19</f>
        <v>-74.881994000000006</v>
      </c>
      <c r="Y19" s="4">
        <f>X19+Sheet54!Y19</f>
        <v>-61.381994000000006</v>
      </c>
      <c r="Z19" s="4">
        <f>Y19+Sheet54!Z19</f>
        <v>-69.481994</v>
      </c>
      <c r="AA19" s="4">
        <f>Z19+Sheet54!AA19</f>
        <v>-64.081993999999995</v>
      </c>
      <c r="AB19" s="4">
        <f>AA19+Sheet54!AB19</f>
        <v>-66.781993999999997</v>
      </c>
      <c r="AC19" s="4">
        <f>AB19+Sheet54!AC19</f>
        <v>-66.781993999999997</v>
      </c>
      <c r="AD19" s="4">
        <f>AC19+Sheet54!AD19</f>
        <v>-66.781993999999997</v>
      </c>
      <c r="AE19" s="4">
        <f>AD19+Sheet54!AE19</f>
        <v>-64.081993999999995</v>
      </c>
      <c r="AF19" s="4">
        <f>AE19+Sheet54!AF19</f>
        <v>-69.481994</v>
      </c>
      <c r="AG19" s="4">
        <f>AF19+Sheet54!AG19</f>
        <v>-80.281993999999997</v>
      </c>
      <c r="AH19" s="4">
        <f>AG19+Sheet54!AH19</f>
        <v>-74.881993999999992</v>
      </c>
      <c r="AI19" s="4">
        <f>AH19+Sheet54!AI19</f>
        <v>-80.281993999999997</v>
      </c>
      <c r="AJ19" s="4">
        <f>AI19+Sheet54!AJ19</f>
        <v>-80.281993999999997</v>
      </c>
      <c r="AK19" s="5"/>
    </row>
    <row r="20" spans="1:37" ht="21" customHeight="1">
      <c r="A20" s="12"/>
      <c r="B20" s="14"/>
      <c r="C20" s="15"/>
      <c r="D20" s="21" t="s">
        <v>51</v>
      </c>
      <c r="E20" s="4">
        <v>0</v>
      </c>
      <c r="F20" s="4">
        <f>Sheet54!F20</f>
        <v>0</v>
      </c>
      <c r="G20" s="4">
        <f>Sheet54!G20</f>
        <v>0</v>
      </c>
      <c r="H20" s="4">
        <f>Sheet54!H20</f>
        <v>0</v>
      </c>
      <c r="I20" s="4">
        <f>Sheet54!I20</f>
        <v>0</v>
      </c>
      <c r="J20" s="4">
        <f>Sheet54!J20</f>
        <v>-2.7</v>
      </c>
      <c r="K20" s="4">
        <f>Sheet54!K20</f>
        <v>5.4</v>
      </c>
      <c r="L20" s="4">
        <f>Sheet54!L20</f>
        <v>-2.7</v>
      </c>
      <c r="M20" s="4">
        <f>Sheet54!M20</f>
        <v>-5.4</v>
      </c>
      <c r="N20" s="4">
        <f>Sheet54!N20</f>
        <v>-5.4</v>
      </c>
      <c r="O20" s="4">
        <f>Sheet54!O20</f>
        <v>0</v>
      </c>
      <c r="P20" s="4">
        <f>Sheet54!P20</f>
        <v>0</v>
      </c>
      <c r="Q20" s="4">
        <f>Sheet54!Q20</f>
        <v>2.7</v>
      </c>
      <c r="R20" s="4">
        <f>Sheet54!R20</f>
        <v>0</v>
      </c>
      <c r="S20" s="4">
        <f>Sheet54!S20</f>
        <v>-8.1</v>
      </c>
      <c r="T20" s="4">
        <f>Sheet54!T20</f>
        <v>-13.5</v>
      </c>
      <c r="U20" s="4">
        <f>Sheet54!U20</f>
        <v>-8.1</v>
      </c>
      <c r="V20" s="4">
        <f>Sheet54!V20</f>
        <v>0</v>
      </c>
      <c r="W20" s="4">
        <f>Sheet54!W20</f>
        <v>0</v>
      </c>
      <c r="X20" s="4">
        <f>Sheet54!X20</f>
        <v>-2.7</v>
      </c>
      <c r="Y20" s="4">
        <f>Sheet54!Y20</f>
        <v>13.5</v>
      </c>
      <c r="Z20" s="4">
        <f>Sheet54!Z20</f>
        <v>-8.1</v>
      </c>
      <c r="AA20" s="4">
        <f>Sheet54!AA20</f>
        <v>5.4</v>
      </c>
      <c r="AB20" s="4">
        <f>Sheet54!AB20</f>
        <v>-2.7</v>
      </c>
      <c r="AC20" s="4">
        <f>Sheet54!AC20</f>
        <v>0</v>
      </c>
      <c r="AD20" s="4">
        <f>Sheet54!AD20</f>
        <v>0</v>
      </c>
      <c r="AE20" s="4">
        <f>Sheet54!AE20</f>
        <v>2.7</v>
      </c>
      <c r="AF20" s="4">
        <f>Sheet54!AF20</f>
        <v>-5.4</v>
      </c>
      <c r="AG20" s="4">
        <f>Sheet54!AG20</f>
        <v>-10.8</v>
      </c>
      <c r="AH20" s="4">
        <f>Sheet54!AH20</f>
        <v>5.4</v>
      </c>
      <c r="AI20" s="4">
        <f>Sheet54!AI20</f>
        <v>-5.4</v>
      </c>
      <c r="AJ20" s="4">
        <f>Sheet54!AJ20</f>
        <v>0</v>
      </c>
      <c r="AK20" s="5"/>
    </row>
    <row r="21" spans="1:37" ht="21" customHeight="1">
      <c r="A21" s="12"/>
      <c r="B21" s="14"/>
      <c r="C21" s="15" t="s">
        <v>57</v>
      </c>
      <c r="D21" s="22" t="s">
        <v>40</v>
      </c>
      <c r="E21" s="4">
        <v>14.831090000000099</v>
      </c>
      <c r="F21" s="4">
        <f>E21+Sheet54!F21</f>
        <v>14.831090000000099</v>
      </c>
      <c r="G21" s="4">
        <f>F21+Sheet54!G21</f>
        <v>14.831090000000099</v>
      </c>
      <c r="H21" s="4">
        <f>G21+Sheet54!H21</f>
        <v>14.831090000000099</v>
      </c>
      <c r="I21" s="4">
        <f>H21+Sheet54!I21</f>
        <v>14.831090000000099</v>
      </c>
      <c r="J21" s="4">
        <f>I21+Sheet54!J21</f>
        <v>14.831090000000099</v>
      </c>
      <c r="K21" s="4">
        <f>J21+Sheet54!K21</f>
        <v>14.831090000000099</v>
      </c>
      <c r="L21" s="4">
        <f>K21+Sheet54!L21</f>
        <v>14.831090000000099</v>
      </c>
      <c r="M21" s="4">
        <f>L21+Sheet54!M21</f>
        <v>14.831090000000099</v>
      </c>
      <c r="N21" s="4">
        <f>M21+Sheet54!N21</f>
        <v>14.831090000000099</v>
      </c>
      <c r="O21" s="4">
        <f>N21+Sheet54!O21</f>
        <v>14.831090000000099</v>
      </c>
      <c r="P21" s="4">
        <f>O21+Sheet54!P21</f>
        <v>14.831090000000099</v>
      </c>
      <c r="Q21" s="4">
        <f>P21+Sheet54!Q21</f>
        <v>14.831090000000099</v>
      </c>
      <c r="R21" s="4">
        <f>Q21+Sheet54!R21</f>
        <v>14.831090000000099</v>
      </c>
      <c r="S21" s="4">
        <f>R21+Sheet54!S21</f>
        <v>14.831090000000099</v>
      </c>
      <c r="T21" s="4">
        <f>S21+Sheet54!T21</f>
        <v>14.831090000000099</v>
      </c>
      <c r="U21" s="4">
        <f>T21+Sheet54!U21</f>
        <v>14.831090000000099</v>
      </c>
      <c r="V21" s="4">
        <f>U21+Sheet54!V21</f>
        <v>14.831090000000099</v>
      </c>
      <c r="W21" s="4">
        <f>V21+Sheet54!W21</f>
        <v>14.831090000000099</v>
      </c>
      <c r="X21" s="4">
        <f>W21+Sheet54!X21</f>
        <v>14.831090000000099</v>
      </c>
      <c r="Y21" s="4">
        <f>X21+Sheet54!Y21</f>
        <v>14.831090000000099</v>
      </c>
      <c r="Z21" s="4">
        <f>Y21+Sheet54!Z21</f>
        <v>14.831090000000099</v>
      </c>
      <c r="AA21" s="4">
        <f>Z21+Sheet54!AA21</f>
        <v>14.831090000000099</v>
      </c>
      <c r="AB21" s="4">
        <f>AA21+Sheet54!AB21</f>
        <v>14.831090000000099</v>
      </c>
      <c r="AC21" s="4">
        <f>AB21+Sheet54!AC21</f>
        <v>14.831090000000099</v>
      </c>
      <c r="AD21" s="4">
        <f>AC21+Sheet54!AD21</f>
        <v>14.831090000000099</v>
      </c>
      <c r="AE21" s="4">
        <f>AD21+Sheet54!AE21</f>
        <v>9.9475983006414026E-14</v>
      </c>
      <c r="AF21" s="4">
        <f>AE21+Sheet54!AF21</f>
        <v>9.9475983006414026E-14</v>
      </c>
      <c r="AG21" s="4">
        <f>AF21+Sheet54!AG21</f>
        <v>9.9475983006414026E-14</v>
      </c>
      <c r="AH21" s="4">
        <f>AG21+Sheet54!AH21</f>
        <v>9.9475983006414026E-14</v>
      </c>
      <c r="AI21" s="4">
        <f>AH21+Sheet54!AI21</f>
        <v>9.9475983006414026E-14</v>
      </c>
      <c r="AJ21" s="4">
        <f>AI21+Sheet54!AJ21</f>
        <v>9.9475983006414026E-14</v>
      </c>
      <c r="AK21" s="5"/>
    </row>
    <row r="22" spans="1:37" ht="21" customHeight="1">
      <c r="A22" s="12"/>
      <c r="B22" s="14"/>
      <c r="C22" s="15"/>
      <c r="D22" s="22" t="s">
        <v>50</v>
      </c>
      <c r="E22" s="4">
        <v>-1.05929000000004</v>
      </c>
      <c r="F22" s="4">
        <f>E22+Sheet54!F22</f>
        <v>-1.05929000000004</v>
      </c>
      <c r="G22" s="4">
        <f>F22+Sheet54!G22</f>
        <v>-1.05929000000004</v>
      </c>
      <c r="H22" s="4">
        <f>G22+Sheet54!H22</f>
        <v>-1.05929000000004</v>
      </c>
      <c r="I22" s="4">
        <f>H22+Sheet54!I22</f>
        <v>-1.05929000000004</v>
      </c>
      <c r="J22" s="4">
        <f>I22+Sheet54!J22</f>
        <v>-0.57109000000004007</v>
      </c>
      <c r="K22" s="4">
        <f>J22+Sheet54!K22</f>
        <v>-0.55099000000004006</v>
      </c>
      <c r="L22" s="4">
        <f>K22+Sheet54!L22</f>
        <v>-0.59749000000004004</v>
      </c>
      <c r="M22" s="4">
        <f>L22+Sheet54!M22</f>
        <v>-0.70809000000004008</v>
      </c>
      <c r="N22" s="4">
        <f>M22+Sheet54!N22</f>
        <v>-0.64009000000004002</v>
      </c>
      <c r="O22" s="4">
        <f>N22+Sheet54!O22</f>
        <v>-0.64009000000004002</v>
      </c>
      <c r="P22" s="4">
        <f>O22+Sheet54!P22</f>
        <v>-0.64009000000004002</v>
      </c>
      <c r="Q22" s="4">
        <f>P22+Sheet54!Q22</f>
        <v>-0.59879000000004001</v>
      </c>
      <c r="R22" s="4">
        <f>Q22+Sheet54!R22</f>
        <v>-0.72109000000003998</v>
      </c>
      <c r="S22" s="4">
        <f>R22+Sheet54!S22</f>
        <v>-0.85099000000003999</v>
      </c>
      <c r="T22" s="4">
        <f>S22+Sheet54!T22</f>
        <v>-0.94219000000004005</v>
      </c>
      <c r="U22" s="4">
        <f>T22+Sheet54!U22</f>
        <v>-1.01109000000004</v>
      </c>
      <c r="V22" s="4">
        <f>U22+Sheet54!V22</f>
        <v>-1.01109000000004</v>
      </c>
      <c r="W22" s="4">
        <f>V22+Sheet54!W22</f>
        <v>-1.01109000000004</v>
      </c>
      <c r="X22" s="4">
        <f>W22+Sheet54!X22</f>
        <v>-1.0710900000000401</v>
      </c>
      <c r="Y22" s="4">
        <f>X22+Sheet54!Y22</f>
        <v>-1.09559000000004</v>
      </c>
      <c r="Z22" s="4">
        <f>Y22+Sheet54!Z22</f>
        <v>-1.3204900000000399</v>
      </c>
      <c r="AA22" s="4">
        <f>Z22+Sheet54!AA22</f>
        <v>-1.43049000000004</v>
      </c>
      <c r="AB22" s="4">
        <f>AA22+Sheet54!AB22</f>
        <v>-1.46109000000004</v>
      </c>
      <c r="AC22" s="4">
        <f>AB22+Sheet54!AC22</f>
        <v>-1.46109000000004</v>
      </c>
      <c r="AD22" s="4">
        <f>AC22+Sheet54!AD22</f>
        <v>-1.46109000000004</v>
      </c>
      <c r="AE22" s="4">
        <f>AD22+Sheet54!AE22</f>
        <v>-3.9968028886505635E-14</v>
      </c>
      <c r="AF22" s="4">
        <f>AE22+Sheet54!AF22</f>
        <v>-3.9968028886505635E-14</v>
      </c>
      <c r="AG22" s="4">
        <f>AF22+Sheet54!AG22</f>
        <v>-3.9968028886505635E-14</v>
      </c>
      <c r="AH22" s="4">
        <f>AG22+Sheet54!AH22</f>
        <v>-3.9968028886505635E-14</v>
      </c>
      <c r="AI22" s="4">
        <f>AH22+Sheet54!AI22</f>
        <v>-3.9968028886505635E-14</v>
      </c>
      <c r="AJ22" s="4">
        <f>AI22+Sheet54!AJ22</f>
        <v>-3.9968028886505635E-14</v>
      </c>
      <c r="AK22" s="5"/>
    </row>
    <row r="23" spans="1:37" ht="21" customHeight="1">
      <c r="A23" s="12"/>
      <c r="B23" s="14"/>
      <c r="C23" s="15"/>
      <c r="D23" s="21" t="s">
        <v>51</v>
      </c>
      <c r="E23" s="4">
        <v>0</v>
      </c>
      <c r="F23" s="4">
        <f>Sheet54!F23</f>
        <v>0</v>
      </c>
      <c r="G23" s="4">
        <f>Sheet54!G23</f>
        <v>0</v>
      </c>
      <c r="H23" s="4">
        <f>Sheet54!H23</f>
        <v>0</v>
      </c>
      <c r="I23" s="4">
        <f>Sheet54!I23</f>
        <v>0</v>
      </c>
      <c r="J23" s="4">
        <f>Sheet54!J23</f>
        <v>0.48820000000000002</v>
      </c>
      <c r="K23" s="4">
        <f>Sheet54!K23</f>
        <v>2.01E-2</v>
      </c>
      <c r="L23" s="4">
        <f>Sheet54!L23</f>
        <v>-4.65E-2</v>
      </c>
      <c r="M23" s="4">
        <f>Sheet54!M23</f>
        <v>-0.1106</v>
      </c>
      <c r="N23" s="4">
        <f>Sheet54!N23</f>
        <v>6.8000000000000005E-2</v>
      </c>
      <c r="O23" s="4">
        <f>Sheet54!O23</f>
        <v>0</v>
      </c>
      <c r="P23" s="4">
        <f>Sheet54!P23</f>
        <v>0</v>
      </c>
      <c r="Q23" s="4">
        <f>Sheet54!Q23</f>
        <v>4.1300000000000003E-2</v>
      </c>
      <c r="R23" s="4">
        <f>Sheet54!R23</f>
        <v>-0.12230000000000001</v>
      </c>
      <c r="S23" s="4">
        <f>Sheet54!S23</f>
        <v>-0.12989999999999999</v>
      </c>
      <c r="T23" s="4">
        <f>Sheet54!T23</f>
        <v>-9.1200000000000003E-2</v>
      </c>
      <c r="U23" s="4">
        <f>Sheet54!U23</f>
        <v>-6.8900000000000003E-2</v>
      </c>
      <c r="V23" s="4">
        <f>Sheet54!V23</f>
        <v>0</v>
      </c>
      <c r="W23" s="4">
        <f>Sheet54!W23</f>
        <v>0</v>
      </c>
      <c r="X23" s="4">
        <f>Sheet54!X23</f>
        <v>-0.06</v>
      </c>
      <c r="Y23" s="4">
        <f>Sheet54!Y23</f>
        <v>-2.4500000000000001E-2</v>
      </c>
      <c r="Z23" s="4">
        <f>Sheet54!Z23</f>
        <v>-0.22489999999999999</v>
      </c>
      <c r="AA23" s="4">
        <f>Sheet54!AA23</f>
        <v>-0.11</v>
      </c>
      <c r="AB23" s="4">
        <f>Sheet54!AB23</f>
        <v>-3.0599999999999999E-2</v>
      </c>
      <c r="AC23" s="4">
        <f>Sheet54!AC23</f>
        <v>0</v>
      </c>
      <c r="AD23" s="4">
        <f>Sheet54!AD23</f>
        <v>0</v>
      </c>
      <c r="AE23" s="4">
        <f>Sheet54!AE23</f>
        <v>1.46109</v>
      </c>
      <c r="AF23" s="4">
        <f>Sheet54!AF23</f>
        <v>0</v>
      </c>
      <c r="AG23" s="4">
        <f>Sheet54!AG23</f>
        <v>0</v>
      </c>
      <c r="AH23" s="4">
        <f>Sheet54!AH23</f>
        <v>0</v>
      </c>
      <c r="AI23" s="4">
        <f>Sheet54!AI23</f>
        <v>0</v>
      </c>
      <c r="AJ23" s="4">
        <f>Sheet54!AJ23</f>
        <v>0</v>
      </c>
      <c r="AK23" s="5"/>
    </row>
    <row r="24" spans="1:37" ht="21" customHeight="1">
      <c r="A24" s="12"/>
      <c r="B24" s="14"/>
      <c r="C24" s="15"/>
      <c r="D24" s="21" t="s">
        <v>58</v>
      </c>
      <c r="E24" s="4">
        <v>0</v>
      </c>
      <c r="F24" s="4">
        <f>Sheet54!F24</f>
        <v>0</v>
      </c>
      <c r="G24" s="4">
        <f>Sheet54!G24</f>
        <v>0</v>
      </c>
      <c r="H24" s="4">
        <f>Sheet54!H24</f>
        <v>0</v>
      </c>
      <c r="I24" s="4">
        <f>Sheet54!I24</f>
        <v>0</v>
      </c>
      <c r="J24" s="4">
        <f>Sheet54!J24</f>
        <v>0</v>
      </c>
      <c r="K24" s="4">
        <f>Sheet54!K24</f>
        <v>0</v>
      </c>
      <c r="L24" s="4">
        <f>Sheet54!L24</f>
        <v>0</v>
      </c>
      <c r="M24" s="4">
        <f>Sheet54!M24</f>
        <v>0</v>
      </c>
      <c r="N24" s="4">
        <f>Sheet54!N24</f>
        <v>0</v>
      </c>
      <c r="O24" s="4">
        <f>Sheet54!O24</f>
        <v>0</v>
      </c>
      <c r="P24" s="4">
        <f>Sheet54!P24</f>
        <v>0</v>
      </c>
      <c r="Q24" s="4">
        <f>Sheet54!Q24</f>
        <v>0</v>
      </c>
      <c r="R24" s="4">
        <f>Sheet54!R24</f>
        <v>0</v>
      </c>
      <c r="S24" s="4">
        <f>Sheet54!S24</f>
        <v>0</v>
      </c>
      <c r="T24" s="4">
        <f>Sheet54!T24</f>
        <v>0</v>
      </c>
      <c r="U24" s="4">
        <f>Sheet54!U24</f>
        <v>0</v>
      </c>
      <c r="V24" s="4">
        <f>Sheet54!V24</f>
        <v>0</v>
      </c>
      <c r="W24" s="4">
        <f>Sheet54!W24</f>
        <v>0</v>
      </c>
      <c r="X24" s="4">
        <f>Sheet54!X24</f>
        <v>0</v>
      </c>
      <c r="Y24" s="4">
        <f>Sheet54!Y24</f>
        <v>0</v>
      </c>
      <c r="Z24" s="4">
        <f>Sheet54!Z24</f>
        <v>0</v>
      </c>
      <c r="AA24" s="4">
        <f>Sheet54!AA24</f>
        <v>0</v>
      </c>
      <c r="AB24" s="4">
        <f>Sheet54!AB24</f>
        <v>0</v>
      </c>
      <c r="AC24" s="4">
        <f>Sheet54!AC24</f>
        <v>0</v>
      </c>
      <c r="AD24" s="4">
        <f>Sheet54!AD24</f>
        <v>0</v>
      </c>
      <c r="AE24" s="4">
        <f>Sheet54!AE24</f>
        <v>-1.3636919999999999</v>
      </c>
      <c r="AF24" s="4">
        <f>Sheet54!AF24</f>
        <v>0</v>
      </c>
      <c r="AG24" s="4">
        <f>Sheet54!AG24</f>
        <v>0</v>
      </c>
      <c r="AH24" s="4">
        <f>Sheet54!AH24</f>
        <v>0</v>
      </c>
      <c r="AI24" s="4">
        <f>Sheet54!AI24</f>
        <v>0</v>
      </c>
      <c r="AJ24" s="4">
        <f>Sheet54!AJ24</f>
        <v>0</v>
      </c>
      <c r="AK24" s="5"/>
    </row>
    <row r="25" spans="1:37" ht="21" customHeight="1">
      <c r="A25" s="12"/>
      <c r="B25" s="14"/>
      <c r="C25" s="15" t="s">
        <v>59</v>
      </c>
      <c r="D25" s="22" t="s">
        <v>40</v>
      </c>
      <c r="E25" s="4">
        <v>536.57687999999996</v>
      </c>
      <c r="F25" s="4">
        <f>E25+Sheet54!F25</f>
        <v>536.57687999999996</v>
      </c>
      <c r="G25" s="4">
        <f>F25+Sheet54!G25</f>
        <v>536.57687999999996</v>
      </c>
      <c r="H25" s="4">
        <f>G25+Sheet54!H25</f>
        <v>536.57687999999996</v>
      </c>
      <c r="I25" s="4">
        <f>H25+Sheet54!I25</f>
        <v>536.57687999999996</v>
      </c>
      <c r="J25" s="4">
        <f>I25+Sheet54!J25</f>
        <v>536.57687999999996</v>
      </c>
      <c r="K25" s="4">
        <f>J25+Sheet54!K25</f>
        <v>536.57687999999996</v>
      </c>
      <c r="L25" s="4">
        <f>K25+Sheet54!L25</f>
        <v>536.57687999999996</v>
      </c>
      <c r="M25" s="4">
        <f>L25+Sheet54!M25</f>
        <v>536.57687999999996</v>
      </c>
      <c r="N25" s="4">
        <f>M25+Sheet54!N25</f>
        <v>536.57687999999996</v>
      </c>
      <c r="O25" s="4">
        <f>N25+Sheet54!O25</f>
        <v>536.57687999999996</v>
      </c>
      <c r="P25" s="4">
        <f>O25+Sheet54!P25</f>
        <v>536.57687999999996</v>
      </c>
      <c r="Q25" s="4">
        <f>P25+Sheet54!Q25</f>
        <v>536.57687999999996</v>
      </c>
      <c r="R25" s="4">
        <f>Q25+Sheet54!R25</f>
        <v>536.57687999999996</v>
      </c>
      <c r="S25" s="4">
        <f>R25+Sheet54!S25</f>
        <v>536.57687999999996</v>
      </c>
      <c r="T25" s="4">
        <f>S25+Sheet54!T25</f>
        <v>536.57687999999996</v>
      </c>
      <c r="U25" s="4">
        <f>T25+Sheet54!U25</f>
        <v>536.57687999999996</v>
      </c>
      <c r="V25" s="4">
        <f>U25+Sheet54!V25</f>
        <v>536.57687999999996</v>
      </c>
      <c r="W25" s="4">
        <f>V25+Sheet54!W25</f>
        <v>536.57687999999996</v>
      </c>
      <c r="X25" s="4">
        <f>W25+Sheet54!X25</f>
        <v>536.57687999999996</v>
      </c>
      <c r="Y25" s="4">
        <f>X25+Sheet54!Y25</f>
        <v>536.57687999999996</v>
      </c>
      <c r="Z25" s="4">
        <f>Y25+Sheet54!Z25</f>
        <v>536.57687999999996</v>
      </c>
      <c r="AA25" s="4">
        <f>Z25+Sheet54!AA25</f>
        <v>536.57687999999996</v>
      </c>
      <c r="AB25" s="4">
        <f>AA25+Sheet54!AB25</f>
        <v>536.57687999999996</v>
      </c>
      <c r="AC25" s="4">
        <f>AB25+Sheet54!AC25</f>
        <v>536.57687999999996</v>
      </c>
      <c r="AD25" s="4">
        <f>AC25+Sheet54!AD25</f>
        <v>536.57687999999996</v>
      </c>
      <c r="AE25" s="4">
        <f>AD25+Sheet54!AE25</f>
        <v>536.57687999999996</v>
      </c>
      <c r="AF25" s="4">
        <f>AE25+Sheet54!AF25</f>
        <v>536.57687999999996</v>
      </c>
      <c r="AG25" s="4">
        <f>AF25+Sheet54!AG25</f>
        <v>536.57687999999996</v>
      </c>
      <c r="AH25" s="4">
        <f>AG25+Sheet54!AH25</f>
        <v>536.57687999999996</v>
      </c>
      <c r="AI25" s="4">
        <f>AH25+Sheet54!AI25</f>
        <v>536.57687999999996</v>
      </c>
      <c r="AJ25" s="4">
        <f>AI25+Sheet54!AJ25</f>
        <v>536.57687999999996</v>
      </c>
      <c r="AK25" s="5"/>
    </row>
    <row r="26" spans="1:37" ht="21" customHeight="1">
      <c r="A26" s="12"/>
      <c r="B26" s="14"/>
      <c r="C26" s="15"/>
      <c r="D26" s="22" t="s">
        <v>50</v>
      </c>
      <c r="E26" s="4">
        <v>-25.058879999999998</v>
      </c>
      <c r="F26" s="4">
        <f>E26+Sheet54!F26</f>
        <v>-25.058879999999998</v>
      </c>
      <c r="G26" s="4">
        <f>F26+Sheet54!G26</f>
        <v>-25.058879999999998</v>
      </c>
      <c r="H26" s="4">
        <f>G26+Sheet54!H26</f>
        <v>-25.058879999999998</v>
      </c>
      <c r="I26" s="4">
        <f>H26+Sheet54!I26</f>
        <v>-25.058879999999998</v>
      </c>
      <c r="J26" s="4">
        <f>I26+Sheet54!J26</f>
        <v>-27.069679999999998</v>
      </c>
      <c r="K26" s="4">
        <f>J26+Sheet54!K26</f>
        <v>-30.270719999999997</v>
      </c>
      <c r="L26" s="4">
        <f>K26+Sheet54!L26</f>
        <v>-25.082999999999998</v>
      </c>
      <c r="M26" s="4">
        <f>L26+Sheet54!M26</f>
        <v>-34.335879999999996</v>
      </c>
      <c r="N26" s="4">
        <f>M26+Sheet54!N26</f>
        <v>-35.287199999999999</v>
      </c>
      <c r="O26" s="4">
        <f>N26+Sheet54!O26</f>
        <v>-35.287199999999999</v>
      </c>
      <c r="P26" s="4">
        <f>O26+Sheet54!P26</f>
        <v>-35.287199999999999</v>
      </c>
      <c r="Q26" s="4">
        <f>P26+Sheet54!Q26</f>
        <v>-7.4563999999999986</v>
      </c>
      <c r="R26" s="4">
        <f>Q26+Sheet54!R26</f>
        <v>-20.86</v>
      </c>
      <c r="S26" s="4">
        <f>R26+Sheet54!S26</f>
        <v>26.348480000000002</v>
      </c>
      <c r="T26" s="4">
        <f>S26+Sheet54!T26</f>
        <v>22.83464</v>
      </c>
      <c r="U26" s="4">
        <f>T26+Sheet54!U26</f>
        <v>16.678319999999999</v>
      </c>
      <c r="V26" s="4">
        <f>U26+Sheet54!V26</f>
        <v>16.678319999999999</v>
      </c>
      <c r="W26" s="4">
        <f>V26+Sheet54!W26</f>
        <v>16.678319999999999</v>
      </c>
      <c r="X26" s="4">
        <f>W26+Sheet54!X26</f>
        <v>17.20712</v>
      </c>
      <c r="Y26" s="4">
        <f>X26+Sheet54!Y26</f>
        <v>22.128119999999999</v>
      </c>
      <c r="Z26" s="4">
        <f>Y26+Sheet54!Z26</f>
        <v>21.564719999999998</v>
      </c>
      <c r="AA26" s="4">
        <f>Z26+Sheet54!AA26</f>
        <v>27.672719999999998</v>
      </c>
      <c r="AB26" s="4">
        <f>AA26+Sheet54!AB26</f>
        <v>32.901919999999997</v>
      </c>
      <c r="AC26" s="4">
        <f>AB26+Sheet54!AC26</f>
        <v>32.901919999999997</v>
      </c>
      <c r="AD26" s="4">
        <f>AC26+Sheet54!AD26</f>
        <v>32.901919999999997</v>
      </c>
      <c r="AE26" s="4">
        <f>AD26+Sheet54!AE26</f>
        <v>30.109079999999999</v>
      </c>
      <c r="AF26" s="4">
        <f>AE26+Sheet54!AF26</f>
        <v>31.805519999999998</v>
      </c>
      <c r="AG26" s="4">
        <f>AF26+Sheet54!AG26</f>
        <v>17.05256</v>
      </c>
      <c r="AH26" s="4">
        <f>AG26+Sheet54!AH26</f>
        <v>35.905320000000003</v>
      </c>
      <c r="AI26" s="4">
        <f>AH26+Sheet54!AI26</f>
        <v>31.991520000000001</v>
      </c>
      <c r="AJ26" s="4">
        <f>AI26+Sheet54!AJ26</f>
        <v>31.991520000000001</v>
      </c>
      <c r="AK26" s="5"/>
    </row>
    <row r="27" spans="1:37" ht="21" customHeight="1">
      <c r="A27" s="12"/>
      <c r="B27" s="14"/>
      <c r="C27" s="15"/>
      <c r="D27" s="21" t="s">
        <v>51</v>
      </c>
      <c r="E27" s="4">
        <v>0</v>
      </c>
      <c r="F27" s="4">
        <f>Sheet54!F27</f>
        <v>0</v>
      </c>
      <c r="G27" s="4">
        <f>Sheet54!G27</f>
        <v>0</v>
      </c>
      <c r="H27" s="4">
        <f>Sheet54!H27</f>
        <v>0</v>
      </c>
      <c r="I27" s="4">
        <f>Sheet54!I27</f>
        <v>0</v>
      </c>
      <c r="J27" s="4">
        <f>Sheet54!J27</f>
        <v>-2.0108000000000001</v>
      </c>
      <c r="K27" s="4">
        <f>Sheet54!K27</f>
        <v>-3.2010399999999999</v>
      </c>
      <c r="L27" s="4">
        <f>Sheet54!L27</f>
        <v>5.1877199999999997</v>
      </c>
      <c r="M27" s="4">
        <f>Sheet54!M27</f>
        <v>-9.2528799999999993</v>
      </c>
      <c r="N27" s="4">
        <f>Sheet54!N27</f>
        <v>-0.95132000000000005</v>
      </c>
      <c r="O27" s="4">
        <f>Sheet54!O27</f>
        <v>0</v>
      </c>
      <c r="P27" s="4">
        <f>Sheet54!P27</f>
        <v>0</v>
      </c>
      <c r="Q27" s="4">
        <f>Sheet54!Q27</f>
        <v>27.8308</v>
      </c>
      <c r="R27" s="4">
        <f>Sheet54!R27</f>
        <v>-13.403600000000001</v>
      </c>
      <c r="S27" s="4">
        <f>Sheet54!S27</f>
        <v>47.208480000000002</v>
      </c>
      <c r="T27" s="4">
        <f>Sheet54!T27</f>
        <v>-3.5138400000000001</v>
      </c>
      <c r="U27" s="4">
        <f>Sheet54!U27</f>
        <v>-6.15632</v>
      </c>
      <c r="V27" s="4">
        <f>Sheet54!V27</f>
        <v>0</v>
      </c>
      <c r="W27" s="4">
        <f>Sheet54!W27</f>
        <v>0</v>
      </c>
      <c r="X27" s="4">
        <f>Sheet54!X27</f>
        <v>0.52880000000000005</v>
      </c>
      <c r="Y27" s="4">
        <f>Sheet54!Y27</f>
        <v>4.9210000000000003</v>
      </c>
      <c r="Z27" s="4">
        <f>Sheet54!Z27</f>
        <v>-0.56340000000000001</v>
      </c>
      <c r="AA27" s="4">
        <f>Sheet54!AA27</f>
        <v>6.1079999999999997</v>
      </c>
      <c r="AB27" s="4">
        <f>Sheet54!AB27</f>
        <v>5.2291999999999996</v>
      </c>
      <c r="AC27" s="4">
        <f>Sheet54!AC27</f>
        <v>0</v>
      </c>
      <c r="AD27" s="4">
        <f>Sheet54!AD27</f>
        <v>0</v>
      </c>
      <c r="AE27" s="4">
        <f>Sheet54!AE27</f>
        <v>-2.79284</v>
      </c>
      <c r="AF27" s="4">
        <f>Sheet54!AF27</f>
        <v>1.6964399999999999</v>
      </c>
      <c r="AG27" s="4">
        <f>Sheet54!AG27</f>
        <v>-14.75296</v>
      </c>
      <c r="AH27" s="4">
        <f>Sheet54!AH27</f>
        <v>18.85276</v>
      </c>
      <c r="AI27" s="4">
        <f>Sheet54!AI27</f>
        <v>-3.9138000000000002</v>
      </c>
      <c r="AJ27" s="4">
        <f>Sheet54!AJ27</f>
        <v>0</v>
      </c>
      <c r="AK27" s="5"/>
    </row>
    <row r="28" spans="1:37" ht="21" customHeight="1">
      <c r="A28" s="12"/>
      <c r="B28" s="14"/>
      <c r="C28" s="15" t="s">
        <v>60</v>
      </c>
      <c r="D28" s="22" t="s">
        <v>40</v>
      </c>
      <c r="E28" s="4">
        <v>453.40332799999999</v>
      </c>
      <c r="F28" s="4">
        <f>E28+Sheet54!F28</f>
        <v>453.40332799999999</v>
      </c>
      <c r="G28" s="4">
        <f>F28+Sheet54!G28</f>
        <v>453.40332799999999</v>
      </c>
      <c r="H28" s="4">
        <f>G28+Sheet54!H28</f>
        <v>453.40332799999999</v>
      </c>
      <c r="I28" s="4">
        <f>H28+Sheet54!I28</f>
        <v>453.40332799999999</v>
      </c>
      <c r="J28" s="4">
        <f>I28+Sheet54!J28</f>
        <v>453.40332799999999</v>
      </c>
      <c r="K28" s="4">
        <f>J28+Sheet54!K28</f>
        <v>453.40332799999999</v>
      </c>
      <c r="L28" s="4">
        <f>K28+Sheet54!L28</f>
        <v>453.40332799999999</v>
      </c>
      <c r="M28" s="4">
        <f>L28+Sheet54!M28</f>
        <v>453.40332799999999</v>
      </c>
      <c r="N28" s="4">
        <f>M28+Sheet54!N28</f>
        <v>453.40332799999999</v>
      </c>
      <c r="O28" s="4">
        <f>N28+Sheet54!O28</f>
        <v>453.40332799999999</v>
      </c>
      <c r="P28" s="4">
        <f>O28+Sheet54!P28</f>
        <v>453.40332799999999</v>
      </c>
      <c r="Q28" s="4">
        <f>P28+Sheet54!Q28</f>
        <v>453.40332799999999</v>
      </c>
      <c r="R28" s="4">
        <f>Q28+Sheet54!R28</f>
        <v>453.40332799999999</v>
      </c>
      <c r="S28" s="4">
        <f>R28+Sheet54!S28</f>
        <v>453.40332799999999</v>
      </c>
      <c r="T28" s="4">
        <f>S28+Sheet54!T28</f>
        <v>453.40332799999999</v>
      </c>
      <c r="U28" s="4">
        <f>T28+Sheet54!U28</f>
        <v>453.40332799999999</v>
      </c>
      <c r="V28" s="4">
        <f>U28+Sheet54!V28</f>
        <v>453.40332799999999</v>
      </c>
      <c r="W28" s="4">
        <f>V28+Sheet54!W28</f>
        <v>453.40332799999999</v>
      </c>
      <c r="X28" s="4">
        <f>W28+Sheet54!X28</f>
        <v>453.40332799999999</v>
      </c>
      <c r="Y28" s="4">
        <f>X28+Sheet54!Y28</f>
        <v>453.40332799999999</v>
      </c>
      <c r="Z28" s="4">
        <f>Y28+Sheet54!Z28</f>
        <v>453.40332799999999</v>
      </c>
      <c r="AA28" s="4">
        <f>Z28+Sheet54!AA28</f>
        <v>453.40332799999999</v>
      </c>
      <c r="AB28" s="4">
        <f>AA28+Sheet54!AB28</f>
        <v>453.40332799999999</v>
      </c>
      <c r="AC28" s="4">
        <f>AB28+Sheet54!AC28</f>
        <v>453.40332799999999</v>
      </c>
      <c r="AD28" s="4">
        <f>AC28+Sheet54!AD28</f>
        <v>453.40332799999999</v>
      </c>
      <c r="AE28" s="4">
        <f>AD28+Sheet54!AE28</f>
        <v>453.40332799999999</v>
      </c>
      <c r="AF28" s="4">
        <f>AE28+Sheet54!AF28</f>
        <v>453.40332799999999</v>
      </c>
      <c r="AG28" s="4">
        <f>AF28+Sheet54!AG28</f>
        <v>453.40332799999999</v>
      </c>
      <c r="AH28" s="4">
        <f>AG28+Sheet54!AH28</f>
        <v>453.40332799999999</v>
      </c>
      <c r="AI28" s="4">
        <f>AH28+Sheet54!AI28</f>
        <v>453.40332799999999</v>
      </c>
      <c r="AJ28" s="4">
        <f>AI28+Sheet54!AJ28</f>
        <v>453.40332799999999</v>
      </c>
      <c r="AK28" s="5"/>
    </row>
    <row r="29" spans="1:37" ht="21" customHeight="1">
      <c r="A29" s="12"/>
      <c r="B29" s="14"/>
      <c r="C29" s="15"/>
      <c r="D29" s="22" t="s">
        <v>50</v>
      </c>
      <c r="E29" s="4">
        <v>-17.625888</v>
      </c>
      <c r="F29" s="4">
        <f>E29+Sheet54!F29</f>
        <v>-17.625888</v>
      </c>
      <c r="G29" s="4">
        <f>F29+Sheet54!G29</f>
        <v>-17.625888</v>
      </c>
      <c r="H29" s="4">
        <f>G29+Sheet54!H29</f>
        <v>-17.625888</v>
      </c>
      <c r="I29" s="4">
        <f>H29+Sheet54!I29</f>
        <v>-17.625888</v>
      </c>
      <c r="J29" s="4">
        <f>I29+Sheet54!J29</f>
        <v>-1.8597280000000005</v>
      </c>
      <c r="K29" s="4">
        <f>J29+Sheet54!K29</f>
        <v>2.7380319999999996</v>
      </c>
      <c r="L29" s="4">
        <f>K29+Sheet54!L29</f>
        <v>7.9089519999999993</v>
      </c>
      <c r="M29" s="4">
        <f>L29+Sheet54!M29</f>
        <v>8.2706719999999994</v>
      </c>
      <c r="N29" s="4">
        <f>M29+Sheet54!N29</f>
        <v>12.412672000000001</v>
      </c>
      <c r="O29" s="4">
        <f>N29+Sheet54!O29</f>
        <v>12.412672000000001</v>
      </c>
      <c r="P29" s="4">
        <f>O29+Sheet54!P29</f>
        <v>12.412672000000001</v>
      </c>
      <c r="Q29" s="4">
        <f>P29+Sheet54!Q29</f>
        <v>16.249312</v>
      </c>
      <c r="R29" s="4">
        <f>Q29+Sheet54!R29</f>
        <v>19.754391999999999</v>
      </c>
      <c r="S29" s="4">
        <f>R29+Sheet54!S29</f>
        <v>18.323831999999999</v>
      </c>
      <c r="T29" s="4">
        <f>S29+Sheet54!T29</f>
        <v>18.018912</v>
      </c>
      <c r="U29" s="4">
        <f>T29+Sheet54!U29</f>
        <v>19.794271999999999</v>
      </c>
      <c r="V29" s="4">
        <f>U29+Sheet54!V29</f>
        <v>19.794271999999999</v>
      </c>
      <c r="W29" s="4">
        <f>V29+Sheet54!W29</f>
        <v>19.794271999999999</v>
      </c>
      <c r="X29" s="4">
        <f>W29+Sheet54!X29</f>
        <v>19.992671999999999</v>
      </c>
      <c r="Y29" s="4">
        <f>X29+Sheet54!Y29</f>
        <v>24.619671999999998</v>
      </c>
      <c r="Z29" s="4">
        <f>Y29+Sheet54!Z29</f>
        <v>24.494271999999999</v>
      </c>
      <c r="AA29" s="4">
        <f>Z29+Sheet54!AA29</f>
        <v>16.566592</v>
      </c>
      <c r="AB29" s="4">
        <f>AA29+Sheet54!AB29</f>
        <v>8.9634719999999994</v>
      </c>
      <c r="AC29" s="4">
        <f>AB29+Sheet54!AC29</f>
        <v>8.9634719999999994</v>
      </c>
      <c r="AD29" s="4">
        <f>AC29+Sheet54!AD29</f>
        <v>8.9634719999999994</v>
      </c>
      <c r="AE29" s="4">
        <f>AD29+Sheet54!AE29</f>
        <v>4.3732319999999998</v>
      </c>
      <c r="AF29" s="4">
        <f>AE29+Sheet54!AF29</f>
        <v>8.652671999999999</v>
      </c>
      <c r="AG29" s="4">
        <f>AF29+Sheet54!AG29</f>
        <v>4.2684319999999989</v>
      </c>
      <c r="AH29" s="4">
        <f>AG29+Sheet54!AH29</f>
        <v>12.694671999999999</v>
      </c>
      <c r="AI29" s="4">
        <f>AH29+Sheet54!AI29</f>
        <v>5.5786719999999992</v>
      </c>
      <c r="AJ29" s="4">
        <f>AI29+Sheet54!AJ29</f>
        <v>5.5786719999999992</v>
      </c>
      <c r="AK29" s="5"/>
    </row>
    <row r="30" spans="1:37" ht="21" customHeight="1">
      <c r="A30" s="12"/>
      <c r="B30" s="14"/>
      <c r="C30" s="15"/>
      <c r="D30" s="21" t="s">
        <v>51</v>
      </c>
      <c r="E30" s="4">
        <v>0</v>
      </c>
      <c r="F30" s="4">
        <f>Sheet54!F30</f>
        <v>0</v>
      </c>
      <c r="G30" s="4">
        <f>Sheet54!G30</f>
        <v>0</v>
      </c>
      <c r="H30" s="4">
        <f>Sheet54!H30</f>
        <v>0</v>
      </c>
      <c r="I30" s="4">
        <f>Sheet54!I30</f>
        <v>0</v>
      </c>
      <c r="J30" s="4">
        <f>Sheet54!J30</f>
        <v>15.766159999999999</v>
      </c>
      <c r="K30" s="4">
        <f>Sheet54!K30</f>
        <v>4.5977600000000001</v>
      </c>
      <c r="L30" s="4">
        <f>Sheet54!L30</f>
        <v>5.1709199999999997</v>
      </c>
      <c r="M30" s="4">
        <f>Sheet54!M30</f>
        <v>0.36171999999999999</v>
      </c>
      <c r="N30" s="4">
        <f>Sheet54!N30</f>
        <v>4.1420000000000003</v>
      </c>
      <c r="O30" s="4">
        <f>Sheet54!O30</f>
        <v>0</v>
      </c>
      <c r="P30" s="4">
        <f>Sheet54!P30</f>
        <v>0</v>
      </c>
      <c r="Q30" s="4">
        <f>Sheet54!Q30</f>
        <v>3.8366400000000001</v>
      </c>
      <c r="R30" s="4">
        <f>Sheet54!R30</f>
        <v>3.50508</v>
      </c>
      <c r="S30" s="4">
        <f>Sheet54!S30</f>
        <v>-1.4305600000000001</v>
      </c>
      <c r="T30" s="4">
        <f>Sheet54!T30</f>
        <v>-0.30492000000000002</v>
      </c>
      <c r="U30" s="4">
        <f>Sheet54!U30</f>
        <v>1.77536</v>
      </c>
      <c r="V30" s="4">
        <f>Sheet54!V30</f>
        <v>0</v>
      </c>
      <c r="W30" s="4">
        <f>Sheet54!W30</f>
        <v>0</v>
      </c>
      <c r="X30" s="4">
        <f>Sheet54!X30</f>
        <v>0.19839999999999999</v>
      </c>
      <c r="Y30" s="4">
        <f>Sheet54!Y30</f>
        <v>4.6269999999999998</v>
      </c>
      <c r="Z30" s="4">
        <f>Sheet54!Z30</f>
        <v>-0.12540000000000001</v>
      </c>
      <c r="AA30" s="4">
        <f>Sheet54!AA30</f>
        <v>-7.9276799999999996</v>
      </c>
      <c r="AB30" s="4">
        <f>Sheet54!AB30</f>
        <v>-7.6031199999999997</v>
      </c>
      <c r="AC30" s="4">
        <f>Sheet54!AC30</f>
        <v>0</v>
      </c>
      <c r="AD30" s="4">
        <f>Sheet54!AD30</f>
        <v>0</v>
      </c>
      <c r="AE30" s="4">
        <f>Sheet54!AE30</f>
        <v>-4.5902399999999997</v>
      </c>
      <c r="AF30" s="4">
        <f>Sheet54!AF30</f>
        <v>4.2794400000000001</v>
      </c>
      <c r="AG30" s="4">
        <f>Sheet54!AG30</f>
        <v>-4.3842400000000001</v>
      </c>
      <c r="AH30" s="4">
        <f>Sheet54!AH30</f>
        <v>8.42624</v>
      </c>
      <c r="AI30" s="4">
        <f>Sheet54!AI30</f>
        <v>-7.1159999999999997</v>
      </c>
      <c r="AJ30" s="4">
        <f>Sheet54!AJ30</f>
        <v>0</v>
      </c>
      <c r="AK30" s="5"/>
    </row>
    <row r="31" spans="1:37" ht="21" customHeight="1">
      <c r="A31" s="12"/>
      <c r="B31" s="14"/>
      <c r="C31" s="15" t="s">
        <v>61</v>
      </c>
      <c r="D31" s="22" t="s">
        <v>40</v>
      </c>
      <c r="E31" s="4">
        <v>607.74284799999998</v>
      </c>
      <c r="F31" s="4">
        <f>E31+Sheet54!F31</f>
        <v>607.74284799999998</v>
      </c>
      <c r="G31" s="4">
        <f>F31+Sheet54!G31</f>
        <v>607.74284799999998</v>
      </c>
      <c r="H31" s="4">
        <f>G31+Sheet54!H31</f>
        <v>607.74284799999998</v>
      </c>
      <c r="I31" s="4">
        <f>H31+Sheet54!I31</f>
        <v>607.74284799999998</v>
      </c>
      <c r="J31" s="4">
        <f>I31+Sheet54!J31</f>
        <v>607.74284799999998</v>
      </c>
      <c r="K31" s="4">
        <f>J31+Sheet54!K31</f>
        <v>607.74284799999998</v>
      </c>
      <c r="L31" s="4">
        <f>K31+Sheet54!L31</f>
        <v>607.74284799999998</v>
      </c>
      <c r="M31" s="4">
        <f>L31+Sheet54!M31</f>
        <v>607.74284799999998</v>
      </c>
      <c r="N31" s="4">
        <f>M31+Sheet54!N31</f>
        <v>607.74284799999998</v>
      </c>
      <c r="O31" s="4">
        <f>N31+Sheet54!O31</f>
        <v>607.74284799999998</v>
      </c>
      <c r="P31" s="4">
        <f>O31+Sheet54!P31</f>
        <v>607.74284799999998</v>
      </c>
      <c r="Q31" s="4">
        <f>P31+Sheet54!Q31</f>
        <v>607.74284799999998</v>
      </c>
      <c r="R31" s="4">
        <f>Q31+Sheet54!R31</f>
        <v>607.74284799999998</v>
      </c>
      <c r="S31" s="4">
        <f>R31+Sheet54!S31</f>
        <v>607.74284799999998</v>
      </c>
      <c r="T31" s="4">
        <f>S31+Sheet54!T31</f>
        <v>607.74284799999998</v>
      </c>
      <c r="U31" s="4">
        <f>T31+Sheet54!U31</f>
        <v>607.74284799999998</v>
      </c>
      <c r="V31" s="4">
        <f>U31+Sheet54!V31</f>
        <v>607.74284799999998</v>
      </c>
      <c r="W31" s="4">
        <f>V31+Sheet54!W31</f>
        <v>607.74284799999998</v>
      </c>
      <c r="X31" s="4">
        <f>W31+Sheet54!X31</f>
        <v>607.74284799999998</v>
      </c>
      <c r="Y31" s="4">
        <f>X31+Sheet54!Y31</f>
        <v>607.74284799999998</v>
      </c>
      <c r="Z31" s="4">
        <f>Y31+Sheet54!Z31</f>
        <v>607.74284799999998</v>
      </c>
      <c r="AA31" s="4">
        <f>Z31+Sheet54!AA31</f>
        <v>607.74284799999998</v>
      </c>
      <c r="AB31" s="4">
        <f>AA31+Sheet54!AB31</f>
        <v>607.74284799999998</v>
      </c>
      <c r="AC31" s="4">
        <f>AB31+Sheet54!AC31</f>
        <v>607.74284799999998</v>
      </c>
      <c r="AD31" s="4">
        <f>AC31+Sheet54!AD31</f>
        <v>607.74284799999998</v>
      </c>
      <c r="AE31" s="4">
        <f>AD31+Sheet54!AE31</f>
        <v>607.74284799999998</v>
      </c>
      <c r="AF31" s="4">
        <f>AE31+Sheet54!AF31</f>
        <v>607.74284799999998</v>
      </c>
      <c r="AG31" s="4">
        <f>AF31+Sheet54!AG31</f>
        <v>607.74284799999998</v>
      </c>
      <c r="AH31" s="4">
        <f>AG31+Sheet54!AH31</f>
        <v>607.74284799999998</v>
      </c>
      <c r="AI31" s="4">
        <f>AH31+Sheet54!AI31</f>
        <v>607.74284799999998</v>
      </c>
      <c r="AJ31" s="4">
        <f>AI31+Sheet54!AJ31</f>
        <v>607.74284799999998</v>
      </c>
      <c r="AK31" s="5"/>
    </row>
    <row r="32" spans="1:37" ht="21" customHeight="1">
      <c r="A32" s="12"/>
      <c r="B32" s="14"/>
      <c r="C32" s="15"/>
      <c r="D32" s="22" t="s">
        <v>50</v>
      </c>
      <c r="E32" s="4">
        <v>-59.880147999999998</v>
      </c>
      <c r="F32" s="4">
        <f>E32+Sheet54!F32</f>
        <v>-59.880147999999998</v>
      </c>
      <c r="G32" s="4">
        <f>F32+Sheet54!G32</f>
        <v>-59.880147999999998</v>
      </c>
      <c r="H32" s="4">
        <f>G32+Sheet54!H32</f>
        <v>-59.880147999999998</v>
      </c>
      <c r="I32" s="4">
        <f>H32+Sheet54!I32</f>
        <v>-59.880147999999998</v>
      </c>
      <c r="J32" s="4">
        <f>I32+Sheet54!J32</f>
        <v>-52.258347999999998</v>
      </c>
      <c r="K32" s="4">
        <f>J32+Sheet54!K32</f>
        <v>-51.451048</v>
      </c>
      <c r="L32" s="4">
        <f>K32+Sheet54!L32</f>
        <v>-60.673797999999998</v>
      </c>
      <c r="M32" s="4">
        <f>L32+Sheet54!M32</f>
        <v>-43.664097999999996</v>
      </c>
      <c r="N32" s="4">
        <f>M32+Sheet54!N32</f>
        <v>-52.794747999999998</v>
      </c>
      <c r="O32" s="4">
        <f>N32+Sheet54!O32</f>
        <v>-52.794747999999998</v>
      </c>
      <c r="P32" s="4">
        <f>O32+Sheet54!P32</f>
        <v>-52.794747999999998</v>
      </c>
      <c r="Q32" s="4">
        <f>P32+Sheet54!Q32</f>
        <v>-52.918647999999997</v>
      </c>
      <c r="R32" s="4">
        <f>Q32+Sheet54!R32</f>
        <v>-44.459847999999994</v>
      </c>
      <c r="S32" s="4">
        <f>R32+Sheet54!S32</f>
        <v>-49.824447999999997</v>
      </c>
      <c r="T32" s="4">
        <f>S32+Sheet54!T32</f>
        <v>-52.444647999999994</v>
      </c>
      <c r="U32" s="4">
        <f>T32+Sheet54!U32</f>
        <v>-56.900097999999993</v>
      </c>
      <c r="V32" s="4">
        <f>U32+Sheet54!V32</f>
        <v>-56.900097999999993</v>
      </c>
      <c r="W32" s="4">
        <f>V32+Sheet54!W32</f>
        <v>-56.900097999999993</v>
      </c>
      <c r="X32" s="4">
        <f>W32+Sheet54!X32</f>
        <v>-54.405447999999993</v>
      </c>
      <c r="Y32" s="4">
        <f>X32+Sheet54!Y32</f>
        <v>-50.822847999999993</v>
      </c>
      <c r="Z32" s="4">
        <f>Y32+Sheet54!Z32</f>
        <v>-54.059247999999997</v>
      </c>
      <c r="AA32" s="4">
        <f>Z32+Sheet54!AA32</f>
        <v>-54.653247999999998</v>
      </c>
      <c r="AB32" s="4">
        <f>AA32+Sheet54!AB32</f>
        <v>-57.454947999999995</v>
      </c>
      <c r="AC32" s="4">
        <f>AB32+Sheet54!AC32</f>
        <v>-57.454947999999995</v>
      </c>
      <c r="AD32" s="4">
        <f>AC32+Sheet54!AD32</f>
        <v>-57.454947999999995</v>
      </c>
      <c r="AE32" s="4">
        <f>AD32+Sheet54!AE32</f>
        <v>-57.393297999999994</v>
      </c>
      <c r="AF32" s="4">
        <f>AE32+Sheet54!AF32</f>
        <v>-56.486847999999995</v>
      </c>
      <c r="AG32" s="4">
        <f>AF32+Sheet54!AG32</f>
        <v>-51.259647999999999</v>
      </c>
      <c r="AH32" s="4">
        <f>AG32+Sheet54!AH32</f>
        <v>-52.694848</v>
      </c>
      <c r="AI32" s="4">
        <f>AH32+Sheet54!AI32</f>
        <v>-56.697597999999999</v>
      </c>
      <c r="AJ32" s="4">
        <f>AI32+Sheet54!AJ32</f>
        <v>-56.697597999999999</v>
      </c>
      <c r="AK32" s="5"/>
    </row>
    <row r="33" spans="1:37" ht="21" customHeight="1">
      <c r="A33" s="12"/>
      <c r="B33" s="14"/>
      <c r="C33" s="15"/>
      <c r="D33" s="21" t="s">
        <v>51</v>
      </c>
      <c r="E33" s="4">
        <v>0</v>
      </c>
      <c r="F33" s="4">
        <f>Sheet54!F33</f>
        <v>0</v>
      </c>
      <c r="G33" s="4">
        <f>Sheet54!G33</f>
        <v>0</v>
      </c>
      <c r="H33" s="4">
        <f>Sheet54!H33</f>
        <v>0</v>
      </c>
      <c r="I33" s="4">
        <f>Sheet54!I33</f>
        <v>0</v>
      </c>
      <c r="J33" s="4">
        <f>Sheet54!J33</f>
        <v>7.6218000000000004</v>
      </c>
      <c r="K33" s="4">
        <f>Sheet54!K33</f>
        <v>0.80730000000000002</v>
      </c>
      <c r="L33" s="4">
        <f>Sheet54!L33</f>
        <v>-9.2227499999999996</v>
      </c>
      <c r="M33" s="4">
        <f>Sheet54!M33</f>
        <v>17.009699999999999</v>
      </c>
      <c r="N33" s="4">
        <f>Sheet54!N33</f>
        <v>-9.1306499999999993</v>
      </c>
      <c r="O33" s="4">
        <f>Sheet54!O33</f>
        <v>0</v>
      </c>
      <c r="P33" s="4">
        <f>Sheet54!P33</f>
        <v>0</v>
      </c>
      <c r="Q33" s="4">
        <f>Sheet54!Q33</f>
        <v>-0.1239</v>
      </c>
      <c r="R33" s="4">
        <f>Sheet54!R33</f>
        <v>8.4588000000000001</v>
      </c>
      <c r="S33" s="4">
        <f>Sheet54!S33</f>
        <v>-5.3646000000000003</v>
      </c>
      <c r="T33" s="4">
        <f>Sheet54!T33</f>
        <v>-2.6202000000000001</v>
      </c>
      <c r="U33" s="4">
        <f>Sheet54!U33</f>
        <v>-4.4554499999999999</v>
      </c>
      <c r="V33" s="4">
        <f>Sheet54!V33</f>
        <v>0</v>
      </c>
      <c r="W33" s="4">
        <f>Sheet54!W33</f>
        <v>0</v>
      </c>
      <c r="X33" s="4">
        <f>Sheet54!X33</f>
        <v>2.49465</v>
      </c>
      <c r="Y33" s="4">
        <f>Sheet54!Y33</f>
        <v>3.5825999999999998</v>
      </c>
      <c r="Z33" s="4">
        <f>Sheet54!Z33</f>
        <v>-3.2364000000000002</v>
      </c>
      <c r="AA33" s="4">
        <f>Sheet54!AA33</f>
        <v>-0.59399999999999997</v>
      </c>
      <c r="AB33" s="4">
        <f>Sheet54!AB33</f>
        <v>-2.8016999999999999</v>
      </c>
      <c r="AC33" s="4">
        <f>Sheet54!AC33</f>
        <v>0</v>
      </c>
      <c r="AD33" s="4">
        <f>Sheet54!AD33</f>
        <v>0</v>
      </c>
      <c r="AE33" s="4">
        <f>Sheet54!AE33</f>
        <v>6.1650000000000003E-2</v>
      </c>
      <c r="AF33" s="4">
        <f>Sheet54!AF33</f>
        <v>0.90644999999999998</v>
      </c>
      <c r="AG33" s="4">
        <f>Sheet54!AG33</f>
        <v>5.2271999999999998</v>
      </c>
      <c r="AH33" s="4">
        <f>Sheet54!AH33</f>
        <v>-1.4352</v>
      </c>
      <c r="AI33" s="4">
        <f>Sheet54!AI33</f>
        <v>-4.0027499999999998</v>
      </c>
      <c r="AJ33" s="4">
        <f>Sheet54!AJ33</f>
        <v>0</v>
      </c>
      <c r="AK33" s="5"/>
    </row>
    <row r="34" spans="1:37" ht="21" customHeight="1">
      <c r="A34" s="12"/>
      <c r="B34" s="14"/>
      <c r="C34" s="15" t="s">
        <v>62</v>
      </c>
      <c r="D34" s="22" t="s">
        <v>40</v>
      </c>
      <c r="E34" s="4">
        <v>333.94923399999999</v>
      </c>
      <c r="F34" s="4">
        <f>E34+Sheet54!F34</f>
        <v>333.94923399999999</v>
      </c>
      <c r="G34" s="4">
        <f>F34+Sheet54!G34</f>
        <v>333.94923399999999</v>
      </c>
      <c r="H34" s="4">
        <f>G34+Sheet54!H34</f>
        <v>333.94923399999999</v>
      </c>
      <c r="I34" s="4">
        <f>H34+Sheet54!I34</f>
        <v>333.94923399999999</v>
      </c>
      <c r="J34" s="4">
        <f>I34+Sheet54!J34</f>
        <v>333.94923399999999</v>
      </c>
      <c r="K34" s="4">
        <f>J34+Sheet54!K34</f>
        <v>333.94923399999999</v>
      </c>
      <c r="L34" s="4">
        <f>K34+Sheet54!L34</f>
        <v>333.94923399999999</v>
      </c>
      <c r="M34" s="4">
        <f>L34+Sheet54!M34</f>
        <v>333.94923399999999</v>
      </c>
      <c r="N34" s="4">
        <f>M34+Sheet54!N34</f>
        <v>333.94923399999999</v>
      </c>
      <c r="O34" s="4">
        <f>N34+Sheet54!O34</f>
        <v>333.94923399999999</v>
      </c>
      <c r="P34" s="4">
        <f>O34+Sheet54!P34</f>
        <v>333.94923399999999</v>
      </c>
      <c r="Q34" s="4">
        <f>P34+Sheet54!Q34</f>
        <v>333.94923399999999</v>
      </c>
      <c r="R34" s="4">
        <f>Q34+Sheet54!R34</f>
        <v>333.94923399999999</v>
      </c>
      <c r="S34" s="4">
        <f>R34+Sheet54!S34</f>
        <v>333.94923399999999</v>
      </c>
      <c r="T34" s="4">
        <f>S34+Sheet54!T34</f>
        <v>333.94923399999999</v>
      </c>
      <c r="U34" s="4">
        <f>T34+Sheet54!U34</f>
        <v>333.94923399999999</v>
      </c>
      <c r="V34" s="4">
        <f>U34+Sheet54!V34</f>
        <v>333.94923399999999</v>
      </c>
      <c r="W34" s="4">
        <f>V34+Sheet54!W34</f>
        <v>333.94923399999999</v>
      </c>
      <c r="X34" s="4">
        <f>W34+Sheet54!X34</f>
        <v>333.94923399999999</v>
      </c>
      <c r="Y34" s="4">
        <f>X34+Sheet54!Y34</f>
        <v>333.94923399999999</v>
      </c>
      <c r="Z34" s="4">
        <f>Y34+Sheet54!Z34</f>
        <v>333.94923399999999</v>
      </c>
      <c r="AA34" s="4">
        <f>Z34+Sheet54!AA34</f>
        <v>333.94923399999999</v>
      </c>
      <c r="AB34" s="4">
        <f>AA34+Sheet54!AB34</f>
        <v>333.94923399999999</v>
      </c>
      <c r="AC34" s="4">
        <f>AB34+Sheet54!AC34</f>
        <v>333.94923399999999</v>
      </c>
      <c r="AD34" s="4">
        <f>AC34+Sheet54!AD34</f>
        <v>333.94923399999999</v>
      </c>
      <c r="AE34" s="4">
        <f>AD34+Sheet54!AE34</f>
        <v>333.94923399999999</v>
      </c>
      <c r="AF34" s="4">
        <f>AE34+Sheet54!AF34</f>
        <v>333.94923399999999</v>
      </c>
      <c r="AG34" s="4">
        <f>AF34+Sheet54!AG34</f>
        <v>333.94923399999999</v>
      </c>
      <c r="AH34" s="4">
        <f>AG34+Sheet54!AH34</f>
        <v>333.94923399999999</v>
      </c>
      <c r="AI34" s="4">
        <f>AH34+Sheet54!AI34</f>
        <v>333.94923399999999</v>
      </c>
      <c r="AJ34" s="4">
        <f>AI34+Sheet54!AJ34</f>
        <v>333.94923399999999</v>
      </c>
      <c r="AK34" s="5"/>
    </row>
    <row r="35" spans="1:37" ht="21" customHeight="1">
      <c r="A35" s="12"/>
      <c r="B35" s="14"/>
      <c r="C35" s="15"/>
      <c r="D35" s="22" t="s">
        <v>50</v>
      </c>
      <c r="E35" s="4">
        <v>-23.269354</v>
      </c>
      <c r="F35" s="4">
        <f>E35+Sheet54!F35</f>
        <v>-23.269354</v>
      </c>
      <c r="G35" s="4">
        <f>F35+Sheet54!G35</f>
        <v>-23.269354</v>
      </c>
      <c r="H35" s="4">
        <f>G35+Sheet54!H35</f>
        <v>-23.269354</v>
      </c>
      <c r="I35" s="4">
        <f>H35+Sheet54!I35</f>
        <v>-23.269354</v>
      </c>
      <c r="J35" s="4">
        <f>I35+Sheet54!J35</f>
        <v>-14.433833999999999</v>
      </c>
      <c r="K35" s="4">
        <f>J35+Sheet54!K35</f>
        <v>-13.790313999999999</v>
      </c>
      <c r="L35" s="4">
        <f>K35+Sheet54!L35</f>
        <v>-12.607773999999999</v>
      </c>
      <c r="M35" s="4">
        <f>L35+Sheet54!M35</f>
        <v>-9.7722339999999992</v>
      </c>
      <c r="N35" s="4">
        <f>M35+Sheet54!N35</f>
        <v>-12.357033999999999</v>
      </c>
      <c r="O35" s="4">
        <f>N35+Sheet54!O35</f>
        <v>-12.357033999999999</v>
      </c>
      <c r="P35" s="4">
        <f>O35+Sheet54!P35</f>
        <v>-12.357033999999999</v>
      </c>
      <c r="Q35" s="4">
        <f>P35+Sheet54!Q35</f>
        <v>-11.712353999999999</v>
      </c>
      <c r="R35" s="4">
        <f>Q35+Sheet54!R35</f>
        <v>-9.5697539999999996</v>
      </c>
      <c r="S35" s="4">
        <f>R35+Sheet54!S35</f>
        <v>-9.5697539999999996</v>
      </c>
      <c r="T35" s="4">
        <f>S35+Sheet54!T35</f>
        <v>-8.2815940000000001</v>
      </c>
      <c r="U35" s="4">
        <f>T35+Sheet54!U35</f>
        <v>-12.110533999999999</v>
      </c>
      <c r="V35" s="4">
        <f>U35+Sheet54!V35</f>
        <v>-12.110533999999999</v>
      </c>
      <c r="W35" s="4">
        <f>V35+Sheet54!W35</f>
        <v>-12.110533999999999</v>
      </c>
      <c r="X35" s="4">
        <f>W35+Sheet54!X35</f>
        <v>-10.968114</v>
      </c>
      <c r="Y35" s="4">
        <f>X35+Sheet54!Y35</f>
        <v>-12.649234</v>
      </c>
      <c r="Z35" s="4">
        <f>Y35+Sheet54!Z35</f>
        <v>-12.259954</v>
      </c>
      <c r="AA35" s="4">
        <f>Z35+Sheet54!AA35</f>
        <v>-9.3271540000000002</v>
      </c>
      <c r="AB35" s="4">
        <f>AA35+Sheet54!AB35</f>
        <v>-13.327314000000001</v>
      </c>
      <c r="AC35" s="4">
        <f>AB35+Sheet54!AC35</f>
        <v>-13.327314000000001</v>
      </c>
      <c r="AD35" s="4">
        <f>AC35+Sheet54!AD35</f>
        <v>-13.327314000000001</v>
      </c>
      <c r="AE35" s="4">
        <f>AD35+Sheet54!AE35</f>
        <v>-12.755774000000001</v>
      </c>
      <c r="AF35" s="4">
        <f>AE35+Sheet54!AF35</f>
        <v>-12.650834000000001</v>
      </c>
      <c r="AG35" s="4">
        <f>AF35+Sheet54!AG35</f>
        <v>-10.939274000000001</v>
      </c>
      <c r="AH35" s="4">
        <f>AG35+Sheet54!AH35</f>
        <v>-11.772334000000001</v>
      </c>
      <c r="AI35" s="4">
        <f>AH35+Sheet54!AI35</f>
        <v>-17.287234000000002</v>
      </c>
      <c r="AJ35" s="4">
        <f>AI35+Sheet54!AJ35</f>
        <v>-17.287234000000002</v>
      </c>
      <c r="AK35" s="5"/>
    </row>
    <row r="36" spans="1:37" ht="21" customHeight="1">
      <c r="A36" s="12"/>
      <c r="B36" s="14"/>
      <c r="C36" s="15"/>
      <c r="D36" s="21" t="s">
        <v>51</v>
      </c>
      <c r="E36" s="4">
        <v>0</v>
      </c>
      <c r="F36" s="4">
        <f>Sheet54!F36</f>
        <v>0</v>
      </c>
      <c r="G36" s="4">
        <f>Sheet54!G36</f>
        <v>0</v>
      </c>
      <c r="H36" s="4">
        <f>Sheet54!H36</f>
        <v>0</v>
      </c>
      <c r="I36" s="4">
        <f>Sheet54!I36</f>
        <v>0</v>
      </c>
      <c r="J36" s="4">
        <f>Sheet54!J36</f>
        <v>8.8355200000000007</v>
      </c>
      <c r="K36" s="4">
        <f>Sheet54!K36</f>
        <v>0.64351999999999998</v>
      </c>
      <c r="L36" s="4">
        <f>Sheet54!L36</f>
        <v>1.1825399999999999</v>
      </c>
      <c r="M36" s="4">
        <f>Sheet54!M36</f>
        <v>2.8355399999999999</v>
      </c>
      <c r="N36" s="4">
        <f>Sheet54!N36</f>
        <v>-2.5848</v>
      </c>
      <c r="O36" s="4">
        <f>Sheet54!O36</f>
        <v>0</v>
      </c>
      <c r="P36" s="4">
        <f>Sheet54!P36</f>
        <v>0</v>
      </c>
      <c r="Q36" s="4">
        <f>Sheet54!Q36</f>
        <v>0.64468000000000003</v>
      </c>
      <c r="R36" s="4">
        <f>Sheet54!R36</f>
        <v>2.1425999999999998</v>
      </c>
      <c r="S36" s="4">
        <f>Sheet54!S36</f>
        <v>0</v>
      </c>
      <c r="T36" s="4">
        <f>Sheet54!T36</f>
        <v>1.28816</v>
      </c>
      <c r="U36" s="4">
        <f>Sheet54!U36</f>
        <v>-3.8289399999999998</v>
      </c>
      <c r="V36" s="4">
        <f>Sheet54!V36</f>
        <v>0</v>
      </c>
      <c r="W36" s="4">
        <f>Sheet54!W36</f>
        <v>0</v>
      </c>
      <c r="X36" s="4">
        <f>Sheet54!X36</f>
        <v>1.14242</v>
      </c>
      <c r="Y36" s="4">
        <f>Sheet54!Y36</f>
        <v>-1.6811199999999999</v>
      </c>
      <c r="Z36" s="4">
        <f>Sheet54!Z36</f>
        <v>0.38928000000000001</v>
      </c>
      <c r="AA36" s="4">
        <f>Sheet54!AA36</f>
        <v>2.9327999999999999</v>
      </c>
      <c r="AB36" s="4">
        <f>Sheet54!AB36</f>
        <v>-4.0001600000000002</v>
      </c>
      <c r="AC36" s="4">
        <f>Sheet54!AC36</f>
        <v>0</v>
      </c>
      <c r="AD36" s="4">
        <f>Sheet54!AD36</f>
        <v>0</v>
      </c>
      <c r="AE36" s="4">
        <f>Sheet54!AE36</f>
        <v>0.57154000000000005</v>
      </c>
      <c r="AF36" s="4">
        <f>Sheet54!AF36</f>
        <v>0.10494000000000001</v>
      </c>
      <c r="AG36" s="4">
        <f>Sheet54!AG36</f>
        <v>1.71156</v>
      </c>
      <c r="AH36" s="4">
        <f>Sheet54!AH36</f>
        <v>-0.83306000000000002</v>
      </c>
      <c r="AI36" s="4">
        <f>Sheet54!AI36</f>
        <v>-5.5148999999999999</v>
      </c>
      <c r="AJ36" s="4">
        <f>Sheet54!AJ36</f>
        <v>0</v>
      </c>
      <c r="AK36" s="5"/>
    </row>
    <row r="37" spans="1:37" ht="21" customHeight="1">
      <c r="A37" s="12"/>
      <c r="B37" s="14"/>
      <c r="C37" s="15" t="s">
        <v>63</v>
      </c>
      <c r="D37" s="22" t="s">
        <v>40</v>
      </c>
      <c r="E37" s="4">
        <v>766.76256999999998</v>
      </c>
      <c r="F37" s="4">
        <f>E37+Sheet54!F37</f>
        <v>766.76256999999998</v>
      </c>
      <c r="G37" s="4">
        <f>F37+Sheet54!G37</f>
        <v>766.76256999999998</v>
      </c>
      <c r="H37" s="4">
        <f>G37+Sheet54!H37</f>
        <v>766.76256999999998</v>
      </c>
      <c r="I37" s="4">
        <f>H37+Sheet54!I37</f>
        <v>766.76256999999998</v>
      </c>
      <c r="J37" s="4">
        <f>I37+Sheet54!J37</f>
        <v>766.76256999999998</v>
      </c>
      <c r="K37" s="4">
        <f>J37+Sheet54!K37</f>
        <v>766.76256999999998</v>
      </c>
      <c r="L37" s="4">
        <f>K37+Sheet54!L37</f>
        <v>766.76256999999998</v>
      </c>
      <c r="M37" s="4">
        <f>L37+Sheet54!M37</f>
        <v>766.76256999999998</v>
      </c>
      <c r="N37" s="4">
        <f>M37+Sheet54!N37</f>
        <v>766.76256999999998</v>
      </c>
      <c r="O37" s="4">
        <f>N37+Sheet54!O37</f>
        <v>766.76256999999998</v>
      </c>
      <c r="P37" s="4">
        <f>O37+Sheet54!P37</f>
        <v>766.76256999999998</v>
      </c>
      <c r="Q37" s="4">
        <f>P37+Sheet54!Q37</f>
        <v>766.76256999999998</v>
      </c>
      <c r="R37" s="4">
        <f>Q37+Sheet54!R37</f>
        <v>766.76256999999998</v>
      </c>
      <c r="S37" s="4">
        <f>R37+Sheet54!S37</f>
        <v>766.76256999999998</v>
      </c>
      <c r="T37" s="4">
        <f>S37+Sheet54!T37</f>
        <v>766.76256999999998</v>
      </c>
      <c r="U37" s="4">
        <f>T37+Sheet54!U37</f>
        <v>766.76256999999998</v>
      </c>
      <c r="V37" s="4">
        <f>U37+Sheet54!V37</f>
        <v>766.76256999999998</v>
      </c>
      <c r="W37" s="4">
        <f>V37+Sheet54!W37</f>
        <v>766.76256999999998</v>
      </c>
      <c r="X37" s="4">
        <f>W37+Sheet54!X37</f>
        <v>766.76256999999998</v>
      </c>
      <c r="Y37" s="4">
        <f>X37+Sheet54!Y37</f>
        <v>766.76256999999998</v>
      </c>
      <c r="Z37" s="4">
        <f>Y37+Sheet54!Z37</f>
        <v>766.76256999999998</v>
      </c>
      <c r="AA37" s="4">
        <f>Z37+Sheet54!AA37</f>
        <v>766.76256999999998</v>
      </c>
      <c r="AB37" s="4">
        <f>AA37+Sheet54!AB37</f>
        <v>766.76256999999998</v>
      </c>
      <c r="AC37" s="4">
        <f>AB37+Sheet54!AC37</f>
        <v>766.76256999999998</v>
      </c>
      <c r="AD37" s="4">
        <f>AC37+Sheet54!AD37</f>
        <v>766.76256999999998</v>
      </c>
      <c r="AE37" s="4">
        <f>AD37+Sheet54!AE37</f>
        <v>766.76256999999998</v>
      </c>
      <c r="AF37" s="4">
        <f>AE37+Sheet54!AF37</f>
        <v>766.76256999999998</v>
      </c>
      <c r="AG37" s="4">
        <f>AF37+Sheet54!AG37</f>
        <v>766.76256999999998</v>
      </c>
      <c r="AH37" s="4">
        <f>AG37+Sheet54!AH37</f>
        <v>766.76256999999998</v>
      </c>
      <c r="AI37" s="4">
        <f>AH37+Sheet54!AI37</f>
        <v>766.76256999999998</v>
      </c>
      <c r="AJ37" s="4">
        <f>AI37+Sheet54!AJ37</f>
        <v>766.76256999999998</v>
      </c>
      <c r="AK37" s="5"/>
    </row>
    <row r="38" spans="1:37" ht="21" customHeight="1">
      <c r="A38" s="12"/>
      <c r="B38" s="14"/>
      <c r="C38" s="15"/>
      <c r="D38" s="22" t="s">
        <v>50</v>
      </c>
      <c r="E38" s="4">
        <v>-7.6519099999999902</v>
      </c>
      <c r="F38" s="4">
        <f>E38+Sheet54!F38</f>
        <v>-7.6519099999999902</v>
      </c>
      <c r="G38" s="4">
        <f>F38+Sheet54!G38</f>
        <v>-7.6519099999999902</v>
      </c>
      <c r="H38" s="4">
        <f>G38+Sheet54!H38</f>
        <v>-7.6519099999999902</v>
      </c>
      <c r="I38" s="4">
        <f>H38+Sheet54!I38</f>
        <v>-7.6519099999999902</v>
      </c>
      <c r="J38" s="4">
        <f>I38+Sheet54!J38</f>
        <v>-12.072919999999989</v>
      </c>
      <c r="K38" s="4">
        <f>J38+Sheet54!K38</f>
        <v>-5.0638299999999896</v>
      </c>
      <c r="L38" s="4">
        <f>K38+Sheet54!L38</f>
        <v>-15.65154999999999</v>
      </c>
      <c r="M38" s="4">
        <f>L38+Sheet54!M38</f>
        <v>-15.46531999999999</v>
      </c>
      <c r="N38" s="4">
        <f>M38+Sheet54!N38</f>
        <v>-18.859149999999989</v>
      </c>
      <c r="O38" s="4">
        <f>N38+Sheet54!O38</f>
        <v>-18.859149999999989</v>
      </c>
      <c r="P38" s="4">
        <f>O38+Sheet54!P38</f>
        <v>-18.859149999999989</v>
      </c>
      <c r="Q38" s="4">
        <f>P38+Sheet54!Q38</f>
        <v>-6.2190499999999886</v>
      </c>
      <c r="R38" s="4">
        <f>Q38+Sheet54!R38</f>
        <v>1.3587400000000116</v>
      </c>
      <c r="S38" s="4">
        <f>R38+Sheet54!S38</f>
        <v>-2.5752999999999884</v>
      </c>
      <c r="T38" s="4">
        <f>S38+Sheet54!T38</f>
        <v>5.3791300000000124</v>
      </c>
      <c r="U38" s="4">
        <f>T38+Sheet54!U38</f>
        <v>2.8089800000000125</v>
      </c>
      <c r="V38" s="4">
        <f>U38+Sheet54!V38</f>
        <v>2.8089800000000125</v>
      </c>
      <c r="W38" s="4">
        <f>V38+Sheet54!W38</f>
        <v>2.8089800000000125</v>
      </c>
      <c r="X38" s="4">
        <f>W38+Sheet54!X38</f>
        <v>-0.39696999999998761</v>
      </c>
      <c r="Y38" s="4">
        <f>X38+Sheet54!Y38</f>
        <v>-4.9245699999999868</v>
      </c>
      <c r="Z38" s="4">
        <f>Y38+Sheet54!Z38</f>
        <v>-14.519649999999986</v>
      </c>
      <c r="AA38" s="4">
        <f>Z38+Sheet54!AA38</f>
        <v>-19.399689999999985</v>
      </c>
      <c r="AB38" s="4">
        <f>AA38+Sheet54!AB38</f>
        <v>-19.567109999999985</v>
      </c>
      <c r="AC38" s="4">
        <f>AB38+Sheet54!AC38</f>
        <v>-19.567109999999985</v>
      </c>
      <c r="AD38" s="4">
        <f>AC38+Sheet54!AD38</f>
        <v>-19.567109999999985</v>
      </c>
      <c r="AE38" s="4">
        <f>AD38+Sheet54!AE38</f>
        <v>-14.573549999999985</v>
      </c>
      <c r="AF38" s="4">
        <f>AE38+Sheet54!AF38</f>
        <v>-4.3701699999999857</v>
      </c>
      <c r="AG38" s="4">
        <f>AF38+Sheet54!AG38</f>
        <v>20.964370000000017</v>
      </c>
      <c r="AH38" s="4">
        <f>AG38+Sheet54!AH38</f>
        <v>31.652630000000016</v>
      </c>
      <c r="AI38" s="4">
        <f>AH38+Sheet54!AI38</f>
        <v>7.1913800000000165</v>
      </c>
      <c r="AJ38" s="4">
        <f>AI38+Sheet54!AJ38</f>
        <v>7.1913800000000165</v>
      </c>
      <c r="AK38" s="5"/>
    </row>
    <row r="39" spans="1:37" ht="21" customHeight="1">
      <c r="A39" s="12"/>
      <c r="B39" s="14"/>
      <c r="C39" s="15"/>
      <c r="D39" s="21" t="s">
        <v>51</v>
      </c>
      <c r="E39" s="4">
        <v>0</v>
      </c>
      <c r="F39" s="4">
        <f>Sheet54!F39</f>
        <v>0</v>
      </c>
      <c r="G39" s="4">
        <f>Sheet54!G39</f>
        <v>0</v>
      </c>
      <c r="H39" s="4">
        <f>Sheet54!H39</f>
        <v>0</v>
      </c>
      <c r="I39" s="4">
        <f>Sheet54!I39</f>
        <v>0</v>
      </c>
      <c r="J39" s="4">
        <f>Sheet54!J39</f>
        <v>-4.4210099999999999</v>
      </c>
      <c r="K39" s="4">
        <f>Sheet54!K39</f>
        <v>7.0090899999999996</v>
      </c>
      <c r="L39" s="4">
        <f>Sheet54!L39</f>
        <v>-10.587719999999999</v>
      </c>
      <c r="M39" s="4">
        <f>Sheet54!M39</f>
        <v>0.18623000000000001</v>
      </c>
      <c r="N39" s="4">
        <f>Sheet54!N39</f>
        <v>-3.3938299999999999</v>
      </c>
      <c r="O39" s="4">
        <f>Sheet54!O39</f>
        <v>0</v>
      </c>
      <c r="P39" s="4">
        <f>Sheet54!P39</f>
        <v>0</v>
      </c>
      <c r="Q39" s="4">
        <f>Sheet54!Q39</f>
        <v>12.6401</v>
      </c>
      <c r="R39" s="4">
        <f>Sheet54!R39</f>
        <v>7.5777900000000002</v>
      </c>
      <c r="S39" s="4">
        <f>Sheet54!S39</f>
        <v>-3.93404</v>
      </c>
      <c r="T39" s="4">
        <f>Sheet54!T39</f>
        <v>7.9544300000000003</v>
      </c>
      <c r="U39" s="4">
        <f>Sheet54!U39</f>
        <v>-2.5701499999999999</v>
      </c>
      <c r="V39" s="4">
        <f>Sheet54!V39</f>
        <v>0</v>
      </c>
      <c r="W39" s="4">
        <f>Sheet54!W39</f>
        <v>0</v>
      </c>
      <c r="X39" s="4">
        <f>Sheet54!X39</f>
        <v>-3.2059500000000001</v>
      </c>
      <c r="Y39" s="4">
        <f>Sheet54!Y39</f>
        <v>-4.5275999999999996</v>
      </c>
      <c r="Z39" s="4">
        <f>Sheet54!Z39</f>
        <v>-9.5950799999999994</v>
      </c>
      <c r="AA39" s="4">
        <f>Sheet54!AA39</f>
        <v>-4.8800400000000002</v>
      </c>
      <c r="AB39" s="4">
        <f>Sheet54!AB39</f>
        <v>-0.16742000000000001</v>
      </c>
      <c r="AC39" s="4">
        <f>Sheet54!AC39</f>
        <v>0</v>
      </c>
      <c r="AD39" s="4">
        <f>Sheet54!AD39</f>
        <v>0</v>
      </c>
      <c r="AE39" s="4">
        <f>Sheet54!AE39</f>
        <v>4.9935600000000004</v>
      </c>
      <c r="AF39" s="4">
        <f>Sheet54!AF39</f>
        <v>10.203379999999999</v>
      </c>
      <c r="AG39" s="4">
        <f>Sheet54!AG39</f>
        <v>25.334540000000001</v>
      </c>
      <c r="AH39" s="4">
        <f>Sheet54!AH39</f>
        <v>10.68826</v>
      </c>
      <c r="AI39" s="4">
        <f>Sheet54!AI39</f>
        <v>-24.46125</v>
      </c>
      <c r="AJ39" s="4">
        <f>Sheet54!AJ39</f>
        <v>0</v>
      </c>
      <c r="AK39" s="5"/>
    </row>
    <row r="40" spans="1:37" ht="21" customHeight="1">
      <c r="A40" s="12"/>
      <c r="B40" s="14"/>
      <c r="C40" s="15"/>
      <c r="D40" s="22" t="s">
        <v>37</v>
      </c>
      <c r="E40" s="4">
        <v>13.006</v>
      </c>
      <c r="F40" s="4">
        <f>E40+Sheet54!F40</f>
        <v>13.006</v>
      </c>
      <c r="G40" s="4">
        <f>F40+Sheet54!G40</f>
        <v>13.006</v>
      </c>
      <c r="H40" s="4">
        <f>G40+Sheet54!H40</f>
        <v>13.006</v>
      </c>
      <c r="I40" s="4">
        <f>H40+Sheet54!I40</f>
        <v>13.006</v>
      </c>
      <c r="J40" s="4">
        <f>I40+Sheet54!J40</f>
        <v>13.006</v>
      </c>
      <c r="K40" s="4">
        <f>J40+Sheet54!K40</f>
        <v>13.006</v>
      </c>
      <c r="L40" s="4">
        <f>K40+Sheet54!L40</f>
        <v>13.006</v>
      </c>
      <c r="M40" s="4">
        <f>L40+Sheet54!M40</f>
        <v>13.006</v>
      </c>
      <c r="N40" s="4">
        <f>M40+Sheet54!N40</f>
        <v>13.006</v>
      </c>
      <c r="O40" s="4">
        <f>N40+Sheet54!O40</f>
        <v>13.006</v>
      </c>
      <c r="P40" s="4">
        <f>O40+Sheet54!P40</f>
        <v>13.006</v>
      </c>
      <c r="Q40" s="4">
        <f>P40+Sheet54!Q40</f>
        <v>13.006</v>
      </c>
      <c r="R40" s="4">
        <f>Q40+Sheet54!R40</f>
        <v>13.006</v>
      </c>
      <c r="S40" s="4">
        <f>R40+Sheet54!S40</f>
        <v>13.006</v>
      </c>
      <c r="T40" s="4">
        <f>S40+Sheet54!T40</f>
        <v>13.006</v>
      </c>
      <c r="U40" s="4">
        <f>T40+Sheet54!U40</f>
        <v>13.006</v>
      </c>
      <c r="V40" s="4">
        <f>U40+Sheet54!V40</f>
        <v>13.006</v>
      </c>
      <c r="W40" s="4">
        <f>V40+Sheet54!W40</f>
        <v>13.006</v>
      </c>
      <c r="X40" s="4">
        <f>W40+Sheet54!X40</f>
        <v>13.006</v>
      </c>
      <c r="Y40" s="4">
        <f>X40+Sheet54!Y40</f>
        <v>13.006</v>
      </c>
      <c r="Z40" s="4">
        <f>Y40+Sheet54!Z40</f>
        <v>13.006</v>
      </c>
      <c r="AA40" s="4">
        <f>Z40+Sheet54!AA40</f>
        <v>13.006</v>
      </c>
      <c r="AB40" s="4">
        <f>AA40+Sheet54!AB40</f>
        <v>13.006</v>
      </c>
      <c r="AC40" s="4">
        <f>AB40+Sheet54!AC40</f>
        <v>13.006</v>
      </c>
      <c r="AD40" s="4">
        <f>AC40+Sheet54!AD40</f>
        <v>13.006</v>
      </c>
      <c r="AE40" s="4">
        <f>AD40+Sheet54!AE40</f>
        <v>13.006</v>
      </c>
      <c r="AF40" s="4">
        <f>AE40+Sheet54!AF40</f>
        <v>13.006</v>
      </c>
      <c r="AG40" s="4">
        <f>AF40+Sheet54!AG40</f>
        <v>0</v>
      </c>
      <c r="AH40" s="4">
        <f>AG40+Sheet54!AH40</f>
        <v>0</v>
      </c>
      <c r="AI40" s="4">
        <f>AH40+Sheet54!AI40</f>
        <v>0</v>
      </c>
      <c r="AJ40" s="4">
        <f>AI40+Sheet54!AJ40</f>
        <v>0</v>
      </c>
      <c r="AK40" s="5"/>
    </row>
    <row r="41" spans="1:37" ht="21" customHeight="1">
      <c r="A41" s="12"/>
      <c r="B41" s="14"/>
      <c r="C41" s="15" t="s">
        <v>64</v>
      </c>
      <c r="D41" s="22" t="s">
        <v>40</v>
      </c>
      <c r="E41" s="4">
        <v>586.33192899999995</v>
      </c>
      <c r="F41" s="4">
        <f>E41+Sheet54!F41</f>
        <v>586.33192899999995</v>
      </c>
      <c r="G41" s="4">
        <f>F41+Sheet54!G41</f>
        <v>586.33192899999995</v>
      </c>
      <c r="H41" s="4">
        <f>G41+Sheet54!H41</f>
        <v>586.33192899999995</v>
      </c>
      <c r="I41" s="4">
        <f>H41+Sheet54!I41</f>
        <v>586.33192899999995</v>
      </c>
      <c r="J41" s="4">
        <f>I41+Sheet54!J41</f>
        <v>586.33192899999995</v>
      </c>
      <c r="K41" s="4">
        <f>J41+Sheet54!K41</f>
        <v>586.33192899999995</v>
      </c>
      <c r="L41" s="4">
        <f>K41+Sheet54!L41</f>
        <v>586.33192899999995</v>
      </c>
      <c r="M41" s="4">
        <f>L41+Sheet54!M41</f>
        <v>586.33192899999995</v>
      </c>
      <c r="N41" s="4">
        <f>M41+Sheet54!N41</f>
        <v>586.33192899999995</v>
      </c>
      <c r="O41" s="4">
        <f>N41+Sheet54!O41</f>
        <v>586.33192899999995</v>
      </c>
      <c r="P41" s="4">
        <f>O41+Sheet54!P41</f>
        <v>586.33192899999995</v>
      </c>
      <c r="Q41" s="4">
        <f>P41+Sheet54!Q41</f>
        <v>586.33192899999995</v>
      </c>
      <c r="R41" s="4">
        <f>Q41+Sheet54!R41</f>
        <v>586.33192899999995</v>
      </c>
      <c r="S41" s="4">
        <f>R41+Sheet54!S41</f>
        <v>586.33192899999995</v>
      </c>
      <c r="T41" s="4">
        <f>S41+Sheet54!T41</f>
        <v>586.33192899999995</v>
      </c>
      <c r="U41" s="4">
        <f>T41+Sheet54!U41</f>
        <v>586.33192899999995</v>
      </c>
      <c r="V41" s="4">
        <f>U41+Sheet54!V41</f>
        <v>586.33192899999995</v>
      </c>
      <c r="W41" s="4">
        <f>V41+Sheet54!W41</f>
        <v>586.33192899999995</v>
      </c>
      <c r="X41" s="4">
        <f>W41+Sheet54!X41</f>
        <v>586.33192899999995</v>
      </c>
      <c r="Y41" s="4">
        <f>X41+Sheet54!Y41</f>
        <v>586.33192899999995</v>
      </c>
      <c r="Z41" s="4">
        <f>Y41+Sheet54!Z41</f>
        <v>586.33192899999995</v>
      </c>
      <c r="AA41" s="4">
        <f>Z41+Sheet54!AA41</f>
        <v>586.33192899999995</v>
      </c>
      <c r="AB41" s="4">
        <f>AA41+Sheet54!AB41</f>
        <v>586.33192899999995</v>
      </c>
      <c r="AC41" s="4">
        <f>AB41+Sheet54!AC41</f>
        <v>586.33192899999995</v>
      </c>
      <c r="AD41" s="4">
        <f>AC41+Sheet54!AD41</f>
        <v>586.33192899999995</v>
      </c>
      <c r="AE41" s="4">
        <f>AD41+Sheet54!AE41</f>
        <v>586.33192899999995</v>
      </c>
      <c r="AF41" s="4">
        <f>AE41+Sheet54!AF41</f>
        <v>586.33192899999995</v>
      </c>
      <c r="AG41" s="4">
        <f>AF41+Sheet54!AG41</f>
        <v>586.33192899999995</v>
      </c>
      <c r="AH41" s="4">
        <f>AG41+Sheet54!AH41</f>
        <v>586.33192899999995</v>
      </c>
      <c r="AI41" s="4">
        <f>AH41+Sheet54!AI41</f>
        <v>586.33192899999995</v>
      </c>
      <c r="AJ41" s="4">
        <f>AI41+Sheet54!AJ41</f>
        <v>586.33192899999995</v>
      </c>
      <c r="AK41" s="5"/>
    </row>
    <row r="42" spans="1:37" ht="21" customHeight="1">
      <c r="A42" s="12"/>
      <c r="B42" s="14"/>
      <c r="C42" s="15"/>
      <c r="D42" s="22" t="s">
        <v>50</v>
      </c>
      <c r="E42" s="4">
        <v>-3.6052390000000001</v>
      </c>
      <c r="F42" s="4">
        <f>E42+Sheet54!F42</f>
        <v>-3.6052390000000001</v>
      </c>
      <c r="G42" s="4">
        <f>F42+Sheet54!G42</f>
        <v>-3.6052390000000001</v>
      </c>
      <c r="H42" s="4">
        <f>G42+Sheet54!H42</f>
        <v>-3.6052390000000001</v>
      </c>
      <c r="I42" s="4">
        <f>H42+Sheet54!I42</f>
        <v>-3.6052390000000001</v>
      </c>
      <c r="J42" s="4">
        <f>I42+Sheet54!J42</f>
        <v>-12.465454000000001</v>
      </c>
      <c r="K42" s="4">
        <f>J42+Sheet54!K42</f>
        <v>-36.669049000000001</v>
      </c>
      <c r="L42" s="4">
        <f>K42+Sheet54!L42</f>
        <v>-42.892084000000004</v>
      </c>
      <c r="M42" s="4">
        <f>L42+Sheet54!M42</f>
        <v>-50.793679000000004</v>
      </c>
      <c r="N42" s="4">
        <f>M42+Sheet54!N42</f>
        <v>-54.137149000000008</v>
      </c>
      <c r="O42" s="4">
        <f>N42+Sheet54!O42</f>
        <v>-54.137149000000008</v>
      </c>
      <c r="P42" s="4">
        <f>O42+Sheet54!P42</f>
        <v>-54.137149000000008</v>
      </c>
      <c r="Q42" s="4">
        <f>P42+Sheet54!Q42</f>
        <v>-51.927409000000011</v>
      </c>
      <c r="R42" s="4">
        <f>Q42+Sheet54!R42</f>
        <v>-47.010809000000009</v>
      </c>
      <c r="S42" s="4">
        <f>R42+Sheet54!S42</f>
        <v>-45.267314000000006</v>
      </c>
      <c r="T42" s="4">
        <f>S42+Sheet54!T42</f>
        <v>-48.112949000000008</v>
      </c>
      <c r="U42" s="4">
        <f>T42+Sheet54!U42</f>
        <v>-45.04962900000001</v>
      </c>
      <c r="V42" s="4">
        <f>U42+Sheet54!V42</f>
        <v>-45.04962900000001</v>
      </c>
      <c r="W42" s="4">
        <f>V42+Sheet54!W42</f>
        <v>-45.04962900000001</v>
      </c>
      <c r="X42" s="4">
        <f>W42+Sheet54!X42</f>
        <v>-41.16730900000001</v>
      </c>
      <c r="Y42" s="4">
        <f>X42+Sheet54!Y42</f>
        <v>-35.213179000000011</v>
      </c>
      <c r="Z42" s="4">
        <f>Y42+Sheet54!Z42</f>
        <v>-34.609849000000011</v>
      </c>
      <c r="AA42" s="4">
        <f>Z42+Sheet54!AA42</f>
        <v>-24.001849000000011</v>
      </c>
      <c r="AB42" s="4">
        <f>AA42+Sheet54!AB42</f>
        <v>-23.547629000000011</v>
      </c>
      <c r="AC42" s="4">
        <f>AB42+Sheet54!AC42</f>
        <v>-23.547629000000011</v>
      </c>
      <c r="AD42" s="4">
        <f>AC42+Sheet54!AD42</f>
        <v>-23.547629000000011</v>
      </c>
      <c r="AE42" s="4">
        <f>AD42+Sheet54!AE42</f>
        <v>-6.6571840000000115</v>
      </c>
      <c r="AF42" s="4">
        <f>AE42+Sheet54!AF42</f>
        <v>1.5852709999999881</v>
      </c>
      <c r="AG42" s="4">
        <f>AF42+Sheet54!AG42</f>
        <v>19.423220999999987</v>
      </c>
      <c r="AH42" s="4">
        <f>AG42+Sheet54!AH42</f>
        <v>21.908170999999989</v>
      </c>
      <c r="AI42" s="4">
        <f>AH42+Sheet54!AI42</f>
        <v>9.1883209999999895</v>
      </c>
      <c r="AJ42" s="4">
        <f>AI42+Sheet54!AJ42</f>
        <v>9.1883209999999895</v>
      </c>
      <c r="AK42" s="5"/>
    </row>
    <row r="43" spans="1:37" ht="21" customHeight="1">
      <c r="A43" s="12"/>
      <c r="B43" s="14"/>
      <c r="C43" s="15"/>
      <c r="D43" s="21" t="s">
        <v>51</v>
      </c>
      <c r="E43" s="4">
        <v>0</v>
      </c>
      <c r="F43" s="4">
        <f>Sheet54!F43</f>
        <v>0</v>
      </c>
      <c r="G43" s="4">
        <f>Sheet54!G43</f>
        <v>0</v>
      </c>
      <c r="H43" s="4">
        <f>Sheet54!H43</f>
        <v>0</v>
      </c>
      <c r="I43" s="4">
        <f>Sheet54!I43</f>
        <v>0</v>
      </c>
      <c r="J43" s="4">
        <f>Sheet54!J43</f>
        <v>-8.8602150000000002</v>
      </c>
      <c r="K43" s="4">
        <f>Sheet54!K43</f>
        <v>-24.203595</v>
      </c>
      <c r="L43" s="4">
        <f>Sheet54!L43</f>
        <v>-6.2230350000000003</v>
      </c>
      <c r="M43" s="4">
        <f>Sheet54!M43</f>
        <v>-7.9015950000000004</v>
      </c>
      <c r="N43" s="4">
        <f>Sheet54!N43</f>
        <v>-3.3434699999999999</v>
      </c>
      <c r="O43" s="4">
        <f>Sheet54!O43</f>
        <v>0</v>
      </c>
      <c r="P43" s="4">
        <f>Sheet54!P43</f>
        <v>0</v>
      </c>
      <c r="Q43" s="4">
        <f>Sheet54!Q43</f>
        <v>2.20974</v>
      </c>
      <c r="R43" s="4">
        <f>Sheet54!R43</f>
        <v>4.9165999999999999</v>
      </c>
      <c r="S43" s="4">
        <f>Sheet54!S43</f>
        <v>1.743495</v>
      </c>
      <c r="T43" s="4">
        <f>Sheet54!T43</f>
        <v>-2.8456350000000001</v>
      </c>
      <c r="U43" s="4">
        <f>Sheet54!U43</f>
        <v>3.06332</v>
      </c>
      <c r="V43" s="4">
        <f>Sheet54!V43</f>
        <v>0</v>
      </c>
      <c r="W43" s="4">
        <f>Sheet54!W43</f>
        <v>0</v>
      </c>
      <c r="X43" s="4">
        <f>Sheet54!X43</f>
        <v>3.88232</v>
      </c>
      <c r="Y43" s="4">
        <f>Sheet54!Y43</f>
        <v>5.9541300000000001</v>
      </c>
      <c r="Z43" s="4">
        <f>Sheet54!Z43</f>
        <v>0.60333000000000003</v>
      </c>
      <c r="AA43" s="4">
        <f>Sheet54!AA43</f>
        <v>10.608000000000001</v>
      </c>
      <c r="AB43" s="4">
        <f>Sheet54!AB43</f>
        <v>0.45422000000000001</v>
      </c>
      <c r="AC43" s="4">
        <f>Sheet54!AC43</f>
        <v>0</v>
      </c>
      <c r="AD43" s="4">
        <f>Sheet54!AD43</f>
        <v>0</v>
      </c>
      <c r="AE43" s="4">
        <f>Sheet54!AE43</f>
        <v>16.890445</v>
      </c>
      <c r="AF43" s="4">
        <f>Sheet54!AF43</f>
        <v>8.2424549999999996</v>
      </c>
      <c r="AG43" s="4">
        <f>Sheet54!AG43</f>
        <v>17.837949999999999</v>
      </c>
      <c r="AH43" s="4">
        <f>Sheet54!AH43</f>
        <v>2.48495</v>
      </c>
      <c r="AI43" s="4">
        <f>Sheet54!AI43</f>
        <v>-12.719849999999999</v>
      </c>
      <c r="AJ43" s="4">
        <f>Sheet54!AJ43</f>
        <v>0</v>
      </c>
      <c r="AK43" s="5"/>
    </row>
    <row r="44" spans="1:37" ht="21" customHeight="1">
      <c r="A44" s="12"/>
      <c r="B44" s="14"/>
      <c r="C44" s="15" t="s">
        <v>65</v>
      </c>
      <c r="D44" s="22" t="s">
        <v>40</v>
      </c>
      <c r="E44" s="4">
        <v>899.41097000000002</v>
      </c>
      <c r="F44" s="4">
        <f>E44+Sheet54!F44</f>
        <v>899.41097000000002</v>
      </c>
      <c r="G44" s="4">
        <f>F44+Sheet54!G44</f>
        <v>899.41097000000002</v>
      </c>
      <c r="H44" s="4">
        <f>G44+Sheet54!H44</f>
        <v>899.41097000000002</v>
      </c>
      <c r="I44" s="4">
        <f>H44+Sheet54!I44</f>
        <v>899.41097000000002</v>
      </c>
      <c r="J44" s="4">
        <f>I44+Sheet54!J44</f>
        <v>899.41097000000002</v>
      </c>
      <c r="K44" s="4">
        <f>J44+Sheet54!K44</f>
        <v>899.41097000000002</v>
      </c>
      <c r="L44" s="4">
        <f>K44+Sheet54!L44</f>
        <v>899.41097000000002</v>
      </c>
      <c r="M44" s="4">
        <f>L44+Sheet54!M44</f>
        <v>899.41097000000002</v>
      </c>
      <c r="N44" s="4">
        <f>M44+Sheet54!N44</f>
        <v>899.41097000000002</v>
      </c>
      <c r="O44" s="4">
        <f>N44+Sheet54!O44</f>
        <v>899.41097000000002</v>
      </c>
      <c r="P44" s="4">
        <f>O44+Sheet54!P44</f>
        <v>899.41097000000002</v>
      </c>
      <c r="Q44" s="4">
        <f>P44+Sheet54!Q44</f>
        <v>899.41097000000002</v>
      </c>
      <c r="R44" s="4">
        <f>Q44+Sheet54!R44</f>
        <v>899.41097000000002</v>
      </c>
      <c r="S44" s="4">
        <f>R44+Sheet54!S44</f>
        <v>899.41097000000002</v>
      </c>
      <c r="T44" s="4">
        <f>S44+Sheet54!T44</f>
        <v>899.41097000000002</v>
      </c>
      <c r="U44" s="4">
        <f>T44+Sheet54!U44</f>
        <v>899.41097000000002</v>
      </c>
      <c r="V44" s="4">
        <f>U44+Sheet54!V44</f>
        <v>899.41097000000002</v>
      </c>
      <c r="W44" s="4">
        <f>V44+Sheet54!W44</f>
        <v>899.41097000000002</v>
      </c>
      <c r="X44" s="4">
        <f>W44+Sheet54!X44</f>
        <v>899.41097000000002</v>
      </c>
      <c r="Y44" s="4">
        <f>X44+Sheet54!Y44</f>
        <v>899.41097000000002</v>
      </c>
      <c r="Z44" s="4">
        <f>Y44+Sheet54!Z44</f>
        <v>899.41097000000002</v>
      </c>
      <c r="AA44" s="4">
        <f>Z44+Sheet54!AA44</f>
        <v>899.41097000000002</v>
      </c>
      <c r="AB44" s="4">
        <f>AA44+Sheet54!AB44</f>
        <v>899.41097000000002</v>
      </c>
      <c r="AC44" s="4">
        <f>AB44+Sheet54!AC44</f>
        <v>899.41097000000002</v>
      </c>
      <c r="AD44" s="4">
        <f>AC44+Sheet54!AD44</f>
        <v>899.41097000000002</v>
      </c>
      <c r="AE44" s="4">
        <f>AD44+Sheet54!AE44</f>
        <v>899.41097000000002</v>
      </c>
      <c r="AF44" s="4">
        <f>AE44+Sheet54!AF44</f>
        <v>899.41097000000002</v>
      </c>
      <c r="AG44" s="4">
        <f>AF44+Sheet54!AG44</f>
        <v>899.41097000000002</v>
      </c>
      <c r="AH44" s="4">
        <f>AG44+Sheet54!AH44</f>
        <v>899.41097000000002</v>
      </c>
      <c r="AI44" s="4">
        <f>AH44+Sheet54!AI44</f>
        <v>899.41097000000002</v>
      </c>
      <c r="AJ44" s="4">
        <f>AI44+Sheet54!AJ44</f>
        <v>899.41097000000002</v>
      </c>
      <c r="AK44" s="5"/>
    </row>
    <row r="45" spans="1:37" ht="21" customHeight="1">
      <c r="A45" s="12"/>
      <c r="B45" s="14"/>
      <c r="C45" s="15"/>
      <c r="D45" s="22" t="s">
        <v>50</v>
      </c>
      <c r="E45" s="4">
        <v>-89.058769999999996</v>
      </c>
      <c r="F45" s="4">
        <f>E45+Sheet54!F45</f>
        <v>-89.058769999999996</v>
      </c>
      <c r="G45" s="4">
        <f>F45+Sheet54!G45</f>
        <v>-89.058769999999996</v>
      </c>
      <c r="H45" s="4">
        <f>G45+Sheet54!H45</f>
        <v>-89.058769999999996</v>
      </c>
      <c r="I45" s="4">
        <f>H45+Sheet54!I45</f>
        <v>-89.058769999999996</v>
      </c>
      <c r="J45" s="4">
        <f>I45+Sheet54!J45</f>
        <v>-85.415970000000002</v>
      </c>
      <c r="K45" s="4">
        <f>J45+Sheet54!K45</f>
        <v>-84.232969999999995</v>
      </c>
      <c r="L45" s="4">
        <f>K45+Sheet54!L45</f>
        <v>-88.978129999999993</v>
      </c>
      <c r="M45" s="4">
        <f>L45+Sheet54!M45</f>
        <v>-95.250969999999995</v>
      </c>
      <c r="N45" s="4">
        <f>M45+Sheet54!N45</f>
        <v>-94.265929999999997</v>
      </c>
      <c r="O45" s="4">
        <f>N45+Sheet54!O45</f>
        <v>-94.265929999999997</v>
      </c>
      <c r="P45" s="4">
        <f>O45+Sheet54!P45</f>
        <v>-94.265929999999997</v>
      </c>
      <c r="Q45" s="4">
        <f>P45+Sheet54!Q45</f>
        <v>-79.399609999999996</v>
      </c>
      <c r="R45" s="4">
        <f>Q45+Sheet54!R45</f>
        <v>-75.766049999999993</v>
      </c>
      <c r="S45" s="4">
        <f>R45+Sheet54!S45</f>
        <v>-75.766049999999993</v>
      </c>
      <c r="T45" s="4">
        <f>S45+Sheet54!T45</f>
        <v>-68.162649999999999</v>
      </c>
      <c r="U45" s="4">
        <f>T45+Sheet54!U45</f>
        <v>-71.315169999999995</v>
      </c>
      <c r="V45" s="4">
        <f>U45+Sheet54!V45</f>
        <v>-71.315169999999995</v>
      </c>
      <c r="W45" s="4">
        <f>V45+Sheet54!W45</f>
        <v>-71.315169999999995</v>
      </c>
      <c r="X45" s="4">
        <f>W45+Sheet54!X45</f>
        <v>-74.094169999999991</v>
      </c>
      <c r="Y45" s="4">
        <f>X45+Sheet54!Y45</f>
        <v>-78.489469999999997</v>
      </c>
      <c r="Z45" s="4">
        <f>Y45+Sheet54!Z45</f>
        <v>-81.813769999999991</v>
      </c>
      <c r="AA45" s="4">
        <f>Z45+Sheet54!AA45</f>
        <v>-81.963289999999986</v>
      </c>
      <c r="AB45" s="4">
        <f>AA45+Sheet54!AB45</f>
        <v>-85.895329999999987</v>
      </c>
      <c r="AC45" s="4">
        <f>AB45+Sheet54!AC45</f>
        <v>-85.895329999999987</v>
      </c>
      <c r="AD45" s="4">
        <f>AC45+Sheet54!AD45</f>
        <v>-85.895329999999987</v>
      </c>
      <c r="AE45" s="4">
        <f>AD45+Sheet54!AE45</f>
        <v>-80.805069999999986</v>
      </c>
      <c r="AF45" s="4">
        <f>AE45+Sheet54!AF45</f>
        <v>-70.207769999999982</v>
      </c>
      <c r="AG45" s="4">
        <f>AF45+Sheet54!AG45</f>
        <v>-51.665889999999983</v>
      </c>
      <c r="AH45" s="4">
        <f>AG45+Sheet54!AH45</f>
        <v>-41.399269999999987</v>
      </c>
      <c r="AI45" s="4">
        <f>AH45+Sheet54!AI45</f>
        <v>-62.569369999999992</v>
      </c>
      <c r="AJ45" s="4">
        <f>AI45+Sheet54!AJ45</f>
        <v>-62.569369999999992</v>
      </c>
      <c r="AK45" s="5"/>
    </row>
    <row r="46" spans="1:37" ht="21" customHeight="1">
      <c r="A46" s="12"/>
      <c r="B46" s="14"/>
      <c r="C46" s="15"/>
      <c r="D46" s="21" t="s">
        <v>51</v>
      </c>
      <c r="E46" s="4">
        <v>0</v>
      </c>
      <c r="F46" s="4">
        <f>Sheet54!F46</f>
        <v>0</v>
      </c>
      <c r="G46" s="4">
        <f>Sheet54!G46</f>
        <v>0</v>
      </c>
      <c r="H46" s="4">
        <f>Sheet54!H46</f>
        <v>0</v>
      </c>
      <c r="I46" s="4">
        <f>Sheet54!I46</f>
        <v>0</v>
      </c>
      <c r="J46" s="4">
        <f>Sheet54!J46</f>
        <v>3.6427999999999998</v>
      </c>
      <c r="K46" s="4">
        <f>Sheet54!K46</f>
        <v>1.1830000000000001</v>
      </c>
      <c r="L46" s="4">
        <f>Sheet54!L46</f>
        <v>-4.7451600000000003</v>
      </c>
      <c r="M46" s="4">
        <f>Sheet54!M46</f>
        <v>-6.2728400000000004</v>
      </c>
      <c r="N46" s="4">
        <f>Sheet54!N46</f>
        <v>0.98504000000000003</v>
      </c>
      <c r="O46" s="4">
        <f>Sheet54!O46</f>
        <v>0</v>
      </c>
      <c r="P46" s="4">
        <f>Sheet54!P46</f>
        <v>0</v>
      </c>
      <c r="Q46" s="4">
        <f>Sheet54!Q46</f>
        <v>14.86632</v>
      </c>
      <c r="R46" s="4">
        <f>Sheet54!R46</f>
        <v>3.6335600000000001</v>
      </c>
      <c r="S46" s="4">
        <f>Sheet54!S46</f>
        <v>0</v>
      </c>
      <c r="T46" s="4">
        <f>Sheet54!T46</f>
        <v>7.6033999999999997</v>
      </c>
      <c r="U46" s="4">
        <f>Sheet54!U46</f>
        <v>-3.15252</v>
      </c>
      <c r="V46" s="4">
        <f>Sheet54!V46</f>
        <v>0</v>
      </c>
      <c r="W46" s="4">
        <f>Sheet54!W46</f>
        <v>0</v>
      </c>
      <c r="X46" s="4">
        <f>Sheet54!X46</f>
        <v>-2.7789999999999999</v>
      </c>
      <c r="Y46" s="4">
        <f>Sheet54!Y46</f>
        <v>-4.3952999999999998</v>
      </c>
      <c r="Z46" s="4">
        <f>Sheet54!Z46</f>
        <v>-3.3243</v>
      </c>
      <c r="AA46" s="4">
        <f>Sheet54!AA46</f>
        <v>-0.14951999999999999</v>
      </c>
      <c r="AB46" s="4">
        <f>Sheet54!AB46</f>
        <v>-3.9320400000000002</v>
      </c>
      <c r="AC46" s="4">
        <f>Sheet54!AC46</f>
        <v>0</v>
      </c>
      <c r="AD46" s="4">
        <f>Sheet54!AD46</f>
        <v>0</v>
      </c>
      <c r="AE46" s="4">
        <f>Sheet54!AE46</f>
        <v>5.0902599999999998</v>
      </c>
      <c r="AF46" s="4">
        <f>Sheet54!AF46</f>
        <v>10.597300000000001</v>
      </c>
      <c r="AG46" s="4">
        <f>Sheet54!AG46</f>
        <v>18.541879999999999</v>
      </c>
      <c r="AH46" s="4">
        <f>Sheet54!AH46</f>
        <v>10.26662</v>
      </c>
      <c r="AI46" s="4">
        <f>Sheet54!AI46</f>
        <v>-21.170100000000001</v>
      </c>
      <c r="AJ46" s="4">
        <f>Sheet54!AJ46</f>
        <v>0</v>
      </c>
      <c r="AK46" s="5"/>
    </row>
    <row r="47" spans="1:37" ht="21" customHeight="1">
      <c r="A47" s="12"/>
      <c r="B47" s="14"/>
      <c r="C47" s="15"/>
      <c r="D47" s="22" t="s">
        <v>37</v>
      </c>
      <c r="E47" s="4">
        <v>18.756</v>
      </c>
      <c r="F47" s="4">
        <f>E47+Sheet54!F47</f>
        <v>18.756</v>
      </c>
      <c r="G47" s="4">
        <f>F47+Sheet54!G47</f>
        <v>18.756</v>
      </c>
      <c r="H47" s="4">
        <f>G47+Sheet54!H47</f>
        <v>18.756</v>
      </c>
      <c r="I47" s="4">
        <f>H47+Sheet54!I47</f>
        <v>18.756</v>
      </c>
      <c r="J47" s="4">
        <f>I47+Sheet54!J47</f>
        <v>18.756</v>
      </c>
      <c r="K47" s="4">
        <f>J47+Sheet54!K47</f>
        <v>18.756</v>
      </c>
      <c r="L47" s="4">
        <f>K47+Sheet54!L47</f>
        <v>18.756</v>
      </c>
      <c r="M47" s="4">
        <f>L47+Sheet54!M47</f>
        <v>18.756</v>
      </c>
      <c r="N47" s="4">
        <f>M47+Sheet54!N47</f>
        <v>18.756</v>
      </c>
      <c r="O47" s="4">
        <f>N47+Sheet54!O47</f>
        <v>18.756</v>
      </c>
      <c r="P47" s="4">
        <f>O47+Sheet54!P47</f>
        <v>18.756</v>
      </c>
      <c r="Q47" s="4">
        <f>P47+Sheet54!Q47</f>
        <v>18.756</v>
      </c>
      <c r="R47" s="4">
        <f>Q47+Sheet54!R47</f>
        <v>18.756</v>
      </c>
      <c r="S47" s="4">
        <f>R47+Sheet54!S47</f>
        <v>18.756</v>
      </c>
      <c r="T47" s="4">
        <f>S47+Sheet54!T47</f>
        <v>18.756</v>
      </c>
      <c r="U47" s="4">
        <f>T47+Sheet54!U47</f>
        <v>18.756</v>
      </c>
      <c r="V47" s="4">
        <f>U47+Sheet54!V47</f>
        <v>18.756</v>
      </c>
      <c r="W47" s="4">
        <f>V47+Sheet54!W47</f>
        <v>18.756</v>
      </c>
      <c r="X47" s="4">
        <f>W47+Sheet54!X47</f>
        <v>18.756</v>
      </c>
      <c r="Y47" s="4">
        <f>X47+Sheet54!Y47</f>
        <v>18.756</v>
      </c>
      <c r="Z47" s="4">
        <f>Y47+Sheet54!Z47</f>
        <v>18.756</v>
      </c>
      <c r="AA47" s="4">
        <f>Z47+Sheet54!AA47</f>
        <v>18.756</v>
      </c>
      <c r="AB47" s="4">
        <f>AA47+Sheet54!AB47</f>
        <v>18.756</v>
      </c>
      <c r="AC47" s="4">
        <f>AB47+Sheet54!AC47</f>
        <v>18.756</v>
      </c>
      <c r="AD47" s="4">
        <f>AC47+Sheet54!AD47</f>
        <v>18.756</v>
      </c>
      <c r="AE47" s="4">
        <f>AD47+Sheet54!AE47</f>
        <v>18.756</v>
      </c>
      <c r="AF47" s="4">
        <f>AE47+Sheet54!AF47</f>
        <v>18.756</v>
      </c>
      <c r="AG47" s="4">
        <f>AF47+Sheet54!AG47</f>
        <v>18.756</v>
      </c>
      <c r="AH47" s="4">
        <f>AG47+Sheet54!AH47</f>
        <v>18.756</v>
      </c>
      <c r="AI47" s="4">
        <f>AH47+Sheet54!AI47</f>
        <v>0</v>
      </c>
      <c r="AJ47" s="4">
        <f>AI47+Sheet54!AJ47</f>
        <v>0</v>
      </c>
      <c r="AK47" s="5"/>
    </row>
    <row r="48" spans="1:37" ht="21" customHeight="1">
      <c r="A48" s="12"/>
      <c r="B48" s="14"/>
      <c r="C48" s="15" t="s">
        <v>66</v>
      </c>
      <c r="D48" s="22" t="s">
        <v>40</v>
      </c>
      <c r="E48" s="4">
        <v>246.09956700000001</v>
      </c>
      <c r="F48" s="4">
        <f>E48+Sheet54!F48</f>
        <v>246.09956700000001</v>
      </c>
      <c r="G48" s="4">
        <f>F48+Sheet54!G48</f>
        <v>246.09956700000001</v>
      </c>
      <c r="H48" s="4">
        <f>G48+Sheet54!H48</f>
        <v>246.09956700000001</v>
      </c>
      <c r="I48" s="4">
        <f>H48+Sheet54!I48</f>
        <v>246.09956700000001</v>
      </c>
      <c r="J48" s="4">
        <f>I48+Sheet54!J48</f>
        <v>246.09956700000001</v>
      </c>
      <c r="K48" s="4">
        <f>J48+Sheet54!K48</f>
        <v>246.09956700000001</v>
      </c>
      <c r="L48" s="4">
        <f>K48+Sheet54!L48</f>
        <v>246.09956700000001</v>
      </c>
      <c r="M48" s="4">
        <f>L48+Sheet54!M48</f>
        <v>246.09956700000001</v>
      </c>
      <c r="N48" s="4">
        <f>M48+Sheet54!N48</f>
        <v>246.09956700000001</v>
      </c>
      <c r="O48" s="4">
        <f>N48+Sheet54!O48</f>
        <v>246.09956700000001</v>
      </c>
      <c r="P48" s="4">
        <f>O48+Sheet54!P48</f>
        <v>246.09956700000001</v>
      </c>
      <c r="Q48" s="4">
        <f>P48+Sheet54!Q48</f>
        <v>246.09956700000001</v>
      </c>
      <c r="R48" s="4">
        <f>Q48+Sheet54!R48</f>
        <v>246.09956700000001</v>
      </c>
      <c r="S48" s="4">
        <f>R48+Sheet54!S48</f>
        <v>246.09956700000001</v>
      </c>
      <c r="T48" s="4">
        <f>S48+Sheet54!T48</f>
        <v>246.09956700000001</v>
      </c>
      <c r="U48" s="4">
        <f>T48+Sheet54!U48</f>
        <v>246.09956700000001</v>
      </c>
      <c r="V48" s="4">
        <f>U48+Sheet54!V48</f>
        <v>246.09956700000001</v>
      </c>
      <c r="W48" s="4">
        <f>V48+Sheet54!W48</f>
        <v>246.09956700000001</v>
      </c>
      <c r="X48" s="4">
        <f>W48+Sheet54!X48</f>
        <v>246.09956700000001</v>
      </c>
      <c r="Y48" s="4">
        <f>X48+Sheet54!Y48</f>
        <v>246.09956700000001</v>
      </c>
      <c r="Z48" s="4">
        <f>Y48+Sheet54!Z48</f>
        <v>246.09956700000001</v>
      </c>
      <c r="AA48" s="4">
        <f>Z48+Sheet54!AA48</f>
        <v>0</v>
      </c>
      <c r="AB48" s="4">
        <f>AA48+Sheet54!AB48</f>
        <v>0</v>
      </c>
      <c r="AC48" s="4">
        <f>AB48+Sheet54!AC48</f>
        <v>0</v>
      </c>
      <c r="AD48" s="4">
        <f>AC48+Sheet54!AD48</f>
        <v>0</v>
      </c>
      <c r="AE48" s="4">
        <f>AD48+Sheet54!AE48</f>
        <v>0</v>
      </c>
      <c r="AF48" s="4">
        <f>AE48+Sheet54!AF48</f>
        <v>0</v>
      </c>
      <c r="AG48" s="4">
        <f>AF48+Sheet54!AG48</f>
        <v>0</v>
      </c>
      <c r="AH48" s="4">
        <f>AG48+Sheet54!AH48</f>
        <v>0</v>
      </c>
      <c r="AI48" s="4">
        <f>AH48+Sheet54!AI48</f>
        <v>0</v>
      </c>
      <c r="AJ48" s="4">
        <f>AI48+Sheet54!AJ48</f>
        <v>0</v>
      </c>
      <c r="AK48" s="5"/>
    </row>
    <row r="49" spans="1:37" ht="21" customHeight="1">
      <c r="A49" s="12"/>
      <c r="B49" s="14"/>
      <c r="C49" s="15"/>
      <c r="D49" s="22" t="s">
        <v>50</v>
      </c>
      <c r="E49" s="4">
        <v>-37.419567000000001</v>
      </c>
      <c r="F49" s="4">
        <f>E49+Sheet54!F49</f>
        <v>-37.419567000000001</v>
      </c>
      <c r="G49" s="4">
        <f>F49+Sheet54!G49</f>
        <v>-37.419567000000001</v>
      </c>
      <c r="H49" s="4">
        <f>G49+Sheet54!H49</f>
        <v>-37.419567000000001</v>
      </c>
      <c r="I49" s="4">
        <f>H49+Sheet54!I49</f>
        <v>-37.419567000000001</v>
      </c>
      <c r="J49" s="4">
        <f>I49+Sheet54!J49</f>
        <v>-35.739567000000001</v>
      </c>
      <c r="K49" s="4">
        <f>J49+Sheet54!K49</f>
        <v>-34.419567000000001</v>
      </c>
      <c r="L49" s="4">
        <f>K49+Sheet54!L49</f>
        <v>-35.079566999999997</v>
      </c>
      <c r="M49" s="4">
        <f>L49+Sheet54!M49</f>
        <v>-33.639567</v>
      </c>
      <c r="N49" s="4">
        <f>M49+Sheet54!N49</f>
        <v>-33.279567</v>
      </c>
      <c r="O49" s="4">
        <f>N49+Sheet54!O49</f>
        <v>-33.279567</v>
      </c>
      <c r="P49" s="4">
        <f>O49+Sheet54!P49</f>
        <v>-33.279567</v>
      </c>
      <c r="Q49" s="4">
        <f>P49+Sheet54!Q49</f>
        <v>-30.999566999999999</v>
      </c>
      <c r="R49" s="4">
        <f>Q49+Sheet54!R49</f>
        <v>-34.419567000000001</v>
      </c>
      <c r="S49" s="4">
        <f>R49+Sheet54!S49</f>
        <v>-33.819566999999999</v>
      </c>
      <c r="T49" s="4">
        <f>S49+Sheet54!T49</f>
        <v>-36.339567000000002</v>
      </c>
      <c r="U49" s="4">
        <f>T49+Sheet54!U49</f>
        <v>-38.619567000000004</v>
      </c>
      <c r="V49" s="4">
        <f>U49+Sheet54!V49</f>
        <v>-38.619567000000004</v>
      </c>
      <c r="W49" s="4">
        <f>V49+Sheet54!W49</f>
        <v>-38.619567000000004</v>
      </c>
      <c r="X49" s="4">
        <f>W49+Sheet54!X49</f>
        <v>-38.619567000000004</v>
      </c>
      <c r="Y49" s="4">
        <f>X49+Sheet54!Y49</f>
        <v>-37.539567000000005</v>
      </c>
      <c r="Z49" s="4">
        <f>Y49+Sheet54!Z49</f>
        <v>-40.779567000000007</v>
      </c>
      <c r="AA49" s="4">
        <f>Z49+Sheet54!AA49</f>
        <v>0</v>
      </c>
      <c r="AB49" s="4">
        <f>AA49+Sheet54!AB49</f>
        <v>0</v>
      </c>
      <c r="AC49" s="4">
        <f>AB49+Sheet54!AC49</f>
        <v>0</v>
      </c>
      <c r="AD49" s="4">
        <f>AC49+Sheet54!AD49</f>
        <v>0</v>
      </c>
      <c r="AE49" s="4">
        <f>AD49+Sheet54!AE49</f>
        <v>0</v>
      </c>
      <c r="AF49" s="4">
        <f>AE49+Sheet54!AF49</f>
        <v>0</v>
      </c>
      <c r="AG49" s="4">
        <f>AF49+Sheet54!AG49</f>
        <v>0</v>
      </c>
      <c r="AH49" s="4">
        <f>AG49+Sheet54!AH49</f>
        <v>0</v>
      </c>
      <c r="AI49" s="4">
        <f>AH49+Sheet54!AI49</f>
        <v>0</v>
      </c>
      <c r="AJ49" s="4">
        <f>AI49+Sheet54!AJ49</f>
        <v>0</v>
      </c>
      <c r="AK49" s="5"/>
    </row>
    <row r="50" spans="1:37" ht="21" customHeight="1">
      <c r="A50" s="12"/>
      <c r="B50" s="14"/>
      <c r="C50" s="15"/>
      <c r="D50" s="21" t="s">
        <v>51</v>
      </c>
      <c r="E50" s="4">
        <v>0</v>
      </c>
      <c r="F50" s="4">
        <f>Sheet54!F50</f>
        <v>0</v>
      </c>
      <c r="G50" s="4">
        <f>Sheet54!G50</f>
        <v>0</v>
      </c>
      <c r="H50" s="4">
        <f>Sheet54!H50</f>
        <v>0</v>
      </c>
      <c r="I50" s="4">
        <f>Sheet54!I50</f>
        <v>0</v>
      </c>
      <c r="J50" s="4">
        <f>Sheet54!J50</f>
        <v>1.68</v>
      </c>
      <c r="K50" s="4">
        <f>Sheet54!K50</f>
        <v>1.32</v>
      </c>
      <c r="L50" s="4">
        <f>Sheet54!L50</f>
        <v>-0.66</v>
      </c>
      <c r="M50" s="4">
        <f>Sheet54!M50</f>
        <v>1.44</v>
      </c>
      <c r="N50" s="4">
        <f>Sheet54!N50</f>
        <v>0.36</v>
      </c>
      <c r="O50" s="4">
        <f>Sheet54!O50</f>
        <v>0</v>
      </c>
      <c r="P50" s="4">
        <f>Sheet54!P50</f>
        <v>0</v>
      </c>
      <c r="Q50" s="4">
        <f>Sheet54!Q50</f>
        <v>2.2799999999999998</v>
      </c>
      <c r="R50" s="4">
        <f>Sheet54!R50</f>
        <v>-3.42</v>
      </c>
      <c r="S50" s="4">
        <f>Sheet54!S50</f>
        <v>0.6</v>
      </c>
      <c r="T50" s="4">
        <f>Sheet54!T50</f>
        <v>-2.52</v>
      </c>
      <c r="U50" s="4">
        <f>Sheet54!U50</f>
        <v>-2.2799999999999998</v>
      </c>
      <c r="V50" s="4">
        <f>Sheet54!V50</f>
        <v>0</v>
      </c>
      <c r="W50" s="4">
        <f>Sheet54!W50</f>
        <v>0</v>
      </c>
      <c r="X50" s="4">
        <f>Sheet54!X50</f>
        <v>0</v>
      </c>
      <c r="Y50" s="4">
        <f>Sheet54!Y50</f>
        <v>1.08</v>
      </c>
      <c r="Z50" s="4">
        <f>Sheet54!Z50</f>
        <v>-3.24</v>
      </c>
      <c r="AA50" s="4">
        <f>Sheet54!AA50</f>
        <v>40.779567</v>
      </c>
      <c r="AB50" s="4">
        <f>Sheet54!AB50</f>
        <v>0</v>
      </c>
      <c r="AC50" s="4">
        <f>Sheet54!AC50</f>
        <v>0</v>
      </c>
      <c r="AD50" s="4">
        <f>Sheet54!AD50</f>
        <v>0</v>
      </c>
      <c r="AE50" s="4">
        <f>Sheet54!AE50</f>
        <v>0</v>
      </c>
      <c r="AF50" s="4">
        <f>Sheet54!AF50</f>
        <v>0</v>
      </c>
      <c r="AG50" s="4">
        <f>Sheet54!AG50</f>
        <v>0</v>
      </c>
      <c r="AH50" s="4">
        <f>Sheet54!AH50</f>
        <v>0</v>
      </c>
      <c r="AI50" s="4">
        <f>Sheet54!AI50</f>
        <v>0</v>
      </c>
      <c r="AJ50" s="4">
        <f>Sheet54!AJ50</f>
        <v>0</v>
      </c>
      <c r="AK50" s="5"/>
    </row>
    <row r="51" spans="1:37" ht="21" customHeight="1">
      <c r="A51" s="12"/>
      <c r="B51" s="14"/>
      <c r="C51" s="15"/>
      <c r="D51" s="21" t="s">
        <v>58</v>
      </c>
      <c r="E51" s="4">
        <v>0</v>
      </c>
      <c r="F51" s="4">
        <f>Sheet54!F51</f>
        <v>0</v>
      </c>
      <c r="G51" s="4">
        <f>Sheet54!G51</f>
        <v>0</v>
      </c>
      <c r="H51" s="4">
        <f>Sheet54!H51</f>
        <v>0</v>
      </c>
      <c r="I51" s="4">
        <f>Sheet54!I51</f>
        <v>0</v>
      </c>
      <c r="J51" s="4">
        <f>Sheet54!J51</f>
        <v>0</v>
      </c>
      <c r="K51" s="4">
        <f>Sheet54!K51</f>
        <v>0</v>
      </c>
      <c r="L51" s="4">
        <f>Sheet54!L51</f>
        <v>0</v>
      </c>
      <c r="M51" s="4">
        <f>Sheet54!M51</f>
        <v>0</v>
      </c>
      <c r="N51" s="4">
        <f>Sheet54!N51</f>
        <v>0</v>
      </c>
      <c r="O51" s="4">
        <f>Sheet54!O51</f>
        <v>0</v>
      </c>
      <c r="P51" s="4">
        <f>Sheet54!P51</f>
        <v>0</v>
      </c>
      <c r="Q51" s="4">
        <f>Sheet54!Q51</f>
        <v>0</v>
      </c>
      <c r="R51" s="4">
        <f>Sheet54!R51</f>
        <v>0</v>
      </c>
      <c r="S51" s="4">
        <f>Sheet54!S51</f>
        <v>0</v>
      </c>
      <c r="T51" s="4">
        <f>Sheet54!T51</f>
        <v>0</v>
      </c>
      <c r="U51" s="4">
        <f>Sheet54!U51</f>
        <v>0</v>
      </c>
      <c r="V51" s="4">
        <f>Sheet54!V51</f>
        <v>0</v>
      </c>
      <c r="W51" s="4">
        <f>Sheet54!W51</f>
        <v>0</v>
      </c>
      <c r="X51" s="4">
        <f>Sheet54!X51</f>
        <v>0</v>
      </c>
      <c r="Y51" s="4">
        <f>Sheet54!Y51</f>
        <v>0</v>
      </c>
      <c r="Z51" s="4">
        <f>Sheet54!Z51</f>
        <v>0</v>
      </c>
      <c r="AA51" s="4">
        <f>Sheet54!AA51</f>
        <v>-41.936995000000003</v>
      </c>
      <c r="AB51" s="4">
        <f>Sheet54!AB51</f>
        <v>0</v>
      </c>
      <c r="AC51" s="4">
        <f>Sheet54!AC51</f>
        <v>0</v>
      </c>
      <c r="AD51" s="4">
        <f>Sheet54!AD51</f>
        <v>0</v>
      </c>
      <c r="AE51" s="4">
        <f>Sheet54!AE51</f>
        <v>0</v>
      </c>
      <c r="AF51" s="4">
        <f>Sheet54!AF51</f>
        <v>0</v>
      </c>
      <c r="AG51" s="4">
        <f>Sheet54!AG51</f>
        <v>0</v>
      </c>
      <c r="AH51" s="4">
        <f>Sheet54!AH51</f>
        <v>0</v>
      </c>
      <c r="AI51" s="4">
        <f>Sheet54!AI51</f>
        <v>0</v>
      </c>
      <c r="AJ51" s="4">
        <f>Sheet54!AJ51</f>
        <v>0</v>
      </c>
      <c r="AK51" s="5"/>
    </row>
    <row r="52" spans="1:37" ht="21" customHeight="1">
      <c r="A52" s="12"/>
      <c r="B52" s="14"/>
      <c r="C52" s="15" t="s">
        <v>67</v>
      </c>
      <c r="D52" s="22" t="s">
        <v>40</v>
      </c>
      <c r="E52" s="4">
        <v>634.36011699999995</v>
      </c>
      <c r="F52" s="4">
        <f>E52+Sheet54!F52</f>
        <v>634.36011699999995</v>
      </c>
      <c r="G52" s="4">
        <f>F52+Sheet54!G52</f>
        <v>634.36011699999995</v>
      </c>
      <c r="H52" s="4">
        <f>G52+Sheet54!H52</f>
        <v>634.36011699999995</v>
      </c>
      <c r="I52" s="4">
        <f>H52+Sheet54!I52</f>
        <v>634.36011699999995</v>
      </c>
      <c r="J52" s="4">
        <f>I52+Sheet54!J52</f>
        <v>634.36011699999995</v>
      </c>
      <c r="K52" s="4">
        <f>J52+Sheet54!K52</f>
        <v>634.36011699999995</v>
      </c>
      <c r="L52" s="4">
        <f>K52+Sheet54!L52</f>
        <v>634.36011699999995</v>
      </c>
      <c r="M52" s="4">
        <f>L52+Sheet54!M52</f>
        <v>634.36011699999995</v>
      </c>
      <c r="N52" s="4">
        <f>M52+Sheet54!N52</f>
        <v>634.36011699999995</v>
      </c>
      <c r="O52" s="4">
        <f>N52+Sheet54!O52</f>
        <v>634.36011699999995</v>
      </c>
      <c r="P52" s="4">
        <f>O52+Sheet54!P52</f>
        <v>634.36011699999995</v>
      </c>
      <c r="Q52" s="4">
        <f>P52+Sheet54!Q52</f>
        <v>634.36011699999995</v>
      </c>
      <c r="R52" s="4">
        <f>Q52+Sheet54!R52</f>
        <v>634.36011699999995</v>
      </c>
      <c r="S52" s="4">
        <f>R52+Sheet54!S52</f>
        <v>634.36011699999995</v>
      </c>
      <c r="T52" s="4">
        <f>S52+Sheet54!T52</f>
        <v>634.36011699999995</v>
      </c>
      <c r="U52" s="4">
        <f>T52+Sheet54!U52</f>
        <v>634.36011699999995</v>
      </c>
      <c r="V52" s="4">
        <f>U52+Sheet54!V52</f>
        <v>634.36011699999995</v>
      </c>
      <c r="W52" s="4">
        <f>V52+Sheet54!W52</f>
        <v>634.36011699999995</v>
      </c>
      <c r="X52" s="4">
        <f>W52+Sheet54!X52</f>
        <v>634.36011699999995</v>
      </c>
      <c r="Y52" s="4">
        <f>X52+Sheet54!Y52</f>
        <v>634.36011699999995</v>
      </c>
      <c r="Z52" s="4">
        <f>Y52+Sheet54!Z52</f>
        <v>634.36011699999995</v>
      </c>
      <c r="AA52" s="4">
        <f>Z52+Sheet54!AA52</f>
        <v>634.36011699999995</v>
      </c>
      <c r="AB52" s="4">
        <f>AA52+Sheet54!AB52</f>
        <v>634.36011699999995</v>
      </c>
      <c r="AC52" s="4">
        <f>AB52+Sheet54!AC52</f>
        <v>634.36011699999995</v>
      </c>
      <c r="AD52" s="4">
        <f>AC52+Sheet54!AD52</f>
        <v>634.36011699999995</v>
      </c>
      <c r="AE52" s="4">
        <f>AD52+Sheet54!AE52</f>
        <v>685.97426199999995</v>
      </c>
      <c r="AF52" s="4">
        <f>AE52+Sheet54!AF52</f>
        <v>685.97426199999995</v>
      </c>
      <c r="AG52" s="4">
        <f>AF52+Sheet54!AG52</f>
        <v>685.97426199999995</v>
      </c>
      <c r="AH52" s="4">
        <f>AG52+Sheet54!AH52</f>
        <v>685.97426199999995</v>
      </c>
      <c r="AI52" s="4">
        <f>AH52+Sheet54!AI52</f>
        <v>685.97426199999995</v>
      </c>
      <c r="AJ52" s="4">
        <f>AI52+Sheet54!AJ52</f>
        <v>685.97426199999995</v>
      </c>
      <c r="AK52" s="5"/>
    </row>
    <row r="53" spans="1:37" ht="21" customHeight="1">
      <c r="A53" s="12"/>
      <c r="B53" s="14"/>
      <c r="C53" s="15"/>
      <c r="D53" s="22" t="s">
        <v>50</v>
      </c>
      <c r="E53" s="4">
        <v>0.46064300000001901</v>
      </c>
      <c r="F53" s="4">
        <f>E53+Sheet54!F53</f>
        <v>0.46064300000001901</v>
      </c>
      <c r="G53" s="4">
        <f>F53+Sheet54!G53</f>
        <v>0.46064300000001901</v>
      </c>
      <c r="H53" s="4">
        <f>G53+Sheet54!H53</f>
        <v>0.46064300000001901</v>
      </c>
      <c r="I53" s="4">
        <f>H53+Sheet54!I53</f>
        <v>0.46064300000001901</v>
      </c>
      <c r="J53" s="4">
        <f>I53+Sheet54!J53</f>
        <v>-2.1275169999999806</v>
      </c>
      <c r="K53" s="4">
        <f>J53+Sheet54!K53</f>
        <v>-1.2086769999999807</v>
      </c>
      <c r="L53" s="4">
        <f>K53+Sheet54!L53</f>
        <v>8.1435830000000191</v>
      </c>
      <c r="M53" s="4">
        <f>L53+Sheet54!M53</f>
        <v>-17.777616999999978</v>
      </c>
      <c r="N53" s="4">
        <f>M53+Sheet54!N53</f>
        <v>5.7785630000000232</v>
      </c>
      <c r="O53" s="4">
        <f>N53+Sheet54!O53</f>
        <v>5.7785630000000232</v>
      </c>
      <c r="P53" s="4">
        <f>O53+Sheet54!P53</f>
        <v>5.7785630000000232</v>
      </c>
      <c r="Q53" s="4">
        <f>P53+Sheet54!Q53</f>
        <v>34.653083000000024</v>
      </c>
      <c r="R53" s="4">
        <f>Q53+Sheet54!R53</f>
        <v>4.5637430000000236</v>
      </c>
      <c r="S53" s="4">
        <f>R53+Sheet54!S53</f>
        <v>13.147103000000024</v>
      </c>
      <c r="T53" s="4">
        <f>S53+Sheet54!T53</f>
        <v>5.7082430000000244</v>
      </c>
      <c r="U53" s="4">
        <f>T53+Sheet54!U53</f>
        <v>5.7432830000000248</v>
      </c>
      <c r="V53" s="4">
        <f>U53+Sheet54!V53</f>
        <v>5.7432830000000248</v>
      </c>
      <c r="W53" s="4">
        <f>V53+Sheet54!W53</f>
        <v>5.7432830000000248</v>
      </c>
      <c r="X53" s="4">
        <f>W53+Sheet54!X53</f>
        <v>4.9924430000000246</v>
      </c>
      <c r="Y53" s="4">
        <f>X53+Sheet54!Y53</f>
        <v>8.2398830000000238</v>
      </c>
      <c r="Z53" s="4">
        <f>Y53+Sheet54!Z53</f>
        <v>12.406523000000025</v>
      </c>
      <c r="AA53" s="4">
        <f>Z53+Sheet54!AA53</f>
        <v>16.491083000000025</v>
      </c>
      <c r="AB53" s="4">
        <f>AA53+Sheet54!AB53</f>
        <v>19.023083000000025</v>
      </c>
      <c r="AC53" s="4">
        <f>AB53+Sheet54!AC53</f>
        <v>19.023083000000025</v>
      </c>
      <c r="AD53" s="4">
        <f>AC53+Sheet54!AD53</f>
        <v>19.023083000000025</v>
      </c>
      <c r="AE53" s="4">
        <f>AD53+Sheet54!AE53</f>
        <v>-10.557441999999977</v>
      </c>
      <c r="AF53" s="4">
        <f>AE53+Sheet54!AF53</f>
        <v>-19.204261999999979</v>
      </c>
      <c r="AG53" s="4">
        <f>AF53+Sheet54!AG53</f>
        <v>3.8330380000000197</v>
      </c>
      <c r="AH53" s="4">
        <f>AG53+Sheet54!AH53</f>
        <v>10.72661300000002</v>
      </c>
      <c r="AI53" s="4">
        <f>AH53+Sheet54!AI53</f>
        <v>-0.25871199999997962</v>
      </c>
      <c r="AJ53" s="4">
        <f>AI53+Sheet54!AJ53</f>
        <v>-0.25871199999997962</v>
      </c>
      <c r="AK53" s="5"/>
    </row>
    <row r="54" spans="1:37" ht="21" customHeight="1">
      <c r="A54" s="12"/>
      <c r="B54" s="14"/>
      <c r="C54" s="15"/>
      <c r="D54" s="21" t="s">
        <v>51</v>
      </c>
      <c r="E54" s="4">
        <v>0</v>
      </c>
      <c r="F54" s="4">
        <f>Sheet54!F54</f>
        <v>0</v>
      </c>
      <c r="G54" s="4">
        <f>Sheet54!G54</f>
        <v>0</v>
      </c>
      <c r="H54" s="4">
        <f>Sheet54!H54</f>
        <v>0</v>
      </c>
      <c r="I54" s="4">
        <f>Sheet54!I54</f>
        <v>0</v>
      </c>
      <c r="J54" s="4">
        <f>Sheet54!J54</f>
        <v>-2.5881599999999998</v>
      </c>
      <c r="K54" s="4">
        <f>Sheet54!K54</f>
        <v>0.91883999999999999</v>
      </c>
      <c r="L54" s="4">
        <f>Sheet54!L54</f>
        <v>9.3522599999999994</v>
      </c>
      <c r="M54" s="4">
        <f>Sheet54!M54</f>
        <v>-25.921199999999999</v>
      </c>
      <c r="N54" s="4">
        <f>Sheet54!N54</f>
        <v>23.556180000000001</v>
      </c>
      <c r="O54" s="4">
        <f>Sheet54!O54</f>
        <v>0</v>
      </c>
      <c r="P54" s="4">
        <f>Sheet54!P54</f>
        <v>0</v>
      </c>
      <c r="Q54" s="4">
        <f>Sheet54!Q54</f>
        <v>28.87452</v>
      </c>
      <c r="R54" s="4">
        <f>Sheet54!R54</f>
        <v>-30.08934</v>
      </c>
      <c r="S54" s="4">
        <f>Sheet54!S54</f>
        <v>8.5833600000000008</v>
      </c>
      <c r="T54" s="4">
        <f>Sheet54!T54</f>
        <v>-7.43886</v>
      </c>
      <c r="U54" s="4">
        <f>Sheet54!U54</f>
        <v>3.5040000000000002E-2</v>
      </c>
      <c r="V54" s="4">
        <f>Sheet54!V54</f>
        <v>0</v>
      </c>
      <c r="W54" s="4">
        <f>Sheet54!W54</f>
        <v>0</v>
      </c>
      <c r="X54" s="4">
        <f>Sheet54!X54</f>
        <v>-0.75083999999999995</v>
      </c>
      <c r="Y54" s="4">
        <f>Sheet54!Y54</f>
        <v>3.2474400000000001</v>
      </c>
      <c r="Z54" s="4">
        <f>Sheet54!Z54</f>
        <v>4.1666400000000001</v>
      </c>
      <c r="AA54" s="4">
        <f>Sheet54!AA54</f>
        <v>4.0845599999999997</v>
      </c>
      <c r="AB54" s="4">
        <f>Sheet54!AB54</f>
        <v>2.532</v>
      </c>
      <c r="AC54" s="4">
        <f>Sheet54!AC54</f>
        <v>0</v>
      </c>
      <c r="AD54" s="4">
        <f>Sheet54!AD54</f>
        <v>0</v>
      </c>
      <c r="AE54" s="4">
        <f>Sheet54!AE54</f>
        <v>-29.580525000000002</v>
      </c>
      <c r="AF54" s="4">
        <f>Sheet54!AF54</f>
        <v>-8.64682</v>
      </c>
      <c r="AG54" s="4">
        <f>Sheet54!AG54</f>
        <v>23.037299999999998</v>
      </c>
      <c r="AH54" s="4">
        <f>Sheet54!AH54</f>
        <v>6.8935750000000002</v>
      </c>
      <c r="AI54" s="4">
        <f>Sheet54!AI54</f>
        <v>-10.985325</v>
      </c>
      <c r="AJ54" s="4">
        <f>Sheet54!AJ54</f>
        <v>0</v>
      </c>
      <c r="AK54" s="5"/>
    </row>
    <row r="55" spans="1:37" ht="21" customHeight="1">
      <c r="A55" s="12"/>
      <c r="B55" s="14"/>
      <c r="C55" s="15" t="s">
        <v>68</v>
      </c>
      <c r="D55" s="22" t="s">
        <v>40</v>
      </c>
      <c r="E55" s="4">
        <v>461.40776299999999</v>
      </c>
      <c r="F55" s="4">
        <f>E55+Sheet54!F55</f>
        <v>461.40776299999999</v>
      </c>
      <c r="G55" s="4">
        <f>F55+Sheet54!G55</f>
        <v>461.40776299999999</v>
      </c>
      <c r="H55" s="4">
        <f>G55+Sheet54!H55</f>
        <v>461.40776299999999</v>
      </c>
      <c r="I55" s="4">
        <f>H55+Sheet54!I55</f>
        <v>461.40776299999999</v>
      </c>
      <c r="J55" s="4">
        <f>I55+Sheet54!J55</f>
        <v>461.40776299999999</v>
      </c>
      <c r="K55" s="4">
        <f>J55+Sheet54!K55</f>
        <v>461.40776299999999</v>
      </c>
      <c r="L55" s="4">
        <f>K55+Sheet54!L55</f>
        <v>461.40776299999999</v>
      </c>
      <c r="M55" s="4">
        <f>L55+Sheet54!M55</f>
        <v>461.40776299999999</v>
      </c>
      <c r="N55" s="4">
        <f>M55+Sheet54!N55</f>
        <v>461.40776299999999</v>
      </c>
      <c r="O55" s="4">
        <f>N55+Sheet54!O55</f>
        <v>461.40776299999999</v>
      </c>
      <c r="P55" s="4">
        <f>O55+Sheet54!P55</f>
        <v>461.40776299999999</v>
      </c>
      <c r="Q55" s="4">
        <f>P55+Sheet54!Q55</f>
        <v>461.40776299999999</v>
      </c>
      <c r="R55" s="4">
        <f>Q55+Sheet54!R55</f>
        <v>461.40776299999999</v>
      </c>
      <c r="S55" s="4">
        <f>R55+Sheet54!S55</f>
        <v>461.40776299999999</v>
      </c>
      <c r="T55" s="4">
        <f>S55+Sheet54!T55</f>
        <v>461.40776299999999</v>
      </c>
      <c r="U55" s="4">
        <f>T55+Sheet54!U55</f>
        <v>461.40776299999999</v>
      </c>
      <c r="V55" s="4">
        <f>U55+Sheet54!V55</f>
        <v>461.40776299999999</v>
      </c>
      <c r="W55" s="4">
        <f>V55+Sheet54!W55</f>
        <v>461.40776299999999</v>
      </c>
      <c r="X55" s="4">
        <f>W55+Sheet54!X55</f>
        <v>461.40776299999999</v>
      </c>
      <c r="Y55" s="4">
        <f>X55+Sheet54!Y55</f>
        <v>461.40776299999999</v>
      </c>
      <c r="Z55" s="4">
        <f>Y55+Sheet54!Z55</f>
        <v>461.40776299999999</v>
      </c>
      <c r="AA55" s="4">
        <f>Z55+Sheet54!AA55</f>
        <v>461.40776299999999</v>
      </c>
      <c r="AB55" s="4">
        <f>AA55+Sheet54!AB55</f>
        <v>461.40776299999999</v>
      </c>
      <c r="AC55" s="4">
        <f>AB55+Sheet54!AC55</f>
        <v>461.40776299999999</v>
      </c>
      <c r="AD55" s="4">
        <f>AC55+Sheet54!AD55</f>
        <v>461.40776299999999</v>
      </c>
      <c r="AE55" s="4">
        <f>AD55+Sheet54!AE55</f>
        <v>461.40776299999999</v>
      </c>
      <c r="AF55" s="4">
        <f>AE55+Sheet54!AF55</f>
        <v>461.40776299999999</v>
      </c>
      <c r="AG55" s="4">
        <f>AF55+Sheet54!AG55</f>
        <v>461.40776299999999</v>
      </c>
      <c r="AH55" s="4">
        <f>AG55+Sheet54!AH55</f>
        <v>461.40776299999999</v>
      </c>
      <c r="AI55" s="4">
        <f>AH55+Sheet54!AI55</f>
        <v>461.40776299999999</v>
      </c>
      <c r="AJ55" s="4">
        <f>AI55+Sheet54!AJ55</f>
        <v>461.40776299999999</v>
      </c>
      <c r="AK55" s="5"/>
    </row>
    <row r="56" spans="1:37" ht="21" customHeight="1">
      <c r="A56" s="12"/>
      <c r="B56" s="14"/>
      <c r="C56" s="15"/>
      <c r="D56" s="22" t="s">
        <v>50</v>
      </c>
      <c r="E56" s="4">
        <v>-45.373123</v>
      </c>
      <c r="F56" s="4">
        <f>E56+Sheet54!F56</f>
        <v>-45.373123</v>
      </c>
      <c r="G56" s="4">
        <f>F56+Sheet54!G56</f>
        <v>-45.373123</v>
      </c>
      <c r="H56" s="4">
        <f>G56+Sheet54!H56</f>
        <v>-45.373123</v>
      </c>
      <c r="I56" s="4">
        <f>H56+Sheet54!I56</f>
        <v>-45.373123</v>
      </c>
      <c r="J56" s="4">
        <f>I56+Sheet54!J56</f>
        <v>-32.405563000000001</v>
      </c>
      <c r="K56" s="4">
        <f>J56+Sheet54!K56</f>
        <v>-28.915523</v>
      </c>
      <c r="L56" s="4">
        <f>K56+Sheet54!L56</f>
        <v>-31.996642999999999</v>
      </c>
      <c r="M56" s="4">
        <f>L56+Sheet54!M56</f>
        <v>-35.633763000000002</v>
      </c>
      <c r="N56" s="4">
        <f>M56+Sheet54!N56</f>
        <v>-32.857043000000004</v>
      </c>
      <c r="O56" s="4">
        <f>N56+Sheet54!O56</f>
        <v>-32.857043000000004</v>
      </c>
      <c r="P56" s="4">
        <f>O56+Sheet54!P56</f>
        <v>-32.857043000000004</v>
      </c>
      <c r="Q56" s="4">
        <f>P56+Sheet54!Q56</f>
        <v>-34.027443000000005</v>
      </c>
      <c r="R56" s="4">
        <f>Q56+Sheet54!R56</f>
        <v>-24.014043000000004</v>
      </c>
      <c r="S56" s="4">
        <f>R56+Sheet54!S56</f>
        <v>-41.896043000000006</v>
      </c>
      <c r="T56" s="4">
        <f>S56+Sheet54!T56</f>
        <v>-43.995203000000004</v>
      </c>
      <c r="U56" s="4">
        <f>T56+Sheet54!U56</f>
        <v>-44.679363000000002</v>
      </c>
      <c r="V56" s="4">
        <f>U56+Sheet54!V56</f>
        <v>-44.679363000000002</v>
      </c>
      <c r="W56" s="4">
        <f>V56+Sheet54!W56</f>
        <v>-44.679363000000002</v>
      </c>
      <c r="X56" s="4">
        <f>W56+Sheet54!X56</f>
        <v>-55.894963000000004</v>
      </c>
      <c r="Y56" s="4">
        <f>X56+Sheet54!Y56</f>
        <v>-48.001763000000004</v>
      </c>
      <c r="Z56" s="4">
        <f>Y56+Sheet54!Z56</f>
        <v>-39.859283000000005</v>
      </c>
      <c r="AA56" s="4">
        <f>Z56+Sheet54!AA56</f>
        <v>-35.006483000000003</v>
      </c>
      <c r="AB56" s="4">
        <f>AA56+Sheet54!AB56</f>
        <v>-41.171683000000002</v>
      </c>
      <c r="AC56" s="4">
        <f>AB56+Sheet54!AC56</f>
        <v>-41.171683000000002</v>
      </c>
      <c r="AD56" s="4">
        <f>AC56+Sheet54!AD56</f>
        <v>-41.171683000000002</v>
      </c>
      <c r="AE56" s="4">
        <f>AD56+Sheet54!AE56</f>
        <v>-40.053363000000004</v>
      </c>
      <c r="AF56" s="4">
        <f>AE56+Sheet54!AF56</f>
        <v>-27.538963000000003</v>
      </c>
      <c r="AG56" s="4">
        <f>AF56+Sheet54!AG56</f>
        <v>-33.343763000000003</v>
      </c>
      <c r="AH56" s="4">
        <f>AG56+Sheet54!AH56</f>
        <v>-35.515163000000001</v>
      </c>
      <c r="AI56" s="4">
        <f>AH56+Sheet54!AI56</f>
        <v>-38.005763000000002</v>
      </c>
      <c r="AJ56" s="4">
        <f>AI56+Sheet54!AJ56</f>
        <v>-38.005763000000002</v>
      </c>
      <c r="AK56" s="5"/>
    </row>
    <row r="57" spans="1:37" ht="21" customHeight="1">
      <c r="A57" s="12"/>
      <c r="B57" s="14"/>
      <c r="C57" s="15"/>
      <c r="D57" s="21" t="s">
        <v>51</v>
      </c>
      <c r="E57" s="4">
        <v>0</v>
      </c>
      <c r="F57" s="4">
        <f>Sheet54!F57</f>
        <v>0</v>
      </c>
      <c r="G57" s="4">
        <f>Sheet54!G57</f>
        <v>0</v>
      </c>
      <c r="H57" s="4">
        <f>Sheet54!H57</f>
        <v>0</v>
      </c>
      <c r="I57" s="4">
        <f>Sheet54!I57</f>
        <v>0</v>
      </c>
      <c r="J57" s="4">
        <f>Sheet54!J57</f>
        <v>12.967560000000001</v>
      </c>
      <c r="K57" s="4">
        <f>Sheet54!K57</f>
        <v>3.49004</v>
      </c>
      <c r="L57" s="4">
        <f>Sheet54!L57</f>
        <v>-3.0811199999999999</v>
      </c>
      <c r="M57" s="4">
        <f>Sheet54!M57</f>
        <v>-3.6371199999999999</v>
      </c>
      <c r="N57" s="4">
        <f>Sheet54!N57</f>
        <v>2.7767200000000001</v>
      </c>
      <c r="O57" s="4">
        <f>Sheet54!O57</f>
        <v>0</v>
      </c>
      <c r="P57" s="4">
        <f>Sheet54!P57</f>
        <v>0</v>
      </c>
      <c r="Q57" s="4">
        <f>Sheet54!Q57</f>
        <v>-1.1704000000000001</v>
      </c>
      <c r="R57" s="4">
        <f>Sheet54!R57</f>
        <v>10.013400000000001</v>
      </c>
      <c r="S57" s="4">
        <f>Sheet54!S57</f>
        <v>-17.882000000000001</v>
      </c>
      <c r="T57" s="4">
        <f>Sheet54!T57</f>
        <v>-2.0991599999999999</v>
      </c>
      <c r="U57" s="4">
        <f>Sheet54!U57</f>
        <v>-0.68415999999999999</v>
      </c>
      <c r="V57" s="4">
        <f>Sheet54!V57</f>
        <v>0</v>
      </c>
      <c r="W57" s="4">
        <f>Sheet54!W57</f>
        <v>0</v>
      </c>
      <c r="X57" s="4">
        <f>Sheet54!X57</f>
        <v>-11.2156</v>
      </c>
      <c r="Y57" s="4">
        <f>Sheet54!Y57</f>
        <v>7.8932000000000002</v>
      </c>
      <c r="Z57" s="4">
        <f>Sheet54!Z57</f>
        <v>8.1424800000000008</v>
      </c>
      <c r="AA57" s="4">
        <f>Sheet54!AA57</f>
        <v>4.8528000000000002</v>
      </c>
      <c r="AB57" s="4">
        <f>Sheet54!AB57</f>
        <v>-6.1651999999999996</v>
      </c>
      <c r="AC57" s="4">
        <f>Sheet54!AC57</f>
        <v>0</v>
      </c>
      <c r="AD57" s="4">
        <f>Sheet54!AD57</f>
        <v>0</v>
      </c>
      <c r="AE57" s="4">
        <f>Sheet54!AE57</f>
        <v>1.11832</v>
      </c>
      <c r="AF57" s="4">
        <f>Sheet54!AF57</f>
        <v>12.5144</v>
      </c>
      <c r="AG57" s="4">
        <f>Sheet54!AG57</f>
        <v>-5.8048000000000002</v>
      </c>
      <c r="AH57" s="4">
        <f>Sheet54!AH57</f>
        <v>-2.1714000000000002</v>
      </c>
      <c r="AI57" s="4">
        <f>Sheet54!AI57</f>
        <v>-2.4906000000000001</v>
      </c>
      <c r="AJ57" s="4">
        <f>Sheet54!AJ57</f>
        <v>0</v>
      </c>
      <c r="AK57" s="5"/>
    </row>
    <row r="58" spans="1:37" ht="21" customHeight="1">
      <c r="A58" s="12"/>
      <c r="B58" s="14"/>
      <c r="C58" s="15" t="s">
        <v>69</v>
      </c>
      <c r="D58" s="22" t="s">
        <v>40</v>
      </c>
      <c r="E58" s="4">
        <v>304.30949299999997</v>
      </c>
      <c r="F58" s="4">
        <f>E58+Sheet54!F58</f>
        <v>304.30949299999997</v>
      </c>
      <c r="G58" s="4">
        <f>F58+Sheet54!G58</f>
        <v>304.30949299999997</v>
      </c>
      <c r="H58" s="4">
        <f>G58+Sheet54!H58</f>
        <v>304.30949299999997</v>
      </c>
      <c r="I58" s="4">
        <f>H58+Sheet54!I58</f>
        <v>304.30949299999997</v>
      </c>
      <c r="J58" s="4">
        <f>I58+Sheet54!J58</f>
        <v>304.30949299999997</v>
      </c>
      <c r="K58" s="4">
        <f>J58+Sheet54!K58</f>
        <v>304.30949299999997</v>
      </c>
      <c r="L58" s="4">
        <f>K58+Sheet54!L58</f>
        <v>304.30949299999997</v>
      </c>
      <c r="M58" s="4">
        <f>L58+Sheet54!M58</f>
        <v>304.30949299999997</v>
      </c>
      <c r="N58" s="4">
        <f>M58+Sheet54!N58</f>
        <v>304.30949299999997</v>
      </c>
      <c r="O58" s="4">
        <f>N58+Sheet54!O58</f>
        <v>304.30949299999997</v>
      </c>
      <c r="P58" s="4">
        <f>O58+Sheet54!P58</f>
        <v>304.30949299999997</v>
      </c>
      <c r="Q58" s="4">
        <f>P58+Sheet54!Q58</f>
        <v>304.30949299999997</v>
      </c>
      <c r="R58" s="4">
        <f>Q58+Sheet54!R58</f>
        <v>304.30949299999997</v>
      </c>
      <c r="S58" s="4">
        <f>R58+Sheet54!S58</f>
        <v>304.30949299999997</v>
      </c>
      <c r="T58" s="4">
        <f>S58+Sheet54!T58</f>
        <v>304.30949299999997</v>
      </c>
      <c r="U58" s="4">
        <f>T58+Sheet54!U58</f>
        <v>304.30949299999997</v>
      </c>
      <c r="V58" s="4">
        <f>U58+Sheet54!V58</f>
        <v>304.30949299999997</v>
      </c>
      <c r="W58" s="4">
        <f>V58+Sheet54!W58</f>
        <v>304.30949299999997</v>
      </c>
      <c r="X58" s="4">
        <f>W58+Sheet54!X58</f>
        <v>304.30949299999997</v>
      </c>
      <c r="Y58" s="4">
        <f>X58+Sheet54!Y58</f>
        <v>304.30949299999997</v>
      </c>
      <c r="Z58" s="4">
        <f>Y58+Sheet54!Z58</f>
        <v>304.30949299999997</v>
      </c>
      <c r="AA58" s="4">
        <f>Z58+Sheet54!AA58</f>
        <v>304.30949299999997</v>
      </c>
      <c r="AB58" s="4">
        <f>AA58+Sheet54!AB58</f>
        <v>304.30949299999997</v>
      </c>
      <c r="AC58" s="4">
        <f>AB58+Sheet54!AC58</f>
        <v>304.30949299999997</v>
      </c>
      <c r="AD58" s="4">
        <f>AC58+Sheet54!AD58</f>
        <v>304.30949299999997</v>
      </c>
      <c r="AE58" s="4">
        <f>AD58+Sheet54!AE58</f>
        <v>304.30949299999997</v>
      </c>
      <c r="AF58" s="4">
        <f>AE58+Sheet54!AF58</f>
        <v>304.30949299999997</v>
      </c>
      <c r="AG58" s="4">
        <f>AF58+Sheet54!AG58</f>
        <v>304.30949299999997</v>
      </c>
      <c r="AH58" s="4">
        <f>AG58+Sheet54!AH58</f>
        <v>304.30949299999997</v>
      </c>
      <c r="AI58" s="4">
        <f>AH58+Sheet54!AI58</f>
        <v>304.30949299999997</v>
      </c>
      <c r="AJ58" s="4">
        <f>AI58+Sheet54!AJ58</f>
        <v>304.30949299999997</v>
      </c>
      <c r="AK58" s="5"/>
    </row>
    <row r="59" spans="1:37" ht="21" customHeight="1">
      <c r="A59" s="12"/>
      <c r="B59" s="14"/>
      <c r="C59" s="15"/>
      <c r="D59" s="22" t="s">
        <v>50</v>
      </c>
      <c r="E59" s="4">
        <v>-13.7594930000001</v>
      </c>
      <c r="F59" s="4">
        <f>E59+Sheet54!F59</f>
        <v>-13.7594930000001</v>
      </c>
      <c r="G59" s="4">
        <f>F59+Sheet54!G59</f>
        <v>-13.7594930000001</v>
      </c>
      <c r="H59" s="4">
        <f>G59+Sheet54!H59</f>
        <v>-13.7594930000001</v>
      </c>
      <c r="I59" s="4">
        <f>H59+Sheet54!I59</f>
        <v>-13.7594930000001</v>
      </c>
      <c r="J59" s="4">
        <f>I59+Sheet54!J59</f>
        <v>-9.3094930000000993</v>
      </c>
      <c r="K59" s="4">
        <f>J59+Sheet54!K59</f>
        <v>-7.7594930000000994</v>
      </c>
      <c r="L59" s="4">
        <f>K59+Sheet54!L59</f>
        <v>-11.509493000000099</v>
      </c>
      <c r="M59" s="4">
        <f>L59+Sheet54!M59</f>
        <v>-12.834493000000098</v>
      </c>
      <c r="N59" s="4">
        <f>M59+Sheet54!N59</f>
        <v>-12.159493000000097</v>
      </c>
      <c r="O59" s="4">
        <f>N59+Sheet54!O59</f>
        <v>-12.159493000000097</v>
      </c>
      <c r="P59" s="4">
        <f>O59+Sheet54!P59</f>
        <v>-12.159493000000097</v>
      </c>
      <c r="Q59" s="4">
        <f>P59+Sheet54!Q59</f>
        <v>-6.084493000000097</v>
      </c>
      <c r="R59" s="4">
        <f>Q59+Sheet54!R59</f>
        <v>-9.3094930000000975</v>
      </c>
      <c r="S59" s="4">
        <f>R59+Sheet54!S59</f>
        <v>-12.159493000000097</v>
      </c>
      <c r="T59" s="4">
        <f>S59+Sheet54!T59</f>
        <v>-15.909493000000097</v>
      </c>
      <c r="U59" s="4">
        <f>T59+Sheet54!U59</f>
        <v>-18.609493000000096</v>
      </c>
      <c r="V59" s="4">
        <f>U59+Sheet54!V59</f>
        <v>-18.609493000000096</v>
      </c>
      <c r="W59" s="4">
        <f>V59+Sheet54!W59</f>
        <v>-18.609493000000096</v>
      </c>
      <c r="X59" s="4">
        <f>W59+Sheet54!X59</f>
        <v>-20.334493000000098</v>
      </c>
      <c r="Y59" s="4">
        <f>X59+Sheet54!Y59</f>
        <v>-13.659493000000097</v>
      </c>
      <c r="Z59" s="4">
        <f>Y59+Sheet54!Z59</f>
        <v>-21.359493000000096</v>
      </c>
      <c r="AA59" s="4">
        <f>Z59+Sheet54!AA59</f>
        <v>-23.434493000000096</v>
      </c>
      <c r="AB59" s="4">
        <f>AA59+Sheet54!AB59</f>
        <v>-24.209493000000094</v>
      </c>
      <c r="AC59" s="4">
        <f>AB59+Sheet54!AC59</f>
        <v>-24.209493000000094</v>
      </c>
      <c r="AD59" s="4">
        <f>AC59+Sheet54!AD59</f>
        <v>-24.209493000000094</v>
      </c>
      <c r="AE59" s="4">
        <f>AD59+Sheet54!AE59</f>
        <v>-23.234493000000093</v>
      </c>
      <c r="AF59" s="4">
        <f>AE59+Sheet54!AF59</f>
        <v>-23.409493000000094</v>
      </c>
      <c r="AG59" s="4">
        <f>AF59+Sheet54!AG59</f>
        <v>-21.959493000000094</v>
      </c>
      <c r="AH59" s="4">
        <f>AG59+Sheet54!AH59</f>
        <v>6.2655069999999071</v>
      </c>
      <c r="AI59" s="4">
        <f>AH59+Sheet54!AI59</f>
        <v>-2.0594930000000922</v>
      </c>
      <c r="AJ59" s="4">
        <f>AI59+Sheet54!AJ59</f>
        <v>-2.0594930000000922</v>
      </c>
      <c r="AK59" s="5"/>
    </row>
    <row r="60" spans="1:37" ht="21" customHeight="1">
      <c r="A60" s="12"/>
      <c r="B60" s="14"/>
      <c r="C60" s="15"/>
      <c r="D60" s="21" t="s">
        <v>70</v>
      </c>
      <c r="E60" s="4">
        <v>0</v>
      </c>
      <c r="F60" s="4">
        <f>Sheet54!F60</f>
        <v>0</v>
      </c>
      <c r="G60" s="4">
        <f>Sheet54!G60</f>
        <v>0</v>
      </c>
      <c r="H60" s="4">
        <f>Sheet54!H60</f>
        <v>0</v>
      </c>
      <c r="I60" s="4">
        <f>Sheet54!I60</f>
        <v>0</v>
      </c>
      <c r="J60" s="4">
        <f>Sheet54!J60</f>
        <v>0</v>
      </c>
      <c r="K60" s="4">
        <f>Sheet54!K60</f>
        <v>0</v>
      </c>
      <c r="L60" s="4">
        <f>Sheet54!L60</f>
        <v>0</v>
      </c>
      <c r="M60" s="4">
        <f>Sheet54!M60</f>
        <v>0</v>
      </c>
      <c r="N60" s="4">
        <f>Sheet54!N60</f>
        <v>0</v>
      </c>
      <c r="O60" s="4">
        <f>Sheet54!O60</f>
        <v>0</v>
      </c>
      <c r="P60" s="4">
        <f>Sheet54!P60</f>
        <v>0</v>
      </c>
      <c r="Q60" s="4">
        <f>Sheet54!Q60</f>
        <v>0</v>
      </c>
      <c r="R60" s="4">
        <f>Sheet54!R60</f>
        <v>0</v>
      </c>
      <c r="S60" s="4">
        <f>Sheet54!S60</f>
        <v>0</v>
      </c>
      <c r="T60" s="4">
        <f>Sheet54!T60</f>
        <v>0</v>
      </c>
      <c r="U60" s="4">
        <f>Sheet54!U60</f>
        <v>0</v>
      </c>
      <c r="V60" s="4">
        <f>Sheet54!V60</f>
        <v>0</v>
      </c>
      <c r="W60" s="4">
        <f>Sheet54!W60</f>
        <v>0</v>
      </c>
      <c r="X60" s="4">
        <f>Sheet54!X60</f>
        <v>0</v>
      </c>
      <c r="Y60" s="4">
        <f>Sheet54!Y60</f>
        <v>0</v>
      </c>
      <c r="Z60" s="4">
        <f>Sheet54!Z60</f>
        <v>0</v>
      </c>
      <c r="AA60" s="4">
        <f>Sheet54!AA60</f>
        <v>0</v>
      </c>
      <c r="AB60" s="4">
        <f>Sheet54!AB60</f>
        <v>0</v>
      </c>
      <c r="AC60" s="4">
        <f>Sheet54!AC60</f>
        <v>0</v>
      </c>
      <c r="AD60" s="4">
        <f>Sheet54!AD60</f>
        <v>0</v>
      </c>
      <c r="AE60" s="4">
        <f>Sheet54!AE60</f>
        <v>0</v>
      </c>
      <c r="AF60" s="4">
        <f>Sheet54!AF60</f>
        <v>0</v>
      </c>
      <c r="AG60" s="4">
        <f>Sheet54!AG60</f>
        <v>0</v>
      </c>
      <c r="AH60" s="4">
        <f>Sheet54!AH60</f>
        <v>0</v>
      </c>
      <c r="AI60" s="4">
        <f>Sheet54!AI60</f>
        <v>3.395</v>
      </c>
      <c r="AJ60" s="4">
        <f>Sheet54!AJ60</f>
        <v>0</v>
      </c>
      <c r="AK60" s="5"/>
    </row>
    <row r="61" spans="1:37" ht="21" customHeight="1">
      <c r="A61" s="12"/>
      <c r="B61" s="14"/>
      <c r="C61" s="15"/>
      <c r="D61" s="21" t="s">
        <v>51</v>
      </c>
      <c r="E61" s="4">
        <v>0</v>
      </c>
      <c r="F61" s="4">
        <f>Sheet54!F61</f>
        <v>0</v>
      </c>
      <c r="G61" s="4">
        <f>Sheet54!G61</f>
        <v>0</v>
      </c>
      <c r="H61" s="4">
        <f>Sheet54!H61</f>
        <v>0</v>
      </c>
      <c r="I61" s="4">
        <f>Sheet54!I61</f>
        <v>0</v>
      </c>
      <c r="J61" s="4">
        <f>Sheet54!J61</f>
        <v>4.45</v>
      </c>
      <c r="K61" s="4">
        <f>Sheet54!K61</f>
        <v>1.55</v>
      </c>
      <c r="L61" s="4">
        <f>Sheet54!L61</f>
        <v>-3.75</v>
      </c>
      <c r="M61" s="4">
        <f>Sheet54!M61</f>
        <v>-1.325</v>
      </c>
      <c r="N61" s="4">
        <f>Sheet54!N61</f>
        <v>0.67500000000000004</v>
      </c>
      <c r="O61" s="4">
        <f>Sheet54!O61</f>
        <v>0</v>
      </c>
      <c r="P61" s="4">
        <f>Sheet54!P61</f>
        <v>0</v>
      </c>
      <c r="Q61" s="4">
        <f>Sheet54!Q61</f>
        <v>6.0750000000000002</v>
      </c>
      <c r="R61" s="4">
        <f>Sheet54!R61</f>
        <v>-3.2250000000000001</v>
      </c>
      <c r="S61" s="4">
        <f>Sheet54!S61</f>
        <v>-2.85</v>
      </c>
      <c r="T61" s="4">
        <f>Sheet54!T61</f>
        <v>-3.75</v>
      </c>
      <c r="U61" s="4">
        <f>Sheet54!U61</f>
        <v>-2.7</v>
      </c>
      <c r="V61" s="4">
        <f>Sheet54!V61</f>
        <v>0</v>
      </c>
      <c r="W61" s="4">
        <f>Sheet54!W61</f>
        <v>0</v>
      </c>
      <c r="X61" s="4">
        <f>Sheet54!X61</f>
        <v>-1.7250000000000001</v>
      </c>
      <c r="Y61" s="4">
        <f>Sheet54!Y61</f>
        <v>6.6749999999999998</v>
      </c>
      <c r="Z61" s="4">
        <f>Sheet54!Z61</f>
        <v>-7.7</v>
      </c>
      <c r="AA61" s="4">
        <f>Sheet54!AA61</f>
        <v>-2.0750000000000002</v>
      </c>
      <c r="AB61" s="4">
        <f>Sheet54!AB61</f>
        <v>-0.77500000000000002</v>
      </c>
      <c r="AC61" s="4">
        <f>Sheet54!AC61</f>
        <v>0</v>
      </c>
      <c r="AD61" s="4">
        <f>Sheet54!AD61</f>
        <v>0</v>
      </c>
      <c r="AE61" s="4">
        <f>Sheet54!AE61</f>
        <v>0.97499999999999998</v>
      </c>
      <c r="AF61" s="4">
        <f>Sheet54!AF61</f>
        <v>-0.17499999999999999</v>
      </c>
      <c r="AG61" s="4">
        <f>Sheet54!AG61</f>
        <v>1.45</v>
      </c>
      <c r="AH61" s="4">
        <f>Sheet54!AH61</f>
        <v>28.225000000000001</v>
      </c>
      <c r="AI61" s="4">
        <f>Sheet54!AI61</f>
        <v>-8.3249999999999993</v>
      </c>
      <c r="AJ61" s="4">
        <f>Sheet54!AJ61</f>
        <v>0</v>
      </c>
      <c r="AK61" s="5"/>
    </row>
    <row r="62" spans="1:37" ht="21" customHeight="1">
      <c r="A62" s="12"/>
      <c r="B62" s="14"/>
      <c r="C62" s="15" t="s">
        <v>71</v>
      </c>
      <c r="D62" s="22" t="s">
        <v>40</v>
      </c>
      <c r="E62" s="4">
        <v>693.38548900000001</v>
      </c>
      <c r="F62" s="4">
        <f>E62+Sheet54!F62</f>
        <v>693.38548900000001</v>
      </c>
      <c r="G62" s="4">
        <f>F62+Sheet54!G62</f>
        <v>693.38548900000001</v>
      </c>
      <c r="H62" s="4">
        <f>G62+Sheet54!H62</f>
        <v>693.38548900000001</v>
      </c>
      <c r="I62" s="4">
        <f>H62+Sheet54!I62</f>
        <v>693.38548900000001</v>
      </c>
      <c r="J62" s="4">
        <f>I62+Sheet54!J62</f>
        <v>693.38548900000001</v>
      </c>
      <c r="K62" s="4">
        <f>J62+Sheet54!K62</f>
        <v>693.38548900000001</v>
      </c>
      <c r="L62" s="4">
        <f>K62+Sheet54!L62</f>
        <v>693.38548900000001</v>
      </c>
      <c r="M62" s="4">
        <f>L62+Sheet54!M62</f>
        <v>693.38548900000001</v>
      </c>
      <c r="N62" s="4">
        <f>M62+Sheet54!N62</f>
        <v>693.38548900000001</v>
      </c>
      <c r="O62" s="4">
        <f>N62+Sheet54!O62</f>
        <v>693.38548900000001</v>
      </c>
      <c r="P62" s="4">
        <f>O62+Sheet54!P62</f>
        <v>693.38548900000001</v>
      </c>
      <c r="Q62" s="4">
        <f>P62+Sheet54!Q62</f>
        <v>693.38548900000001</v>
      </c>
      <c r="R62" s="4">
        <f>Q62+Sheet54!R62</f>
        <v>693.38548900000001</v>
      </c>
      <c r="S62" s="4">
        <f>R62+Sheet54!S62</f>
        <v>693.38548900000001</v>
      </c>
      <c r="T62" s="4">
        <f>S62+Sheet54!T62</f>
        <v>693.38548900000001</v>
      </c>
      <c r="U62" s="4">
        <f>T62+Sheet54!U62</f>
        <v>693.38548900000001</v>
      </c>
      <c r="V62" s="4">
        <f>U62+Sheet54!V62</f>
        <v>693.38548900000001</v>
      </c>
      <c r="W62" s="4">
        <f>V62+Sheet54!W62</f>
        <v>693.38548900000001</v>
      </c>
      <c r="X62" s="4">
        <f>W62+Sheet54!X62</f>
        <v>693.38548900000001</v>
      </c>
      <c r="Y62" s="4">
        <f>X62+Sheet54!Y62</f>
        <v>693.38548900000001</v>
      </c>
      <c r="Z62" s="4">
        <f>Y62+Sheet54!Z62</f>
        <v>693.38548900000001</v>
      </c>
      <c r="AA62" s="4">
        <f>Z62+Sheet54!AA62</f>
        <v>693.38548900000001</v>
      </c>
      <c r="AB62" s="4">
        <f>AA62+Sheet54!AB62</f>
        <v>693.38548900000001</v>
      </c>
      <c r="AC62" s="4">
        <f>AB62+Sheet54!AC62</f>
        <v>693.38548900000001</v>
      </c>
      <c r="AD62" s="4">
        <f>AC62+Sheet54!AD62</f>
        <v>693.38548900000001</v>
      </c>
      <c r="AE62" s="4">
        <f>AD62+Sheet54!AE62</f>
        <v>693.38548900000001</v>
      </c>
      <c r="AF62" s="4">
        <f>AE62+Sheet54!AF62</f>
        <v>693.38548900000001</v>
      </c>
      <c r="AG62" s="4">
        <f>AF62+Sheet54!AG62</f>
        <v>693.38548900000001</v>
      </c>
      <c r="AH62" s="4">
        <f>AG62+Sheet54!AH62</f>
        <v>693.38548900000001</v>
      </c>
      <c r="AI62" s="4">
        <f>AH62+Sheet54!AI62</f>
        <v>693.38548900000001</v>
      </c>
      <c r="AJ62" s="4">
        <f>AI62+Sheet54!AJ62</f>
        <v>693.38548900000001</v>
      </c>
      <c r="AK62" s="5"/>
    </row>
    <row r="63" spans="1:37" ht="21" customHeight="1">
      <c r="A63" s="12"/>
      <c r="B63" s="14"/>
      <c r="C63" s="15"/>
      <c r="D63" s="22" t="s">
        <v>50</v>
      </c>
      <c r="E63" s="4">
        <v>68.955810999999997</v>
      </c>
      <c r="F63" s="4">
        <f>E63+Sheet54!F63</f>
        <v>68.955810999999997</v>
      </c>
      <c r="G63" s="4">
        <f>F63+Sheet54!G63</f>
        <v>68.955810999999997</v>
      </c>
      <c r="H63" s="4">
        <f>G63+Sheet54!H63</f>
        <v>68.955810999999997</v>
      </c>
      <c r="I63" s="4">
        <f>H63+Sheet54!I63</f>
        <v>68.955810999999997</v>
      </c>
      <c r="J63" s="4">
        <f>I63+Sheet54!J63</f>
        <v>88.407511</v>
      </c>
      <c r="K63" s="4">
        <f>J63+Sheet54!K63</f>
        <v>87.752110999999999</v>
      </c>
      <c r="L63" s="4">
        <f>K63+Sheet54!L63</f>
        <v>96.078610999999995</v>
      </c>
      <c r="M63" s="4">
        <f>L63+Sheet54!M63</f>
        <v>90.580760999999995</v>
      </c>
      <c r="N63" s="4">
        <f>M63+Sheet54!N63</f>
        <v>103.87651099999999</v>
      </c>
      <c r="O63" s="4">
        <f>N63+Sheet54!O63</f>
        <v>103.87651099999999</v>
      </c>
      <c r="P63" s="4">
        <f>O63+Sheet54!P63</f>
        <v>103.87651099999999</v>
      </c>
      <c r="Q63" s="4">
        <f>P63+Sheet54!Q63</f>
        <v>81.308510999999996</v>
      </c>
      <c r="R63" s="4">
        <f>Q63+Sheet54!R63</f>
        <v>60.340810999999995</v>
      </c>
      <c r="S63" s="4">
        <f>R63+Sheet54!S63</f>
        <v>63.023110999999993</v>
      </c>
      <c r="T63" s="4">
        <f>S63+Sheet54!T63</f>
        <v>68.920010999999988</v>
      </c>
      <c r="U63" s="4">
        <f>T63+Sheet54!U63</f>
        <v>74.131010999999987</v>
      </c>
      <c r="V63" s="4">
        <f>U63+Sheet54!V63</f>
        <v>74.131010999999987</v>
      </c>
      <c r="W63" s="4">
        <f>V63+Sheet54!W63</f>
        <v>74.131010999999987</v>
      </c>
      <c r="X63" s="4">
        <f>W63+Sheet54!X63</f>
        <v>73.426710999999983</v>
      </c>
      <c r="Y63" s="4">
        <f>X63+Sheet54!Y63</f>
        <v>83.982010999999986</v>
      </c>
      <c r="Z63" s="4">
        <f>Y63+Sheet54!Z63</f>
        <v>85.872910999999988</v>
      </c>
      <c r="AA63" s="4">
        <f>Z63+Sheet54!AA63</f>
        <v>71.74411099999999</v>
      </c>
      <c r="AB63" s="4">
        <f>AA63+Sheet54!AB63</f>
        <v>68.002310999999992</v>
      </c>
      <c r="AC63" s="4">
        <f>AB63+Sheet54!AC63</f>
        <v>68.002310999999992</v>
      </c>
      <c r="AD63" s="4">
        <f>AC63+Sheet54!AD63</f>
        <v>68.002310999999992</v>
      </c>
      <c r="AE63" s="4">
        <f>AD63+Sheet54!AE63</f>
        <v>68.087610999999995</v>
      </c>
      <c r="AF63" s="4">
        <f>AE63+Sheet54!AF63</f>
        <v>59.016510999999994</v>
      </c>
      <c r="AG63" s="4">
        <f>AF63+Sheet54!AG63</f>
        <v>58.401910999999991</v>
      </c>
      <c r="AH63" s="4">
        <f>AG63+Sheet54!AH63</f>
        <v>73.808260999999987</v>
      </c>
      <c r="AI63" s="4">
        <f>AH63+Sheet54!AI63</f>
        <v>68.471260999999984</v>
      </c>
      <c r="AJ63" s="4">
        <f>AI63+Sheet54!AJ63</f>
        <v>68.471260999999984</v>
      </c>
      <c r="AK63" s="5"/>
    </row>
    <row r="64" spans="1:37" ht="21" customHeight="1">
      <c r="A64" s="12"/>
      <c r="B64" s="14"/>
      <c r="C64" s="15"/>
      <c r="D64" s="21" t="s">
        <v>51</v>
      </c>
      <c r="E64" s="4">
        <v>0</v>
      </c>
      <c r="F64" s="4">
        <f>Sheet54!F64</f>
        <v>0</v>
      </c>
      <c r="G64" s="4">
        <f>Sheet54!G64</f>
        <v>0</v>
      </c>
      <c r="H64" s="4">
        <f>Sheet54!H64</f>
        <v>0</v>
      </c>
      <c r="I64" s="4">
        <f>Sheet54!I64</f>
        <v>0</v>
      </c>
      <c r="J64" s="4">
        <f>Sheet54!J64</f>
        <v>19.451699999999999</v>
      </c>
      <c r="K64" s="4">
        <f>Sheet54!K64</f>
        <v>-0.65539999999999998</v>
      </c>
      <c r="L64" s="4">
        <f>Sheet54!L64</f>
        <v>8.3264999999999993</v>
      </c>
      <c r="M64" s="4">
        <f>Sheet54!M64</f>
        <v>-5.4978499999999997</v>
      </c>
      <c r="N64" s="4">
        <f>Sheet54!N64</f>
        <v>13.29575</v>
      </c>
      <c r="O64" s="4">
        <f>Sheet54!O64</f>
        <v>0</v>
      </c>
      <c r="P64" s="4">
        <f>Sheet54!P64</f>
        <v>0</v>
      </c>
      <c r="Q64" s="4">
        <f>Sheet54!Q64</f>
        <v>-22.568000000000001</v>
      </c>
      <c r="R64" s="4">
        <f>Sheet54!R64</f>
        <v>-20.967700000000001</v>
      </c>
      <c r="S64" s="4">
        <f>Sheet54!S64</f>
        <v>2.6823000000000001</v>
      </c>
      <c r="T64" s="4">
        <f>Sheet54!T64</f>
        <v>5.8968999999999996</v>
      </c>
      <c r="U64" s="4">
        <f>Sheet54!U64</f>
        <v>5.2110000000000003</v>
      </c>
      <c r="V64" s="4">
        <f>Sheet54!V64</f>
        <v>0</v>
      </c>
      <c r="W64" s="4">
        <f>Sheet54!W64</f>
        <v>0</v>
      </c>
      <c r="X64" s="4">
        <f>Sheet54!X64</f>
        <v>-0.70430000000000004</v>
      </c>
      <c r="Y64" s="4">
        <f>Sheet54!Y64</f>
        <v>10.555300000000001</v>
      </c>
      <c r="Z64" s="4">
        <f>Sheet54!Z64</f>
        <v>1.8909</v>
      </c>
      <c r="AA64" s="4">
        <f>Sheet54!AA64</f>
        <v>-14.1288</v>
      </c>
      <c r="AB64" s="4">
        <f>Sheet54!AB64</f>
        <v>-3.7418</v>
      </c>
      <c r="AC64" s="4">
        <f>Sheet54!AC64</f>
        <v>0</v>
      </c>
      <c r="AD64" s="4">
        <f>Sheet54!AD64</f>
        <v>0</v>
      </c>
      <c r="AE64" s="4">
        <f>Sheet54!AE64</f>
        <v>8.5300000000000001E-2</v>
      </c>
      <c r="AF64" s="4">
        <f>Sheet54!AF64</f>
        <v>-9.0710999999999995</v>
      </c>
      <c r="AG64" s="4">
        <f>Sheet54!AG64</f>
        <v>-0.61460000000000004</v>
      </c>
      <c r="AH64" s="4">
        <f>Sheet54!AH64</f>
        <v>15.40635</v>
      </c>
      <c r="AI64" s="4">
        <f>Sheet54!AI64</f>
        <v>-5.3369999999999997</v>
      </c>
      <c r="AJ64" s="4">
        <f>Sheet54!AJ64</f>
        <v>0</v>
      </c>
      <c r="AK64" s="5"/>
    </row>
    <row r="65" spans="1:37" ht="21" customHeight="1">
      <c r="A65" s="12"/>
      <c r="B65" s="14"/>
      <c r="C65" s="15" t="s">
        <v>72</v>
      </c>
      <c r="D65" s="22" t="s">
        <v>40</v>
      </c>
      <c r="E65" s="4">
        <v>16.702550000000102</v>
      </c>
      <c r="F65" s="4">
        <f>E65+Sheet54!F65</f>
        <v>16.702550000000102</v>
      </c>
      <c r="G65" s="4">
        <f>F65+Sheet54!G65</f>
        <v>16.702550000000102</v>
      </c>
      <c r="H65" s="4">
        <f>G65+Sheet54!H65</f>
        <v>16.702550000000102</v>
      </c>
      <c r="I65" s="4">
        <f>H65+Sheet54!I65</f>
        <v>16.702550000000102</v>
      </c>
      <c r="J65" s="4">
        <f>I65+Sheet54!J65</f>
        <v>16.702550000000102</v>
      </c>
      <c r="K65" s="4">
        <f>J65+Sheet54!K65</f>
        <v>16.702550000000102</v>
      </c>
      <c r="L65" s="4">
        <f>K65+Sheet54!L65</f>
        <v>16.702550000000102</v>
      </c>
      <c r="M65" s="4">
        <f>L65+Sheet54!M65</f>
        <v>16.702550000000102</v>
      </c>
      <c r="N65" s="4">
        <f>M65+Sheet54!N65</f>
        <v>16.702550000000102</v>
      </c>
      <c r="O65" s="4">
        <f>N65+Sheet54!O65</f>
        <v>16.702550000000102</v>
      </c>
      <c r="P65" s="4">
        <f>O65+Sheet54!P65</f>
        <v>16.702550000000102</v>
      </c>
      <c r="Q65" s="4">
        <f>P65+Sheet54!Q65</f>
        <v>16.702550000000102</v>
      </c>
      <c r="R65" s="4">
        <f>Q65+Sheet54!R65</f>
        <v>16.702550000000102</v>
      </c>
      <c r="S65" s="4">
        <f>R65+Sheet54!S65</f>
        <v>16.702550000000102</v>
      </c>
      <c r="T65" s="4">
        <f>S65+Sheet54!T65</f>
        <v>16.702550000000102</v>
      </c>
      <c r="U65" s="4">
        <f>T65+Sheet54!U65</f>
        <v>16.702550000000102</v>
      </c>
      <c r="V65" s="4">
        <f>U65+Sheet54!V65</f>
        <v>16.702550000000102</v>
      </c>
      <c r="W65" s="4">
        <f>V65+Sheet54!W65</f>
        <v>16.702550000000102</v>
      </c>
      <c r="X65" s="4">
        <f>W65+Sheet54!X65</f>
        <v>16.702550000000102</v>
      </c>
      <c r="Y65" s="4">
        <f>X65+Sheet54!Y65</f>
        <v>16.702550000000102</v>
      </c>
      <c r="Z65" s="4">
        <f>Y65+Sheet54!Z65</f>
        <v>16.702550000000102</v>
      </c>
      <c r="AA65" s="4">
        <f>Z65+Sheet54!AA65</f>
        <v>16.702550000000102</v>
      </c>
      <c r="AB65" s="4">
        <f>AA65+Sheet54!AB65</f>
        <v>16.702550000000102</v>
      </c>
      <c r="AC65" s="4">
        <f>AB65+Sheet54!AC65</f>
        <v>16.702550000000102</v>
      </c>
      <c r="AD65" s="4">
        <f>AC65+Sheet54!AD65</f>
        <v>16.702550000000102</v>
      </c>
      <c r="AE65" s="4">
        <f>AD65+Sheet54!AE65</f>
        <v>16.702550000000102</v>
      </c>
      <c r="AF65" s="4">
        <f>AE65+Sheet54!AF65</f>
        <v>16.702550000000102</v>
      </c>
      <c r="AG65" s="4">
        <f>AF65+Sheet54!AG65</f>
        <v>16.702550000000102</v>
      </c>
      <c r="AH65" s="4">
        <f>AG65+Sheet54!AH65</f>
        <v>16.702550000000102</v>
      </c>
      <c r="AI65" s="4">
        <f>AH65+Sheet54!AI65</f>
        <v>16.702550000000102</v>
      </c>
      <c r="AJ65" s="4">
        <f>AI65+Sheet54!AJ65</f>
        <v>16.702550000000102</v>
      </c>
      <c r="AK65" s="5"/>
    </row>
    <row r="66" spans="1:37" ht="21" customHeight="1">
      <c r="A66" s="12"/>
      <c r="B66" s="14"/>
      <c r="C66" s="15"/>
      <c r="D66" s="22" t="s">
        <v>50</v>
      </c>
      <c r="E66" s="4">
        <v>-3.32231600000001</v>
      </c>
      <c r="F66" s="4">
        <f>E66+Sheet54!F66</f>
        <v>-3.32231600000001</v>
      </c>
      <c r="G66" s="4">
        <f>F66+Sheet54!G66</f>
        <v>-3.32231600000001</v>
      </c>
      <c r="H66" s="4">
        <f>G66+Sheet54!H66</f>
        <v>-3.32231600000001</v>
      </c>
      <c r="I66" s="4">
        <f>H66+Sheet54!I66</f>
        <v>-3.32231600000001</v>
      </c>
      <c r="J66" s="4">
        <f>I66+Sheet54!J66</f>
        <v>-3.0256450000000101</v>
      </c>
      <c r="K66" s="4">
        <f>J66+Sheet54!K66</f>
        <v>-2.9788940000000101</v>
      </c>
      <c r="L66" s="4">
        <f>K66+Sheet54!L66</f>
        <v>-2.8488440000000104</v>
      </c>
      <c r="M66" s="4">
        <f>L66+Sheet54!M66</f>
        <v>-2.9349000000000105</v>
      </c>
      <c r="N66" s="4">
        <f>M66+Sheet54!N66</f>
        <v>-3.2924240000000107</v>
      </c>
      <c r="O66" s="4">
        <f>N66+Sheet54!O66</f>
        <v>-3.2924240000000107</v>
      </c>
      <c r="P66" s="4">
        <f>O66+Sheet54!P66</f>
        <v>-3.2924240000000107</v>
      </c>
      <c r="Q66" s="4">
        <f>P66+Sheet54!Q66</f>
        <v>-3.2416820000000106</v>
      </c>
      <c r="R66" s="4">
        <f>Q66+Sheet54!R66</f>
        <v>-3.1926990000000108</v>
      </c>
      <c r="S66" s="4">
        <f>R66+Sheet54!S66</f>
        <v>-3.1837580000000107</v>
      </c>
      <c r="T66" s="4">
        <f>S66+Sheet54!T66</f>
        <v>-2.9676380000000107</v>
      </c>
      <c r="U66" s="4">
        <f>T66+Sheet54!U66</f>
        <v>-2.8890400000000107</v>
      </c>
      <c r="V66" s="4">
        <f>U66+Sheet54!V66</f>
        <v>-2.8890400000000107</v>
      </c>
      <c r="W66" s="4">
        <f>V66+Sheet54!W66</f>
        <v>-2.8890400000000107</v>
      </c>
      <c r="X66" s="4">
        <f>W66+Sheet54!X66</f>
        <v>-2.5096020000000108</v>
      </c>
      <c r="Y66" s="4">
        <f>X66+Sheet54!Y66</f>
        <v>-2.5742750000000107</v>
      </c>
      <c r="Z66" s="4">
        <f>Y66+Sheet54!Z66</f>
        <v>-2.5261100000000107</v>
      </c>
      <c r="AA66" s="4">
        <f>Z66+Sheet54!AA66</f>
        <v>-2.6052380000000106</v>
      </c>
      <c r="AB66" s="4">
        <f>AA66+Sheet54!AB66</f>
        <v>-2.5816180000000104</v>
      </c>
      <c r="AC66" s="4">
        <f>AB66+Sheet54!AC66</f>
        <v>-2.5816180000000104</v>
      </c>
      <c r="AD66" s="4">
        <f>AC66+Sheet54!AD66</f>
        <v>-2.5816180000000104</v>
      </c>
      <c r="AE66" s="4">
        <f>AD66+Sheet54!AE66</f>
        <v>-2.9014080000000106</v>
      </c>
      <c r="AF66" s="4">
        <f>AE66+Sheet54!AF66</f>
        <v>-2.6981500000000107</v>
      </c>
      <c r="AG66" s="4">
        <f>AF66+Sheet54!AG66</f>
        <v>-2.1751280000000106</v>
      </c>
      <c r="AH66" s="4">
        <f>AG66+Sheet54!AH66</f>
        <v>-1.7945300000000106</v>
      </c>
      <c r="AI66" s="4">
        <f>AH66+Sheet54!AI66</f>
        <v>-2.2037000000000107</v>
      </c>
      <c r="AJ66" s="4">
        <f>AI66+Sheet54!AJ66</f>
        <v>-2.2037000000000107</v>
      </c>
      <c r="AK66" s="5"/>
    </row>
    <row r="67" spans="1:37" ht="21" customHeight="1">
      <c r="A67" s="12"/>
      <c r="B67" s="14"/>
      <c r="C67" s="15"/>
      <c r="D67" s="21" t="s">
        <v>51</v>
      </c>
      <c r="E67" s="4">
        <v>0</v>
      </c>
      <c r="F67" s="4">
        <f>Sheet54!F67</f>
        <v>0</v>
      </c>
      <c r="G67" s="4">
        <f>Sheet54!G67</f>
        <v>0</v>
      </c>
      <c r="H67" s="4">
        <f>Sheet54!H67</f>
        <v>0</v>
      </c>
      <c r="I67" s="4">
        <f>Sheet54!I67</f>
        <v>0</v>
      </c>
      <c r="J67" s="4">
        <f>Sheet54!J67</f>
        <v>0.29667100000000002</v>
      </c>
      <c r="K67" s="4">
        <f>Sheet54!K67</f>
        <v>4.6751000000000001E-2</v>
      </c>
      <c r="L67" s="4">
        <f>Sheet54!L67</f>
        <v>0.13005</v>
      </c>
      <c r="M67" s="4">
        <f>Sheet54!M67</f>
        <v>-8.6055999999999994E-2</v>
      </c>
      <c r="N67" s="4">
        <f>Sheet54!N67</f>
        <v>-0.35752400000000001</v>
      </c>
      <c r="O67" s="4">
        <f>Sheet54!O67</f>
        <v>0</v>
      </c>
      <c r="P67" s="4">
        <f>Sheet54!P67</f>
        <v>0</v>
      </c>
      <c r="Q67" s="4">
        <f>Sheet54!Q67</f>
        <v>5.0742000000000002E-2</v>
      </c>
      <c r="R67" s="4">
        <f>Sheet54!R67</f>
        <v>4.8982999999999999E-2</v>
      </c>
      <c r="S67" s="4">
        <f>Sheet54!S67</f>
        <v>8.9409999999999993E-3</v>
      </c>
      <c r="T67" s="4">
        <f>Sheet54!T67</f>
        <v>0.21612000000000001</v>
      </c>
      <c r="U67" s="4">
        <f>Sheet54!U67</f>
        <v>7.8598000000000001E-2</v>
      </c>
      <c r="V67" s="4">
        <f>Sheet54!V67</f>
        <v>0</v>
      </c>
      <c r="W67" s="4">
        <f>Sheet54!W67</f>
        <v>0</v>
      </c>
      <c r="X67" s="4">
        <f>Sheet54!X67</f>
        <v>0.379438</v>
      </c>
      <c r="Y67" s="4">
        <f>Sheet54!Y67</f>
        <v>-6.4672999999999994E-2</v>
      </c>
      <c r="Z67" s="4">
        <f>Sheet54!Z67</f>
        <v>4.8164999999999999E-2</v>
      </c>
      <c r="AA67" s="4">
        <f>Sheet54!AA67</f>
        <v>-7.9128000000000004E-2</v>
      </c>
      <c r="AB67" s="4">
        <f>Sheet54!AB67</f>
        <v>2.3619999999999999E-2</v>
      </c>
      <c r="AC67" s="4">
        <f>Sheet54!AC67</f>
        <v>0</v>
      </c>
      <c r="AD67" s="4">
        <f>Sheet54!AD67</f>
        <v>0</v>
      </c>
      <c r="AE67" s="4">
        <f>Sheet54!AE67</f>
        <v>-0.31979000000000002</v>
      </c>
      <c r="AF67" s="4">
        <f>Sheet54!AF67</f>
        <v>0.20325799999999999</v>
      </c>
      <c r="AG67" s="4">
        <f>Sheet54!AG67</f>
        <v>0.52302199999999999</v>
      </c>
      <c r="AH67" s="4">
        <f>Sheet54!AH67</f>
        <v>0.38059799999999999</v>
      </c>
      <c r="AI67" s="4">
        <f>Sheet54!AI67</f>
        <v>-0.40916999999999998</v>
      </c>
      <c r="AJ67" s="4">
        <f>Sheet54!AJ67</f>
        <v>0</v>
      </c>
      <c r="AK67" s="5"/>
    </row>
    <row r="68" spans="1:37" ht="21" customHeight="1">
      <c r="A68" s="12"/>
      <c r="B68" s="14"/>
      <c r="C68" s="15" t="s">
        <v>73</v>
      </c>
      <c r="D68" s="22" t="s">
        <v>40</v>
      </c>
      <c r="E68" s="4">
        <v>309.38962900000001</v>
      </c>
      <c r="F68" s="4">
        <f>E68+Sheet54!F68</f>
        <v>309.38962900000001</v>
      </c>
      <c r="G68" s="4">
        <f>F68+Sheet54!G68</f>
        <v>309.38962900000001</v>
      </c>
      <c r="H68" s="4">
        <f>G68+Sheet54!H68</f>
        <v>309.38962900000001</v>
      </c>
      <c r="I68" s="4">
        <f>H68+Sheet54!I68</f>
        <v>309.38962900000001</v>
      </c>
      <c r="J68" s="4">
        <f>I68+Sheet54!J68</f>
        <v>309.38962900000001</v>
      </c>
      <c r="K68" s="4">
        <f>J68+Sheet54!K68</f>
        <v>309.38962900000001</v>
      </c>
      <c r="L68" s="4">
        <f>K68+Sheet54!L68</f>
        <v>309.38962900000001</v>
      </c>
      <c r="M68" s="4">
        <f>L68+Sheet54!M68</f>
        <v>309.38962900000001</v>
      </c>
      <c r="N68" s="4">
        <f>M68+Sheet54!N68</f>
        <v>309.38962900000001</v>
      </c>
      <c r="O68" s="4">
        <f>N68+Sheet54!O68</f>
        <v>309.38962900000001</v>
      </c>
      <c r="P68" s="4">
        <f>O68+Sheet54!P68</f>
        <v>309.38962900000001</v>
      </c>
      <c r="Q68" s="4">
        <f>P68+Sheet54!Q68</f>
        <v>309.38962900000001</v>
      </c>
      <c r="R68" s="4">
        <f>Q68+Sheet54!R68</f>
        <v>0</v>
      </c>
      <c r="S68" s="4">
        <f>R68+Sheet54!S68</f>
        <v>0</v>
      </c>
      <c r="T68" s="4">
        <f>S68+Sheet54!T68</f>
        <v>0</v>
      </c>
      <c r="U68" s="4">
        <f>T68+Sheet54!U68</f>
        <v>0</v>
      </c>
      <c r="V68" s="4">
        <f>U68+Sheet54!V68</f>
        <v>0</v>
      </c>
      <c r="W68" s="4">
        <f>V68+Sheet54!W68</f>
        <v>0</v>
      </c>
      <c r="X68" s="4">
        <f>W68+Sheet54!X68</f>
        <v>0</v>
      </c>
      <c r="Y68" s="4">
        <f>X68+Sheet54!Y68</f>
        <v>0</v>
      </c>
      <c r="Z68" s="4">
        <f>Y68+Sheet54!Z68</f>
        <v>0</v>
      </c>
      <c r="AA68" s="4">
        <f>Z68+Sheet54!AA68</f>
        <v>0</v>
      </c>
      <c r="AB68" s="4">
        <f>AA68+Sheet54!AB68</f>
        <v>0</v>
      </c>
      <c r="AC68" s="4">
        <f>AB68+Sheet54!AC68</f>
        <v>0</v>
      </c>
      <c r="AD68" s="4">
        <f>AC68+Sheet54!AD68</f>
        <v>0</v>
      </c>
      <c r="AE68" s="4">
        <f>AD68+Sheet54!AE68</f>
        <v>0</v>
      </c>
      <c r="AF68" s="4">
        <f>AE68+Sheet54!AF68</f>
        <v>0</v>
      </c>
      <c r="AG68" s="4">
        <f>AF68+Sheet54!AG68</f>
        <v>0</v>
      </c>
      <c r="AH68" s="4">
        <f>AG68+Sheet54!AH68</f>
        <v>0</v>
      </c>
      <c r="AI68" s="4">
        <f>AH68+Sheet54!AI68</f>
        <v>0</v>
      </c>
      <c r="AJ68" s="4">
        <f>AI68+Sheet54!AJ68</f>
        <v>0</v>
      </c>
      <c r="AK68" s="5"/>
    </row>
    <row r="69" spans="1:37" ht="21" customHeight="1">
      <c r="A69" s="12"/>
      <c r="B69" s="14"/>
      <c r="C69" s="15"/>
      <c r="D69" s="22" t="s">
        <v>50</v>
      </c>
      <c r="E69" s="4">
        <v>-41.189628999999996</v>
      </c>
      <c r="F69" s="4">
        <f>E69+Sheet54!F69</f>
        <v>-41.189628999999996</v>
      </c>
      <c r="G69" s="4">
        <f>F69+Sheet54!G69</f>
        <v>-41.189628999999996</v>
      </c>
      <c r="H69" s="4">
        <f>G69+Sheet54!H69</f>
        <v>-41.189628999999996</v>
      </c>
      <c r="I69" s="4">
        <f>H69+Sheet54!I69</f>
        <v>-41.189628999999996</v>
      </c>
      <c r="J69" s="4">
        <f>I69+Sheet54!J69</f>
        <v>-35.189628999999996</v>
      </c>
      <c r="K69" s="4">
        <f>J69+Sheet54!K69</f>
        <v>-33.589628999999995</v>
      </c>
      <c r="L69" s="4">
        <f>K69+Sheet54!L69</f>
        <v>-43.989628999999994</v>
      </c>
      <c r="M69" s="4">
        <f>L69+Sheet54!M69</f>
        <v>-44.589628999999995</v>
      </c>
      <c r="N69" s="4">
        <f>M69+Sheet54!N69</f>
        <v>-35.389628999999999</v>
      </c>
      <c r="O69" s="4">
        <f>N69+Sheet54!O69</f>
        <v>-35.389628999999999</v>
      </c>
      <c r="P69" s="4">
        <f>O69+Sheet54!P69</f>
        <v>-35.389628999999999</v>
      </c>
      <c r="Q69" s="4">
        <f>P69+Sheet54!Q69</f>
        <v>-7.9896290000000008</v>
      </c>
      <c r="R69" s="4">
        <f>Q69+Sheet54!R69</f>
        <v>0</v>
      </c>
      <c r="S69" s="4">
        <f>R69+Sheet54!S69</f>
        <v>0</v>
      </c>
      <c r="T69" s="4">
        <f>S69+Sheet54!T69</f>
        <v>0</v>
      </c>
      <c r="U69" s="4">
        <f>T69+Sheet54!U69</f>
        <v>0</v>
      </c>
      <c r="V69" s="4">
        <f>U69+Sheet54!V69</f>
        <v>0</v>
      </c>
      <c r="W69" s="4">
        <f>V69+Sheet54!W69</f>
        <v>0</v>
      </c>
      <c r="X69" s="4">
        <f>W69+Sheet54!X69</f>
        <v>0</v>
      </c>
      <c r="Y69" s="4">
        <f>X69+Sheet54!Y69</f>
        <v>0</v>
      </c>
      <c r="Z69" s="4">
        <f>Y69+Sheet54!Z69</f>
        <v>0</v>
      </c>
      <c r="AA69" s="4">
        <f>Z69+Sheet54!AA69</f>
        <v>0</v>
      </c>
      <c r="AB69" s="4">
        <f>AA69+Sheet54!AB69</f>
        <v>0</v>
      </c>
      <c r="AC69" s="4">
        <f>AB69+Sheet54!AC69</f>
        <v>0</v>
      </c>
      <c r="AD69" s="4">
        <f>AC69+Sheet54!AD69</f>
        <v>0</v>
      </c>
      <c r="AE69" s="4">
        <f>AD69+Sheet54!AE69</f>
        <v>0</v>
      </c>
      <c r="AF69" s="4">
        <f>AE69+Sheet54!AF69</f>
        <v>0</v>
      </c>
      <c r="AG69" s="4">
        <f>AF69+Sheet54!AG69</f>
        <v>0</v>
      </c>
      <c r="AH69" s="4">
        <f>AG69+Sheet54!AH69</f>
        <v>0</v>
      </c>
      <c r="AI69" s="4">
        <f>AH69+Sheet54!AI69</f>
        <v>0</v>
      </c>
      <c r="AJ69" s="4">
        <f>AI69+Sheet54!AJ69</f>
        <v>0</v>
      </c>
      <c r="AK69" s="5"/>
    </row>
    <row r="70" spans="1:37" ht="21" customHeight="1">
      <c r="A70" s="12"/>
      <c r="B70" s="14"/>
      <c r="C70" s="15"/>
      <c r="D70" s="21" t="s">
        <v>51</v>
      </c>
      <c r="E70" s="4">
        <v>0</v>
      </c>
      <c r="F70" s="4">
        <f>Sheet54!F70</f>
        <v>0</v>
      </c>
      <c r="G70" s="4">
        <f>Sheet54!G70</f>
        <v>0</v>
      </c>
      <c r="H70" s="4">
        <f>Sheet54!H70</f>
        <v>0</v>
      </c>
      <c r="I70" s="4">
        <f>Sheet54!I70</f>
        <v>0</v>
      </c>
      <c r="J70" s="4">
        <f>Sheet54!J70</f>
        <v>6</v>
      </c>
      <c r="K70" s="4">
        <f>Sheet54!K70</f>
        <v>1.6</v>
      </c>
      <c r="L70" s="4">
        <f>Sheet54!L70</f>
        <v>-10.4</v>
      </c>
      <c r="M70" s="4">
        <f>Sheet54!M70</f>
        <v>-0.6</v>
      </c>
      <c r="N70" s="4">
        <f>Sheet54!N70</f>
        <v>9.1999999999999993</v>
      </c>
      <c r="O70" s="4">
        <f>Sheet54!O70</f>
        <v>0</v>
      </c>
      <c r="P70" s="4">
        <f>Sheet54!P70</f>
        <v>0</v>
      </c>
      <c r="Q70" s="4">
        <f>Sheet54!Q70</f>
        <v>27.4</v>
      </c>
      <c r="R70" s="4">
        <f>Sheet54!R70</f>
        <v>7.9896289999999999</v>
      </c>
      <c r="S70" s="4">
        <f>Sheet54!S70</f>
        <v>0</v>
      </c>
      <c r="T70" s="4">
        <f>Sheet54!T70</f>
        <v>0</v>
      </c>
      <c r="U70" s="4">
        <f>Sheet54!U70</f>
        <v>0</v>
      </c>
      <c r="V70" s="4">
        <f>Sheet54!V70</f>
        <v>0</v>
      </c>
      <c r="W70" s="4">
        <f>Sheet54!W70</f>
        <v>0</v>
      </c>
      <c r="X70" s="4">
        <f>Sheet54!X70</f>
        <v>0</v>
      </c>
      <c r="Y70" s="4">
        <f>Sheet54!Y70</f>
        <v>0</v>
      </c>
      <c r="Z70" s="4">
        <f>Sheet54!Z70</f>
        <v>0</v>
      </c>
      <c r="AA70" s="4">
        <f>Sheet54!AA70</f>
        <v>0</v>
      </c>
      <c r="AB70" s="4">
        <f>Sheet54!AB70</f>
        <v>0</v>
      </c>
      <c r="AC70" s="4">
        <f>Sheet54!AC70</f>
        <v>0</v>
      </c>
      <c r="AD70" s="4">
        <f>Sheet54!AD70</f>
        <v>0</v>
      </c>
      <c r="AE70" s="4">
        <f>Sheet54!AE70</f>
        <v>0</v>
      </c>
      <c r="AF70" s="4">
        <f>Sheet54!AF70</f>
        <v>0</v>
      </c>
      <c r="AG70" s="4">
        <f>Sheet54!AG70</f>
        <v>0</v>
      </c>
      <c r="AH70" s="4">
        <f>Sheet54!AH70</f>
        <v>0</v>
      </c>
      <c r="AI70" s="4">
        <f>Sheet54!AI70</f>
        <v>0</v>
      </c>
      <c r="AJ70" s="4">
        <f>Sheet54!AJ70</f>
        <v>0</v>
      </c>
      <c r="AK70" s="5"/>
    </row>
    <row r="71" spans="1:37" ht="21" customHeight="1">
      <c r="A71" s="12"/>
      <c r="B71" s="14"/>
      <c r="C71" s="15"/>
      <c r="D71" s="21" t="s">
        <v>58</v>
      </c>
      <c r="E71" s="4">
        <v>0</v>
      </c>
      <c r="F71" s="4">
        <f>Sheet54!F71</f>
        <v>0</v>
      </c>
      <c r="G71" s="4">
        <f>Sheet54!G71</f>
        <v>0</v>
      </c>
      <c r="H71" s="4">
        <f>Sheet54!H71</f>
        <v>0</v>
      </c>
      <c r="I71" s="4">
        <f>Sheet54!I71</f>
        <v>0</v>
      </c>
      <c r="J71" s="4">
        <f>Sheet54!J71</f>
        <v>0</v>
      </c>
      <c r="K71" s="4">
        <f>Sheet54!K71</f>
        <v>0</v>
      </c>
      <c r="L71" s="4">
        <f>Sheet54!L71</f>
        <v>0</v>
      </c>
      <c r="M71" s="4">
        <f>Sheet54!M71</f>
        <v>0</v>
      </c>
      <c r="N71" s="4">
        <f>Sheet54!N71</f>
        <v>0</v>
      </c>
      <c r="O71" s="4">
        <f>Sheet54!O71</f>
        <v>0</v>
      </c>
      <c r="P71" s="4">
        <f>Sheet54!P71</f>
        <v>0</v>
      </c>
      <c r="Q71" s="4">
        <f>Sheet54!Q71</f>
        <v>0</v>
      </c>
      <c r="R71" s="4">
        <f>Sheet54!R71</f>
        <v>17.178954000000001</v>
      </c>
      <c r="S71" s="4">
        <f>Sheet54!S71</f>
        <v>0</v>
      </c>
      <c r="T71" s="4">
        <f>Sheet54!T71</f>
        <v>0</v>
      </c>
      <c r="U71" s="4">
        <f>Sheet54!U71</f>
        <v>0</v>
      </c>
      <c r="V71" s="4">
        <f>Sheet54!V71</f>
        <v>0</v>
      </c>
      <c r="W71" s="4">
        <f>Sheet54!W71</f>
        <v>0</v>
      </c>
      <c r="X71" s="4">
        <f>Sheet54!X71</f>
        <v>0</v>
      </c>
      <c r="Y71" s="4">
        <f>Sheet54!Y71</f>
        <v>0</v>
      </c>
      <c r="Z71" s="4">
        <f>Sheet54!Z71</f>
        <v>0</v>
      </c>
      <c r="AA71" s="4">
        <f>Sheet54!AA71</f>
        <v>0</v>
      </c>
      <c r="AB71" s="4">
        <f>Sheet54!AB71</f>
        <v>0</v>
      </c>
      <c r="AC71" s="4">
        <f>Sheet54!AC71</f>
        <v>0</v>
      </c>
      <c r="AD71" s="4">
        <f>Sheet54!AD71</f>
        <v>0</v>
      </c>
      <c r="AE71" s="4">
        <f>Sheet54!AE71</f>
        <v>0</v>
      </c>
      <c r="AF71" s="4">
        <f>Sheet54!AF71</f>
        <v>0</v>
      </c>
      <c r="AG71" s="4">
        <f>Sheet54!AG71</f>
        <v>0</v>
      </c>
      <c r="AH71" s="4">
        <f>Sheet54!AH71</f>
        <v>0</v>
      </c>
      <c r="AI71" s="4">
        <f>Sheet54!AI71</f>
        <v>0</v>
      </c>
      <c r="AJ71" s="4">
        <f>Sheet54!AJ71</f>
        <v>0</v>
      </c>
      <c r="AK71" s="5"/>
    </row>
    <row r="72" spans="1:37" ht="21" customHeight="1">
      <c r="A72" s="12"/>
      <c r="B72" s="14"/>
      <c r="C72" s="15" t="s">
        <v>74</v>
      </c>
      <c r="D72" s="22" t="s">
        <v>40</v>
      </c>
      <c r="E72" s="4">
        <v>333.22904499999999</v>
      </c>
      <c r="F72" s="4">
        <f>E72+Sheet54!F72</f>
        <v>333.22904499999999</v>
      </c>
      <c r="G72" s="4">
        <f>F72+Sheet54!G72</f>
        <v>333.22904499999999</v>
      </c>
      <c r="H72" s="4">
        <f>G72+Sheet54!H72</f>
        <v>333.22904499999999</v>
      </c>
      <c r="I72" s="4">
        <f>H72+Sheet54!I72</f>
        <v>333.22904499999999</v>
      </c>
      <c r="J72" s="4">
        <f>I72+Sheet54!J72</f>
        <v>333.22904499999999</v>
      </c>
      <c r="K72" s="4">
        <f>J72+Sheet54!K72</f>
        <v>333.22904499999999</v>
      </c>
      <c r="L72" s="4">
        <f>K72+Sheet54!L72</f>
        <v>333.22904499999999</v>
      </c>
      <c r="M72" s="4">
        <f>L72+Sheet54!M72</f>
        <v>333.22904499999999</v>
      </c>
      <c r="N72" s="4">
        <f>M72+Sheet54!N72</f>
        <v>333.22904499999999</v>
      </c>
      <c r="O72" s="4">
        <f>N72+Sheet54!O72</f>
        <v>333.22904499999999</v>
      </c>
      <c r="P72" s="4">
        <f>O72+Sheet54!P72</f>
        <v>333.22904499999999</v>
      </c>
      <c r="Q72" s="4">
        <f>P72+Sheet54!Q72</f>
        <v>333.22904499999999</v>
      </c>
      <c r="R72" s="4">
        <f>Q72+Sheet54!R72</f>
        <v>333.22904499999999</v>
      </c>
      <c r="S72" s="4">
        <f>R72+Sheet54!S72</f>
        <v>333.22904499999999</v>
      </c>
      <c r="T72" s="4">
        <f>S72+Sheet54!T72</f>
        <v>333.22904499999999</v>
      </c>
      <c r="U72" s="4">
        <f>T72+Sheet54!U72</f>
        <v>333.22904499999999</v>
      </c>
      <c r="V72" s="4">
        <f>U72+Sheet54!V72</f>
        <v>333.22904499999999</v>
      </c>
      <c r="W72" s="4">
        <f>V72+Sheet54!W72</f>
        <v>333.22904499999999</v>
      </c>
      <c r="X72" s="4">
        <f>W72+Sheet54!X72</f>
        <v>333.22904499999999</v>
      </c>
      <c r="Y72" s="4">
        <f>X72+Sheet54!Y72</f>
        <v>333.22904499999999</v>
      </c>
      <c r="Z72" s="4">
        <f>Y72+Sheet54!Z72</f>
        <v>333.22904499999999</v>
      </c>
      <c r="AA72" s="4">
        <f>Z72+Sheet54!AA72</f>
        <v>333.22904499999999</v>
      </c>
      <c r="AB72" s="4">
        <f>AA72+Sheet54!AB72</f>
        <v>333.22904499999999</v>
      </c>
      <c r="AC72" s="4">
        <f>AB72+Sheet54!AC72</f>
        <v>333.22904499999999</v>
      </c>
      <c r="AD72" s="4">
        <f>AC72+Sheet54!AD72</f>
        <v>333.22904499999999</v>
      </c>
      <c r="AE72" s="4">
        <f>AD72+Sheet54!AE72</f>
        <v>333.22904499999999</v>
      </c>
      <c r="AF72" s="4">
        <f>AE72+Sheet54!AF72</f>
        <v>333.22904499999999</v>
      </c>
      <c r="AG72" s="4">
        <f>AF72+Sheet54!AG72</f>
        <v>333.22904499999999</v>
      </c>
      <c r="AH72" s="4">
        <f>AG72+Sheet54!AH72</f>
        <v>333.22904499999999</v>
      </c>
      <c r="AI72" s="4">
        <f>AH72+Sheet54!AI72</f>
        <v>333.22904499999999</v>
      </c>
      <c r="AJ72" s="4">
        <f>AI72+Sheet54!AJ72</f>
        <v>333.22904499999999</v>
      </c>
      <c r="AK72" s="5"/>
    </row>
    <row r="73" spans="1:37" ht="21" customHeight="1">
      <c r="A73" s="12"/>
      <c r="B73" s="14"/>
      <c r="C73" s="15"/>
      <c r="D73" s="22" t="s">
        <v>50</v>
      </c>
      <c r="E73" s="4">
        <v>9.6709549999999904</v>
      </c>
      <c r="F73" s="4">
        <f>E73+Sheet54!F73</f>
        <v>9.6709549999999904</v>
      </c>
      <c r="G73" s="4">
        <f>F73+Sheet54!G73</f>
        <v>9.6709549999999904</v>
      </c>
      <c r="H73" s="4">
        <f>G73+Sheet54!H73</f>
        <v>9.6709549999999904</v>
      </c>
      <c r="I73" s="4">
        <f>H73+Sheet54!I73</f>
        <v>9.6709549999999904</v>
      </c>
      <c r="J73" s="4">
        <f>I73+Sheet54!J73</f>
        <v>6.3709549999999906</v>
      </c>
      <c r="K73" s="4">
        <f>J73+Sheet54!K73</f>
        <v>6.0709549999999908</v>
      </c>
      <c r="L73" s="4">
        <f>K73+Sheet54!L73</f>
        <v>7.0954999999990775E-2</v>
      </c>
      <c r="M73" s="4">
        <f>L73+Sheet54!M73</f>
        <v>-4.729045000000009</v>
      </c>
      <c r="N73" s="4">
        <f>M73+Sheet54!N73</f>
        <v>-8.3290450000000096</v>
      </c>
      <c r="O73" s="4">
        <f>N73+Sheet54!O73</f>
        <v>-8.3290450000000096</v>
      </c>
      <c r="P73" s="4">
        <f>O73+Sheet54!P73</f>
        <v>-8.3290450000000096</v>
      </c>
      <c r="Q73" s="4">
        <f>P73+Sheet54!Q73</f>
        <v>-10.72904500000001</v>
      </c>
      <c r="R73" s="4">
        <f>Q73+Sheet54!R73</f>
        <v>-6.8290450000000096</v>
      </c>
      <c r="S73" s="4">
        <f>R73+Sheet54!S73</f>
        <v>-12.529045000000011</v>
      </c>
      <c r="T73" s="4">
        <f>S73+Sheet54!T73</f>
        <v>-14.929045000000011</v>
      </c>
      <c r="U73" s="4">
        <f>T73+Sheet54!U73</f>
        <v>-19.72904500000001</v>
      </c>
      <c r="V73" s="4">
        <f>U73+Sheet54!V73</f>
        <v>-19.72904500000001</v>
      </c>
      <c r="W73" s="4">
        <f>V73+Sheet54!W73</f>
        <v>-19.72904500000001</v>
      </c>
      <c r="X73" s="4">
        <f>W73+Sheet54!X73</f>
        <v>-20.629045000000009</v>
      </c>
      <c r="Y73" s="4">
        <f>X73+Sheet54!Y73</f>
        <v>-16.429045000000009</v>
      </c>
      <c r="Z73" s="4">
        <f>Y73+Sheet54!Z73</f>
        <v>-20.329045000000008</v>
      </c>
      <c r="AA73" s="4">
        <f>Z73+Sheet54!AA73</f>
        <v>-20.629045000000009</v>
      </c>
      <c r="AB73" s="4">
        <f>AA73+Sheet54!AB73</f>
        <v>-22.72904500000001</v>
      </c>
      <c r="AC73" s="4">
        <f>AB73+Sheet54!AC73</f>
        <v>-22.72904500000001</v>
      </c>
      <c r="AD73" s="4">
        <f>AC73+Sheet54!AD73</f>
        <v>-22.72904500000001</v>
      </c>
      <c r="AE73" s="4">
        <f>AD73+Sheet54!AE73</f>
        <v>-19.72904500000001</v>
      </c>
      <c r="AF73" s="4">
        <f>AE73+Sheet54!AF73</f>
        <v>-20.929045000000009</v>
      </c>
      <c r="AG73" s="4">
        <f>AF73+Sheet54!AG73</f>
        <v>-21.829045000000008</v>
      </c>
      <c r="AH73" s="4">
        <f>AG73+Sheet54!AH73</f>
        <v>-15.529045000000007</v>
      </c>
      <c r="AI73" s="4">
        <f>AH73+Sheet54!AI73</f>
        <v>-17.329045000000008</v>
      </c>
      <c r="AJ73" s="4">
        <f>AI73+Sheet54!AJ73</f>
        <v>-17.329045000000008</v>
      </c>
      <c r="AK73" s="5"/>
    </row>
    <row r="74" spans="1:37" ht="21" customHeight="1">
      <c r="A74" s="12"/>
      <c r="B74" s="14"/>
      <c r="C74" s="15"/>
      <c r="D74" s="21" t="s">
        <v>51</v>
      </c>
      <c r="E74" s="4">
        <v>0</v>
      </c>
      <c r="F74" s="4">
        <f>Sheet54!F74</f>
        <v>0</v>
      </c>
      <c r="G74" s="4">
        <f>Sheet54!G74</f>
        <v>0</v>
      </c>
      <c r="H74" s="4">
        <f>Sheet54!H74</f>
        <v>0</v>
      </c>
      <c r="I74" s="4">
        <f>Sheet54!I74</f>
        <v>0</v>
      </c>
      <c r="J74" s="4">
        <f>Sheet54!J74</f>
        <v>-3.3</v>
      </c>
      <c r="K74" s="4">
        <f>Sheet54!K74</f>
        <v>-0.3</v>
      </c>
      <c r="L74" s="4">
        <f>Sheet54!L74</f>
        <v>-6</v>
      </c>
      <c r="M74" s="4">
        <f>Sheet54!M74</f>
        <v>-4.8</v>
      </c>
      <c r="N74" s="4">
        <f>Sheet54!N74</f>
        <v>-3.6</v>
      </c>
      <c r="O74" s="4">
        <f>Sheet54!O74</f>
        <v>0</v>
      </c>
      <c r="P74" s="4">
        <f>Sheet54!P74</f>
        <v>0</v>
      </c>
      <c r="Q74" s="4">
        <f>Sheet54!Q74</f>
        <v>-2.4</v>
      </c>
      <c r="R74" s="4">
        <f>Sheet54!R74</f>
        <v>3.9</v>
      </c>
      <c r="S74" s="4">
        <f>Sheet54!S74</f>
        <v>-5.7</v>
      </c>
      <c r="T74" s="4">
        <f>Sheet54!T74</f>
        <v>-2.4</v>
      </c>
      <c r="U74" s="4">
        <f>Sheet54!U74</f>
        <v>-4.8</v>
      </c>
      <c r="V74" s="4">
        <f>Sheet54!V74</f>
        <v>0</v>
      </c>
      <c r="W74" s="4">
        <f>Sheet54!W74</f>
        <v>0</v>
      </c>
      <c r="X74" s="4">
        <f>Sheet54!X74</f>
        <v>-0.9</v>
      </c>
      <c r="Y74" s="4">
        <f>Sheet54!Y74</f>
        <v>4.2</v>
      </c>
      <c r="Z74" s="4">
        <f>Sheet54!Z74</f>
        <v>-3.9</v>
      </c>
      <c r="AA74" s="4">
        <f>Sheet54!AA74</f>
        <v>-0.3</v>
      </c>
      <c r="AB74" s="4">
        <f>Sheet54!AB74</f>
        <v>-2.1</v>
      </c>
      <c r="AC74" s="4">
        <f>Sheet54!AC74</f>
        <v>0</v>
      </c>
      <c r="AD74" s="4">
        <f>Sheet54!AD74</f>
        <v>0</v>
      </c>
      <c r="AE74" s="4">
        <f>Sheet54!AE74</f>
        <v>3</v>
      </c>
      <c r="AF74" s="4">
        <f>Sheet54!AF74</f>
        <v>-1.2</v>
      </c>
      <c r="AG74" s="4">
        <f>Sheet54!AG74</f>
        <v>-0.9</v>
      </c>
      <c r="AH74" s="4">
        <f>Sheet54!AH74</f>
        <v>6.3</v>
      </c>
      <c r="AI74" s="4">
        <f>Sheet54!AI74</f>
        <v>-1.8</v>
      </c>
      <c r="AJ74" s="4">
        <f>Sheet54!AJ74</f>
        <v>0</v>
      </c>
      <c r="AK74" s="5"/>
    </row>
    <row r="75" spans="1:37" ht="21" customHeight="1">
      <c r="A75" s="12"/>
      <c r="B75" s="14"/>
      <c r="C75" s="15" t="s">
        <v>75</v>
      </c>
      <c r="D75" s="22" t="s">
        <v>40</v>
      </c>
      <c r="E75" s="4">
        <v>815.93725700000005</v>
      </c>
      <c r="F75" s="4">
        <f>E75+Sheet54!F75</f>
        <v>815.93725700000005</v>
      </c>
      <c r="G75" s="4">
        <f>F75+Sheet54!G75</f>
        <v>815.93725700000005</v>
      </c>
      <c r="H75" s="4">
        <f>G75+Sheet54!H75</f>
        <v>815.93725700000005</v>
      </c>
      <c r="I75" s="4">
        <f>H75+Sheet54!I75</f>
        <v>815.93725700000005</v>
      </c>
      <c r="J75" s="4">
        <f>I75+Sheet54!J75</f>
        <v>815.93725700000005</v>
      </c>
      <c r="K75" s="4">
        <f>J75+Sheet54!K75</f>
        <v>815.93725700000005</v>
      </c>
      <c r="L75" s="4">
        <f>K75+Sheet54!L75</f>
        <v>815.93725700000005</v>
      </c>
      <c r="M75" s="4">
        <f>L75+Sheet54!M75</f>
        <v>815.93725700000005</v>
      </c>
      <c r="N75" s="4">
        <f>M75+Sheet54!N75</f>
        <v>815.93725700000005</v>
      </c>
      <c r="O75" s="4">
        <f>N75+Sheet54!O75</f>
        <v>815.93725700000005</v>
      </c>
      <c r="P75" s="4">
        <f>O75+Sheet54!P75</f>
        <v>815.93725700000005</v>
      </c>
      <c r="Q75" s="4">
        <f>P75+Sheet54!Q75</f>
        <v>815.93725700000005</v>
      </c>
      <c r="R75" s="4">
        <f>Q75+Sheet54!R75</f>
        <v>815.93725700000005</v>
      </c>
      <c r="S75" s="4">
        <f>R75+Sheet54!S75</f>
        <v>815.93725700000005</v>
      </c>
      <c r="T75" s="4">
        <f>S75+Sheet54!T75</f>
        <v>815.93725700000005</v>
      </c>
      <c r="U75" s="4">
        <f>T75+Sheet54!U75</f>
        <v>815.93725700000005</v>
      </c>
      <c r="V75" s="4">
        <f>U75+Sheet54!V75</f>
        <v>815.93725700000005</v>
      </c>
      <c r="W75" s="4">
        <f>V75+Sheet54!W75</f>
        <v>815.93725700000005</v>
      </c>
      <c r="X75" s="4">
        <f>W75+Sheet54!X75</f>
        <v>815.93725700000005</v>
      </c>
      <c r="Y75" s="4">
        <f>X75+Sheet54!Y75</f>
        <v>815.93725700000005</v>
      </c>
      <c r="Z75" s="4">
        <f>Y75+Sheet54!Z75</f>
        <v>815.93725700000005</v>
      </c>
      <c r="AA75" s="4">
        <f>Z75+Sheet54!AA75</f>
        <v>815.93725700000005</v>
      </c>
      <c r="AB75" s="4">
        <f>AA75+Sheet54!AB75</f>
        <v>815.93725700000005</v>
      </c>
      <c r="AC75" s="4">
        <f>AB75+Sheet54!AC75</f>
        <v>815.93725700000005</v>
      </c>
      <c r="AD75" s="4">
        <f>AC75+Sheet54!AD75</f>
        <v>815.93725700000005</v>
      </c>
      <c r="AE75" s="4">
        <f>AD75+Sheet54!AE75</f>
        <v>815.93725700000005</v>
      </c>
      <c r="AF75" s="4">
        <f>AE75+Sheet54!AF75</f>
        <v>815.93725700000005</v>
      </c>
      <c r="AG75" s="4">
        <f>AF75+Sheet54!AG75</f>
        <v>815.93725700000005</v>
      </c>
      <c r="AH75" s="4">
        <f>AG75+Sheet54!AH75</f>
        <v>815.93725700000005</v>
      </c>
      <c r="AI75" s="4">
        <f>AH75+Sheet54!AI75</f>
        <v>815.93725700000005</v>
      </c>
      <c r="AJ75" s="4">
        <f>AI75+Sheet54!AJ75</f>
        <v>815.93725700000005</v>
      </c>
      <c r="AK75" s="5"/>
    </row>
    <row r="76" spans="1:37" ht="21" customHeight="1">
      <c r="A76" s="12"/>
      <c r="B76" s="14"/>
      <c r="C76" s="15"/>
      <c r="D76" s="22" t="s">
        <v>50</v>
      </c>
      <c r="E76" s="4">
        <v>-17.237257</v>
      </c>
      <c r="F76" s="4">
        <f>E76+Sheet54!F76</f>
        <v>-17.237257</v>
      </c>
      <c r="G76" s="4">
        <f>F76+Sheet54!G76</f>
        <v>-17.237257</v>
      </c>
      <c r="H76" s="4">
        <f>G76+Sheet54!H76</f>
        <v>-17.237257</v>
      </c>
      <c r="I76" s="4">
        <f>H76+Sheet54!I76</f>
        <v>-17.237257</v>
      </c>
      <c r="J76" s="4">
        <f>I76+Sheet54!J76</f>
        <v>-10.937256999999999</v>
      </c>
      <c r="K76" s="4">
        <f>J76+Sheet54!K76</f>
        <v>0.96274300000000146</v>
      </c>
      <c r="L76" s="4">
        <f>K76+Sheet54!L76</f>
        <v>-1.1372569999999986</v>
      </c>
      <c r="M76" s="4">
        <f>L76+Sheet54!M76</f>
        <v>-10.237256999999998</v>
      </c>
      <c r="N76" s="4">
        <f>M76+Sheet54!N76</f>
        <v>-13.737256999999998</v>
      </c>
      <c r="O76" s="4">
        <f>N76+Sheet54!O76</f>
        <v>-13.737256999999998</v>
      </c>
      <c r="P76" s="4">
        <f>O76+Sheet54!P76</f>
        <v>-13.737256999999998</v>
      </c>
      <c r="Q76" s="4">
        <f>P76+Sheet54!Q76</f>
        <v>-12.337256999999997</v>
      </c>
      <c r="R76" s="4">
        <f>Q76+Sheet54!R76</f>
        <v>-13.037256999999997</v>
      </c>
      <c r="S76" s="4">
        <f>R76+Sheet54!S76</f>
        <v>-20.737256999999996</v>
      </c>
      <c r="T76" s="4">
        <f>S76+Sheet54!T76</f>
        <v>-24.237256999999996</v>
      </c>
      <c r="U76" s="4">
        <f>T76+Sheet54!U76</f>
        <v>-32.637256999999998</v>
      </c>
      <c r="V76" s="4">
        <f>U76+Sheet54!V76</f>
        <v>-32.637256999999998</v>
      </c>
      <c r="W76" s="4">
        <f>V76+Sheet54!W76</f>
        <v>-32.637256999999998</v>
      </c>
      <c r="X76" s="4">
        <f>W76+Sheet54!X76</f>
        <v>-37.537256999999997</v>
      </c>
      <c r="Y76" s="4">
        <f>X76+Sheet54!Y76</f>
        <v>-34.737257</v>
      </c>
      <c r="Z76" s="4">
        <f>Y76+Sheet54!Z76</f>
        <v>-41.037256999999997</v>
      </c>
      <c r="AA76" s="4">
        <f>Z76+Sheet54!AA76</f>
        <v>-41.037256999999997</v>
      </c>
      <c r="AB76" s="4">
        <f>AA76+Sheet54!AB76</f>
        <v>-46.637256999999998</v>
      </c>
      <c r="AC76" s="4">
        <f>AB76+Sheet54!AC76</f>
        <v>-46.637256999999998</v>
      </c>
      <c r="AD76" s="4">
        <f>AC76+Sheet54!AD76</f>
        <v>-46.637256999999998</v>
      </c>
      <c r="AE76" s="4">
        <f>AD76+Sheet54!AE76</f>
        <v>-48.737257</v>
      </c>
      <c r="AF76" s="4">
        <f>AE76+Sheet54!AF76</f>
        <v>-50.137256999999998</v>
      </c>
      <c r="AG76" s="4">
        <f>AF76+Sheet54!AG76</f>
        <v>-57.137256999999998</v>
      </c>
      <c r="AH76" s="4">
        <f>AG76+Sheet54!AH76</f>
        <v>-48.737257</v>
      </c>
      <c r="AI76" s="4">
        <f>AH76+Sheet54!AI76</f>
        <v>-57.837257000000001</v>
      </c>
      <c r="AJ76" s="4">
        <f>AI76+Sheet54!AJ76</f>
        <v>-57.837257000000001</v>
      </c>
      <c r="AK76" s="5"/>
    </row>
    <row r="77" spans="1:37" ht="21" customHeight="1">
      <c r="A77" s="12"/>
      <c r="B77" s="14"/>
      <c r="C77" s="15"/>
      <c r="D77" s="21" t="s">
        <v>51</v>
      </c>
      <c r="E77" s="4">
        <v>0</v>
      </c>
      <c r="F77" s="4">
        <f>Sheet54!F77</f>
        <v>0</v>
      </c>
      <c r="G77" s="4">
        <f>Sheet54!G77</f>
        <v>0</v>
      </c>
      <c r="H77" s="4">
        <f>Sheet54!H77</f>
        <v>0</v>
      </c>
      <c r="I77" s="4">
        <f>Sheet54!I77</f>
        <v>0</v>
      </c>
      <c r="J77" s="4">
        <f>Sheet54!J77</f>
        <v>6.3</v>
      </c>
      <c r="K77" s="4">
        <f>Sheet54!K77</f>
        <v>11.9</v>
      </c>
      <c r="L77" s="4">
        <f>Sheet54!L77</f>
        <v>-2.1</v>
      </c>
      <c r="M77" s="4">
        <f>Sheet54!M77</f>
        <v>-9.1</v>
      </c>
      <c r="N77" s="4">
        <f>Sheet54!N77</f>
        <v>-3.5</v>
      </c>
      <c r="O77" s="4">
        <f>Sheet54!O77</f>
        <v>0</v>
      </c>
      <c r="P77" s="4">
        <f>Sheet54!P77</f>
        <v>0</v>
      </c>
      <c r="Q77" s="4">
        <f>Sheet54!Q77</f>
        <v>1.4</v>
      </c>
      <c r="R77" s="4">
        <f>Sheet54!R77</f>
        <v>-0.7</v>
      </c>
      <c r="S77" s="4">
        <f>Sheet54!S77</f>
        <v>-7.7</v>
      </c>
      <c r="T77" s="4">
        <f>Sheet54!T77</f>
        <v>-3.5</v>
      </c>
      <c r="U77" s="4">
        <f>Sheet54!U77</f>
        <v>-8.4</v>
      </c>
      <c r="V77" s="4">
        <f>Sheet54!V77</f>
        <v>0</v>
      </c>
      <c r="W77" s="4">
        <f>Sheet54!W77</f>
        <v>0</v>
      </c>
      <c r="X77" s="4">
        <f>Sheet54!X77</f>
        <v>-4.9000000000000004</v>
      </c>
      <c r="Y77" s="4">
        <f>Sheet54!Y77</f>
        <v>2.8</v>
      </c>
      <c r="Z77" s="4">
        <f>Sheet54!Z77</f>
        <v>-6.3</v>
      </c>
      <c r="AA77" s="4">
        <f>Sheet54!AA77</f>
        <v>0</v>
      </c>
      <c r="AB77" s="4">
        <f>Sheet54!AB77</f>
        <v>-5.6</v>
      </c>
      <c r="AC77" s="4">
        <f>Sheet54!AC77</f>
        <v>0</v>
      </c>
      <c r="AD77" s="4">
        <f>Sheet54!AD77</f>
        <v>0</v>
      </c>
      <c r="AE77" s="4">
        <f>Sheet54!AE77</f>
        <v>-2.1</v>
      </c>
      <c r="AF77" s="4">
        <f>Sheet54!AF77</f>
        <v>-1.4</v>
      </c>
      <c r="AG77" s="4">
        <f>Sheet54!AG77</f>
        <v>-7</v>
      </c>
      <c r="AH77" s="4">
        <f>Sheet54!AH77</f>
        <v>8.4</v>
      </c>
      <c r="AI77" s="4">
        <f>Sheet54!AI77</f>
        <v>-9.1</v>
      </c>
      <c r="AJ77" s="4">
        <f>Sheet54!AJ77</f>
        <v>0</v>
      </c>
      <c r="AK77" s="5"/>
    </row>
    <row r="78" spans="1:37" ht="21" customHeight="1">
      <c r="A78" s="12"/>
      <c r="B78" s="14"/>
      <c r="C78" s="15" t="s">
        <v>76</v>
      </c>
      <c r="D78" s="22" t="s">
        <v>40</v>
      </c>
      <c r="E78" s="4">
        <v>286.91268700000001</v>
      </c>
      <c r="F78" s="4">
        <f>E78+Sheet54!F78</f>
        <v>286.91268700000001</v>
      </c>
      <c r="G78" s="4">
        <f>F78+Sheet54!G78</f>
        <v>286.91268700000001</v>
      </c>
      <c r="H78" s="4">
        <f>G78+Sheet54!H78</f>
        <v>286.91268700000001</v>
      </c>
      <c r="I78" s="4">
        <f>H78+Sheet54!I78</f>
        <v>286.91268700000001</v>
      </c>
      <c r="J78" s="4">
        <f>I78+Sheet54!J78</f>
        <v>286.91268700000001</v>
      </c>
      <c r="K78" s="4">
        <f>J78+Sheet54!K78</f>
        <v>286.91268700000001</v>
      </c>
      <c r="L78" s="4">
        <f>K78+Sheet54!L78</f>
        <v>286.91268700000001</v>
      </c>
      <c r="M78" s="4">
        <f>L78+Sheet54!M78</f>
        <v>286.91268700000001</v>
      </c>
      <c r="N78" s="4">
        <f>M78+Sheet54!N78</f>
        <v>286.91268700000001</v>
      </c>
      <c r="O78" s="4">
        <f>N78+Sheet54!O78</f>
        <v>286.91268700000001</v>
      </c>
      <c r="P78" s="4">
        <f>O78+Sheet54!P78</f>
        <v>286.91268700000001</v>
      </c>
      <c r="Q78" s="4">
        <f>P78+Sheet54!Q78</f>
        <v>286.91268700000001</v>
      </c>
      <c r="R78" s="4">
        <f>Q78+Sheet54!R78</f>
        <v>286.91268700000001</v>
      </c>
      <c r="S78" s="4">
        <f>R78+Sheet54!S78</f>
        <v>286.91268700000001</v>
      </c>
      <c r="T78" s="4">
        <f>S78+Sheet54!T78</f>
        <v>286.91268700000001</v>
      </c>
      <c r="U78" s="4">
        <f>T78+Sheet54!U78</f>
        <v>286.91268700000001</v>
      </c>
      <c r="V78" s="4">
        <f>U78+Sheet54!V78</f>
        <v>286.91268700000001</v>
      </c>
      <c r="W78" s="4">
        <f>V78+Sheet54!W78</f>
        <v>286.91268700000001</v>
      </c>
      <c r="X78" s="4">
        <f>W78+Sheet54!X78</f>
        <v>286.91268700000001</v>
      </c>
      <c r="Y78" s="4">
        <f>X78+Sheet54!Y78</f>
        <v>286.91268700000001</v>
      </c>
      <c r="Z78" s="4">
        <f>Y78+Sheet54!Z78</f>
        <v>286.91268700000001</v>
      </c>
      <c r="AA78" s="4">
        <f>Z78+Sheet54!AA78</f>
        <v>286.91268700000001</v>
      </c>
      <c r="AB78" s="4">
        <f>AA78+Sheet54!AB78</f>
        <v>286.91268700000001</v>
      </c>
      <c r="AC78" s="4">
        <f>AB78+Sheet54!AC78</f>
        <v>286.91268700000001</v>
      </c>
      <c r="AD78" s="4">
        <f>AC78+Sheet54!AD78</f>
        <v>286.91268700000001</v>
      </c>
      <c r="AE78" s="4">
        <f>AD78+Sheet54!AE78</f>
        <v>286.91268700000001</v>
      </c>
      <c r="AF78" s="4">
        <f>AE78+Sheet54!AF78</f>
        <v>286.91268700000001</v>
      </c>
      <c r="AG78" s="4">
        <f>AF78+Sheet54!AG78</f>
        <v>286.91268700000001</v>
      </c>
      <c r="AH78" s="4">
        <f>AG78+Sheet54!AH78</f>
        <v>286.91268700000001</v>
      </c>
      <c r="AI78" s="4">
        <f>AH78+Sheet54!AI78</f>
        <v>286.91268700000001</v>
      </c>
      <c r="AJ78" s="4">
        <f>AI78+Sheet54!AJ78</f>
        <v>286.91268700000001</v>
      </c>
      <c r="AK78" s="5"/>
    </row>
    <row r="79" spans="1:37" ht="21" customHeight="1">
      <c r="A79" s="12"/>
      <c r="B79" s="14"/>
      <c r="C79" s="15"/>
      <c r="D79" s="22" t="s">
        <v>50</v>
      </c>
      <c r="E79" s="4">
        <v>-12.192686999999999</v>
      </c>
      <c r="F79" s="4">
        <f>E79+Sheet54!F79</f>
        <v>-12.192686999999999</v>
      </c>
      <c r="G79" s="4">
        <f>F79+Sheet54!G79</f>
        <v>-12.192686999999999</v>
      </c>
      <c r="H79" s="4">
        <f>G79+Sheet54!H79</f>
        <v>-12.192686999999999</v>
      </c>
      <c r="I79" s="4">
        <f>H79+Sheet54!I79</f>
        <v>-12.192686999999999</v>
      </c>
      <c r="J79" s="4">
        <f>I79+Sheet54!J79</f>
        <v>-3.728686999999999</v>
      </c>
      <c r="K79" s="4">
        <f>J79+Sheet54!K79</f>
        <v>-0.3686869999999991</v>
      </c>
      <c r="L79" s="4">
        <f>K79+Sheet54!L79</f>
        <v>-2.9286869999999992</v>
      </c>
      <c r="M79" s="4">
        <f>L79+Sheet54!M79</f>
        <v>-4.5126869999999997</v>
      </c>
      <c r="N79" s="4">
        <f>M79+Sheet54!N79</f>
        <v>-4.4326869999999996</v>
      </c>
      <c r="O79" s="4">
        <f>N79+Sheet54!O79</f>
        <v>-4.4326869999999996</v>
      </c>
      <c r="P79" s="4">
        <f>O79+Sheet54!P79</f>
        <v>-4.4326869999999996</v>
      </c>
      <c r="Q79" s="4">
        <f>P79+Sheet54!Q79</f>
        <v>0.81531300000000062</v>
      </c>
      <c r="R79" s="4">
        <f>Q79+Sheet54!R79</f>
        <v>-3.744686999999999</v>
      </c>
      <c r="S79" s="4">
        <f>R79+Sheet54!S79</f>
        <v>-6.1446869999999993</v>
      </c>
      <c r="T79" s="4">
        <f>S79+Sheet54!T79</f>
        <v>-8.0646869999999993</v>
      </c>
      <c r="U79" s="4">
        <f>T79+Sheet54!U79</f>
        <v>-11.120687</v>
      </c>
      <c r="V79" s="4">
        <f>U79+Sheet54!V79</f>
        <v>-11.120687</v>
      </c>
      <c r="W79" s="4">
        <f>V79+Sheet54!W79</f>
        <v>-11.120687</v>
      </c>
      <c r="X79" s="4">
        <f>W79+Sheet54!X79</f>
        <v>-15.936686999999999</v>
      </c>
      <c r="Y79" s="4">
        <f>X79+Sheet54!Y79</f>
        <v>-13.328686999999999</v>
      </c>
      <c r="Z79" s="4">
        <f>Y79+Sheet54!Z79</f>
        <v>-19.728687000000001</v>
      </c>
      <c r="AA79" s="4">
        <f>Z79+Sheet54!AA79</f>
        <v>-20.304687000000001</v>
      </c>
      <c r="AB79" s="4">
        <f>AA79+Sheet54!AB79</f>
        <v>-23.296687000000002</v>
      </c>
      <c r="AC79" s="4">
        <f>AB79+Sheet54!AC79</f>
        <v>-23.296687000000002</v>
      </c>
      <c r="AD79" s="4">
        <f>AC79+Sheet54!AD79</f>
        <v>-23.296687000000002</v>
      </c>
      <c r="AE79" s="4">
        <f>AD79+Sheet54!AE79</f>
        <v>-23.904687000000003</v>
      </c>
      <c r="AF79" s="4">
        <f>AE79+Sheet54!AF79</f>
        <v>-28.896687000000004</v>
      </c>
      <c r="AG79" s="4">
        <f>AF79+Sheet54!AG79</f>
        <v>-28.848687000000005</v>
      </c>
      <c r="AH79" s="4">
        <f>AG79+Sheet54!AH79</f>
        <v>-3.0406870000000055</v>
      </c>
      <c r="AI79" s="4">
        <f>AH79+Sheet54!AI79</f>
        <v>-13.296687000000006</v>
      </c>
      <c r="AJ79" s="4">
        <f>AI79+Sheet54!AJ79</f>
        <v>-13.296687000000006</v>
      </c>
      <c r="AK79" s="5"/>
    </row>
    <row r="80" spans="1:37" ht="21" customHeight="1">
      <c r="A80" s="12"/>
      <c r="B80" s="14"/>
      <c r="C80" s="15"/>
      <c r="D80" s="21" t="s">
        <v>51</v>
      </c>
      <c r="E80" s="4">
        <v>0</v>
      </c>
      <c r="F80" s="4">
        <f>Sheet54!F80</f>
        <v>0</v>
      </c>
      <c r="G80" s="4">
        <f>Sheet54!G80</f>
        <v>0</v>
      </c>
      <c r="H80" s="4">
        <f>Sheet54!H80</f>
        <v>0</v>
      </c>
      <c r="I80" s="4">
        <f>Sheet54!I80</f>
        <v>0</v>
      </c>
      <c r="J80" s="4">
        <f>Sheet54!J80</f>
        <v>8.4640000000000004</v>
      </c>
      <c r="K80" s="4">
        <f>Sheet54!K80</f>
        <v>3.36</v>
      </c>
      <c r="L80" s="4">
        <f>Sheet54!L80</f>
        <v>-2.56</v>
      </c>
      <c r="M80" s="4">
        <f>Sheet54!M80</f>
        <v>-1.5840000000000001</v>
      </c>
      <c r="N80" s="4">
        <f>Sheet54!N80</f>
        <v>0.08</v>
      </c>
      <c r="O80" s="4">
        <f>Sheet54!O80</f>
        <v>0</v>
      </c>
      <c r="P80" s="4">
        <f>Sheet54!P80</f>
        <v>0</v>
      </c>
      <c r="Q80" s="4">
        <f>Sheet54!Q80</f>
        <v>5.2480000000000002</v>
      </c>
      <c r="R80" s="4">
        <f>Sheet54!R80</f>
        <v>-4.5599999999999996</v>
      </c>
      <c r="S80" s="4">
        <f>Sheet54!S80</f>
        <v>-2.4</v>
      </c>
      <c r="T80" s="4">
        <f>Sheet54!T80</f>
        <v>-1.92</v>
      </c>
      <c r="U80" s="4">
        <f>Sheet54!U80</f>
        <v>-3.056</v>
      </c>
      <c r="V80" s="4">
        <f>Sheet54!V80</f>
        <v>0</v>
      </c>
      <c r="W80" s="4">
        <f>Sheet54!W80</f>
        <v>0</v>
      </c>
      <c r="X80" s="4">
        <f>Sheet54!X80</f>
        <v>-4.8159999999999998</v>
      </c>
      <c r="Y80" s="4">
        <f>Sheet54!Y80</f>
        <v>2.6080000000000001</v>
      </c>
      <c r="Z80" s="4">
        <f>Sheet54!Z80</f>
        <v>-6.4</v>
      </c>
      <c r="AA80" s="4">
        <f>Sheet54!AA80</f>
        <v>-0.57599999999999996</v>
      </c>
      <c r="AB80" s="4">
        <f>Sheet54!AB80</f>
        <v>-2.992</v>
      </c>
      <c r="AC80" s="4">
        <f>Sheet54!AC80</f>
        <v>0</v>
      </c>
      <c r="AD80" s="4">
        <f>Sheet54!AD80</f>
        <v>0</v>
      </c>
      <c r="AE80" s="4">
        <f>Sheet54!AE80</f>
        <v>-0.60799999999999998</v>
      </c>
      <c r="AF80" s="4">
        <f>Sheet54!AF80</f>
        <v>-4.992</v>
      </c>
      <c r="AG80" s="4">
        <f>Sheet54!AG80</f>
        <v>4.8000000000000001E-2</v>
      </c>
      <c r="AH80" s="4">
        <f>Sheet54!AH80</f>
        <v>25.808</v>
      </c>
      <c r="AI80" s="4">
        <f>Sheet54!AI80</f>
        <v>-10.256</v>
      </c>
      <c r="AJ80" s="4">
        <f>Sheet54!AJ80</f>
        <v>0</v>
      </c>
      <c r="AK80" s="5"/>
    </row>
    <row r="81" spans="1:37" ht="21" customHeight="1">
      <c r="A81" s="12"/>
      <c r="B81" s="14"/>
      <c r="C81" s="15" t="s">
        <v>77</v>
      </c>
      <c r="D81" s="22" t="s">
        <v>40</v>
      </c>
      <c r="E81" s="4">
        <v>115.339173</v>
      </c>
      <c r="F81" s="4">
        <f>E81+Sheet54!F81</f>
        <v>115.339173</v>
      </c>
      <c r="G81" s="4">
        <f>F81+Sheet54!G81</f>
        <v>115.339173</v>
      </c>
      <c r="H81" s="4">
        <f>G81+Sheet54!H81</f>
        <v>115.339173</v>
      </c>
      <c r="I81" s="4">
        <f>H81+Sheet54!I81</f>
        <v>115.339173</v>
      </c>
      <c r="J81" s="4">
        <f>I81+Sheet54!J81</f>
        <v>115.339173</v>
      </c>
      <c r="K81" s="4">
        <f>J81+Sheet54!K81</f>
        <v>115.339173</v>
      </c>
      <c r="L81" s="4">
        <f>K81+Sheet54!L81</f>
        <v>115.339173</v>
      </c>
      <c r="M81" s="4">
        <f>L81+Sheet54!M81</f>
        <v>115.339173</v>
      </c>
      <c r="N81" s="4">
        <f>M81+Sheet54!N81</f>
        <v>115.339173</v>
      </c>
      <c r="O81" s="4">
        <f>N81+Sheet54!O81</f>
        <v>115.339173</v>
      </c>
      <c r="P81" s="4">
        <f>O81+Sheet54!P81</f>
        <v>115.339173</v>
      </c>
      <c r="Q81" s="4">
        <f>P81+Sheet54!Q81</f>
        <v>115.339173</v>
      </c>
      <c r="R81" s="4">
        <f>Q81+Sheet54!R81</f>
        <v>115.339173</v>
      </c>
      <c r="S81" s="4">
        <f>R81+Sheet54!S81</f>
        <v>115.339173</v>
      </c>
      <c r="T81" s="4">
        <f>S81+Sheet54!T81</f>
        <v>115.339173</v>
      </c>
      <c r="U81" s="4">
        <f>T81+Sheet54!U81</f>
        <v>115.339173</v>
      </c>
      <c r="V81" s="4">
        <f>U81+Sheet54!V81</f>
        <v>115.339173</v>
      </c>
      <c r="W81" s="4">
        <f>V81+Sheet54!W81</f>
        <v>115.339173</v>
      </c>
      <c r="X81" s="4">
        <f>W81+Sheet54!X81</f>
        <v>115.339173</v>
      </c>
      <c r="Y81" s="4">
        <f>X81+Sheet54!Y81</f>
        <v>115.339173</v>
      </c>
      <c r="Z81" s="4">
        <f>Y81+Sheet54!Z81</f>
        <v>115.339173</v>
      </c>
      <c r="AA81" s="4">
        <f>Z81+Sheet54!AA81</f>
        <v>115.339173</v>
      </c>
      <c r="AB81" s="4">
        <f>AA81+Sheet54!AB81</f>
        <v>115.339173</v>
      </c>
      <c r="AC81" s="4">
        <f>AB81+Sheet54!AC81</f>
        <v>115.339173</v>
      </c>
      <c r="AD81" s="4">
        <f>AC81+Sheet54!AD81</f>
        <v>115.339173</v>
      </c>
      <c r="AE81" s="4">
        <f>AD81+Sheet54!AE81</f>
        <v>0</v>
      </c>
      <c r="AF81" s="4">
        <f>AE81+Sheet54!AF81</f>
        <v>0</v>
      </c>
      <c r="AG81" s="4">
        <f>AF81+Sheet54!AG81</f>
        <v>0</v>
      </c>
      <c r="AH81" s="4">
        <f>AG81+Sheet54!AH81</f>
        <v>0</v>
      </c>
      <c r="AI81" s="4">
        <f>AH81+Sheet54!AI81</f>
        <v>0</v>
      </c>
      <c r="AJ81" s="4">
        <f>AI81+Sheet54!AJ81</f>
        <v>0</v>
      </c>
      <c r="AK81" s="5"/>
    </row>
    <row r="82" spans="1:37" ht="21" customHeight="1">
      <c r="A82" s="12"/>
      <c r="B82" s="14"/>
      <c r="C82" s="15"/>
      <c r="D82" s="22" t="s">
        <v>50</v>
      </c>
      <c r="E82" s="4">
        <v>-13.215052999999999</v>
      </c>
      <c r="F82" s="4">
        <f>E82+Sheet54!F82</f>
        <v>-13.215052999999999</v>
      </c>
      <c r="G82" s="4">
        <f>F82+Sheet54!G82</f>
        <v>-13.215052999999999</v>
      </c>
      <c r="H82" s="4">
        <f>G82+Sheet54!H82</f>
        <v>-13.215052999999999</v>
      </c>
      <c r="I82" s="4">
        <f>H82+Sheet54!I82</f>
        <v>-13.215052999999999</v>
      </c>
      <c r="J82" s="4">
        <f>I82+Sheet54!J82</f>
        <v>-10.772122999999999</v>
      </c>
      <c r="K82" s="4">
        <f>J82+Sheet54!K82</f>
        <v>-9.9930929999999982</v>
      </c>
      <c r="L82" s="4">
        <f>K82+Sheet54!L82</f>
        <v>-9.0617129999999975</v>
      </c>
      <c r="M82" s="4">
        <f>L82+Sheet54!M82</f>
        <v>-8.8059229999999982</v>
      </c>
      <c r="N82" s="4">
        <f>M82+Sheet54!N82</f>
        <v>-8.6493929999999981</v>
      </c>
      <c r="O82" s="4">
        <f>N82+Sheet54!O82</f>
        <v>-8.6493929999999981</v>
      </c>
      <c r="P82" s="4">
        <f>O82+Sheet54!P82</f>
        <v>-8.6493929999999981</v>
      </c>
      <c r="Q82" s="4">
        <f>P82+Sheet54!Q82</f>
        <v>-9.1210129999999978</v>
      </c>
      <c r="R82" s="4">
        <f>Q82+Sheet54!R82</f>
        <v>-8.6730429999999981</v>
      </c>
      <c r="S82" s="4">
        <f>R82+Sheet54!S82</f>
        <v>-8.5836329999999972</v>
      </c>
      <c r="T82" s="4">
        <f>S82+Sheet54!T82</f>
        <v>-9.1976329999999979</v>
      </c>
      <c r="U82" s="4">
        <f>T82+Sheet54!U82</f>
        <v>-9.3700729999999979</v>
      </c>
      <c r="V82" s="4">
        <f>U82+Sheet54!V82</f>
        <v>-9.3700729999999979</v>
      </c>
      <c r="W82" s="4">
        <f>V82+Sheet54!W82</f>
        <v>-9.3700729999999979</v>
      </c>
      <c r="X82" s="4">
        <f>W82+Sheet54!X82</f>
        <v>-10.745452999999998</v>
      </c>
      <c r="Y82" s="4">
        <f>X82+Sheet54!Y82</f>
        <v>-9.0424229999999977</v>
      </c>
      <c r="Z82" s="4">
        <f>Y82+Sheet54!Z82</f>
        <v>-9.6845729999999968</v>
      </c>
      <c r="AA82" s="4">
        <f>Z82+Sheet54!AA82</f>
        <v>-9.542372999999996</v>
      </c>
      <c r="AB82" s="4">
        <f>AA82+Sheet54!AB82</f>
        <v>-8.4056929999999959</v>
      </c>
      <c r="AC82" s="4">
        <f>AB82+Sheet54!AC82</f>
        <v>-8.4056929999999959</v>
      </c>
      <c r="AD82" s="4">
        <f>AC82+Sheet54!AD82</f>
        <v>-8.4056929999999959</v>
      </c>
      <c r="AE82" s="4">
        <f>AD82+Sheet54!AE82</f>
        <v>0</v>
      </c>
      <c r="AF82" s="4">
        <f>AE82+Sheet54!AF82</f>
        <v>0</v>
      </c>
      <c r="AG82" s="4">
        <f>AF82+Sheet54!AG82</f>
        <v>0</v>
      </c>
      <c r="AH82" s="4">
        <f>AG82+Sheet54!AH82</f>
        <v>0</v>
      </c>
      <c r="AI82" s="4">
        <f>AH82+Sheet54!AI82</f>
        <v>0</v>
      </c>
      <c r="AJ82" s="4">
        <f>AI82+Sheet54!AJ82</f>
        <v>0</v>
      </c>
      <c r="AK82" s="5"/>
    </row>
    <row r="83" spans="1:37" ht="21" customHeight="1">
      <c r="A83" s="12"/>
      <c r="B83" s="14"/>
      <c r="C83" s="15"/>
      <c r="D83" s="21" t="s">
        <v>51</v>
      </c>
      <c r="E83" s="4">
        <v>0</v>
      </c>
      <c r="F83" s="4">
        <f>Sheet54!F83</f>
        <v>0</v>
      </c>
      <c r="G83" s="4">
        <f>Sheet54!G83</f>
        <v>0</v>
      </c>
      <c r="H83" s="4">
        <f>Sheet54!H83</f>
        <v>0</v>
      </c>
      <c r="I83" s="4">
        <f>Sheet54!I83</f>
        <v>0</v>
      </c>
      <c r="J83" s="4">
        <f>Sheet54!J83</f>
        <v>2.44293</v>
      </c>
      <c r="K83" s="4">
        <f>Sheet54!K83</f>
        <v>0.77903</v>
      </c>
      <c r="L83" s="4">
        <f>Sheet54!L83</f>
        <v>0.93137999999999999</v>
      </c>
      <c r="M83" s="4">
        <f>Sheet54!M83</f>
        <v>0.25579000000000002</v>
      </c>
      <c r="N83" s="4">
        <f>Sheet54!N83</f>
        <v>0.15653</v>
      </c>
      <c r="O83" s="4">
        <f>Sheet54!O83</f>
        <v>0</v>
      </c>
      <c r="P83" s="4">
        <f>Sheet54!P83</f>
        <v>0</v>
      </c>
      <c r="Q83" s="4">
        <f>Sheet54!Q83</f>
        <v>-0.47161999999999998</v>
      </c>
      <c r="R83" s="4">
        <f>Sheet54!R83</f>
        <v>0.44796999999999998</v>
      </c>
      <c r="S83" s="4">
        <f>Sheet54!S83</f>
        <v>8.9410000000000003E-2</v>
      </c>
      <c r="T83" s="4">
        <f>Sheet54!T83</f>
        <v>-0.61399999999999999</v>
      </c>
      <c r="U83" s="4">
        <f>Sheet54!U83</f>
        <v>-0.17244000000000001</v>
      </c>
      <c r="V83" s="4">
        <f>Sheet54!V83</f>
        <v>0</v>
      </c>
      <c r="W83" s="4">
        <f>Sheet54!W83</f>
        <v>0</v>
      </c>
      <c r="X83" s="4">
        <f>Sheet54!X83</f>
        <v>-1.37538</v>
      </c>
      <c r="Y83" s="4">
        <f>Sheet54!Y83</f>
        <v>1.70303</v>
      </c>
      <c r="Z83" s="4">
        <f>Sheet54!Z83</f>
        <v>-0.64215</v>
      </c>
      <c r="AA83" s="4">
        <f>Sheet54!AA83</f>
        <v>0.14219999999999999</v>
      </c>
      <c r="AB83" s="4">
        <f>Sheet54!AB83</f>
        <v>1.1366799999999999</v>
      </c>
      <c r="AC83" s="4">
        <f>Sheet54!AC83</f>
        <v>0</v>
      </c>
      <c r="AD83" s="4">
        <f>Sheet54!AD83</f>
        <v>0</v>
      </c>
      <c r="AE83" s="4">
        <f>Sheet54!AE83</f>
        <v>8.4056929999999994</v>
      </c>
      <c r="AF83" s="4">
        <f>Sheet54!AF83</f>
        <v>0</v>
      </c>
      <c r="AG83" s="4">
        <f>Sheet54!AG83</f>
        <v>0</v>
      </c>
      <c r="AH83" s="4">
        <f>Sheet54!AH83</f>
        <v>0</v>
      </c>
      <c r="AI83" s="4">
        <f>Sheet54!AI83</f>
        <v>0</v>
      </c>
      <c r="AJ83" s="4">
        <f>Sheet54!AJ83</f>
        <v>0</v>
      </c>
      <c r="AK83" s="5"/>
    </row>
    <row r="84" spans="1:37" ht="21" customHeight="1">
      <c r="A84" s="12"/>
      <c r="B84" s="14"/>
      <c r="C84" s="15"/>
      <c r="D84" s="21" t="s">
        <v>58</v>
      </c>
      <c r="E84" s="4">
        <v>0</v>
      </c>
      <c r="F84" s="4">
        <f>Sheet54!F84</f>
        <v>0</v>
      </c>
      <c r="G84" s="4">
        <f>Sheet54!G84</f>
        <v>0</v>
      </c>
      <c r="H84" s="4">
        <f>Sheet54!H84</f>
        <v>0</v>
      </c>
      <c r="I84" s="4">
        <f>Sheet54!I84</f>
        <v>0</v>
      </c>
      <c r="J84" s="4">
        <f>Sheet54!J84</f>
        <v>0</v>
      </c>
      <c r="K84" s="4">
        <f>Sheet54!K84</f>
        <v>0</v>
      </c>
      <c r="L84" s="4">
        <f>Sheet54!L84</f>
        <v>0</v>
      </c>
      <c r="M84" s="4">
        <f>Sheet54!M84</f>
        <v>0</v>
      </c>
      <c r="N84" s="4">
        <f>Sheet54!N84</f>
        <v>0</v>
      </c>
      <c r="O84" s="4">
        <f>Sheet54!O84</f>
        <v>0</v>
      </c>
      <c r="P84" s="4">
        <f>Sheet54!P84</f>
        <v>0</v>
      </c>
      <c r="Q84" s="4">
        <f>Sheet54!Q84</f>
        <v>0</v>
      </c>
      <c r="R84" s="4">
        <f>Sheet54!R84</f>
        <v>0</v>
      </c>
      <c r="S84" s="4">
        <f>Sheet54!S84</f>
        <v>0</v>
      </c>
      <c r="T84" s="4">
        <f>Sheet54!T84</f>
        <v>0</v>
      </c>
      <c r="U84" s="4">
        <f>Sheet54!U84</f>
        <v>0</v>
      </c>
      <c r="V84" s="4">
        <f>Sheet54!V84</f>
        <v>0</v>
      </c>
      <c r="W84" s="4">
        <f>Sheet54!W84</f>
        <v>0</v>
      </c>
      <c r="X84" s="4">
        <f>Sheet54!X84</f>
        <v>0</v>
      </c>
      <c r="Y84" s="4">
        <f>Sheet54!Y84</f>
        <v>0</v>
      </c>
      <c r="Z84" s="4">
        <f>Sheet54!Z84</f>
        <v>0</v>
      </c>
      <c r="AA84" s="4">
        <f>Sheet54!AA84</f>
        <v>0</v>
      </c>
      <c r="AB84" s="4">
        <f>Sheet54!AB84</f>
        <v>0</v>
      </c>
      <c r="AC84" s="4">
        <f>Sheet54!AC84</f>
        <v>0</v>
      </c>
      <c r="AD84" s="4">
        <f>Sheet54!AD84</f>
        <v>0</v>
      </c>
      <c r="AE84" s="4">
        <f>Sheet54!AE84</f>
        <v>-7.8039209999999999</v>
      </c>
      <c r="AF84" s="4">
        <f>Sheet54!AF84</f>
        <v>0</v>
      </c>
      <c r="AG84" s="4">
        <f>Sheet54!AG84</f>
        <v>0</v>
      </c>
      <c r="AH84" s="4">
        <f>Sheet54!AH84</f>
        <v>0</v>
      </c>
      <c r="AI84" s="4">
        <f>Sheet54!AI84</f>
        <v>0</v>
      </c>
      <c r="AJ84" s="4">
        <f>Sheet54!AJ84</f>
        <v>0</v>
      </c>
      <c r="AK84" s="5"/>
    </row>
    <row r="85" spans="1:37" ht="21" customHeight="1">
      <c r="A85" s="12"/>
      <c r="B85" s="14"/>
      <c r="C85" s="15"/>
      <c r="D85" s="22" t="s">
        <v>37</v>
      </c>
      <c r="E85" s="4">
        <v>1.2</v>
      </c>
      <c r="F85" s="4">
        <f>E85+Sheet54!F85</f>
        <v>1.2</v>
      </c>
      <c r="G85" s="4">
        <f>F85+Sheet54!G85</f>
        <v>1.2</v>
      </c>
      <c r="H85" s="4">
        <f>G85+Sheet54!H85</f>
        <v>1.2</v>
      </c>
      <c r="I85" s="4">
        <f>H85+Sheet54!I85</f>
        <v>1.2</v>
      </c>
      <c r="J85" s="4">
        <f>I85+Sheet54!J85</f>
        <v>1.2</v>
      </c>
      <c r="K85" s="4">
        <f>J85+Sheet54!K85</f>
        <v>1.2</v>
      </c>
      <c r="L85" s="4">
        <f>K85+Sheet54!L85</f>
        <v>1.2</v>
      </c>
      <c r="M85" s="4">
        <f>L85+Sheet54!M85</f>
        <v>1.2</v>
      </c>
      <c r="N85" s="4">
        <f>M85+Sheet54!N85</f>
        <v>1.2</v>
      </c>
      <c r="O85" s="4">
        <f>N85+Sheet54!O85</f>
        <v>1.2</v>
      </c>
      <c r="P85" s="4">
        <f>O85+Sheet54!P85</f>
        <v>1.2</v>
      </c>
      <c r="Q85" s="4">
        <f>P85+Sheet54!Q85</f>
        <v>1.2</v>
      </c>
      <c r="R85" s="4">
        <f>Q85+Sheet54!R85</f>
        <v>1.2</v>
      </c>
      <c r="S85" s="4">
        <f>R85+Sheet54!S85</f>
        <v>1.2</v>
      </c>
      <c r="T85" s="4">
        <f>S85+Sheet54!T85</f>
        <v>1.2</v>
      </c>
      <c r="U85" s="4">
        <f>T85+Sheet54!U85</f>
        <v>1.2</v>
      </c>
      <c r="V85" s="4">
        <f>U85+Sheet54!V85</f>
        <v>1.2</v>
      </c>
      <c r="W85" s="4">
        <f>V85+Sheet54!W85</f>
        <v>1.2</v>
      </c>
      <c r="X85" s="4">
        <f>W85+Sheet54!X85</f>
        <v>1.2</v>
      </c>
      <c r="Y85" s="4">
        <f>X85+Sheet54!Y85</f>
        <v>1.2</v>
      </c>
      <c r="Z85" s="4">
        <f>Y85+Sheet54!Z85</f>
        <v>1.2</v>
      </c>
      <c r="AA85" s="4">
        <f>Z85+Sheet54!AA85</f>
        <v>1.2</v>
      </c>
      <c r="AB85" s="4">
        <f>AA85+Sheet54!AB85</f>
        <v>1.2</v>
      </c>
      <c r="AC85" s="4">
        <f>AB85+Sheet54!AC85</f>
        <v>1.2</v>
      </c>
      <c r="AD85" s="4">
        <f>AC85+Sheet54!AD85</f>
        <v>1.2</v>
      </c>
      <c r="AE85" s="4">
        <f>AD85+Sheet54!AE85</f>
        <v>1.2</v>
      </c>
      <c r="AF85" s="4">
        <f>AE85+Sheet54!AF85</f>
        <v>1.2</v>
      </c>
      <c r="AG85" s="4">
        <f>AF85+Sheet54!AG85</f>
        <v>1.2</v>
      </c>
      <c r="AH85" s="4">
        <f>AG85+Sheet54!AH85</f>
        <v>1.2</v>
      </c>
      <c r="AI85" s="4">
        <f>AH85+Sheet54!AI85</f>
        <v>1.2</v>
      </c>
      <c r="AJ85" s="4">
        <f>AI85+Sheet54!AJ85</f>
        <v>1.2</v>
      </c>
      <c r="AK85" s="5"/>
    </row>
    <row r="86" spans="1:37" ht="21" customHeight="1">
      <c r="A86" s="12"/>
      <c r="B86" s="14"/>
      <c r="C86" s="3" t="s">
        <v>78</v>
      </c>
      <c r="D86" s="21" t="s">
        <v>79</v>
      </c>
      <c r="E86" s="4">
        <v>0</v>
      </c>
      <c r="F86" s="4">
        <f>Sheet54!F86</f>
        <v>0</v>
      </c>
      <c r="G86" s="4">
        <f>Sheet54!G86</f>
        <v>0</v>
      </c>
      <c r="H86" s="4">
        <f>Sheet54!H86</f>
        <v>0</v>
      </c>
      <c r="I86" s="4">
        <f>Sheet54!I86</f>
        <v>0</v>
      </c>
      <c r="J86" s="4">
        <f>Sheet54!J86</f>
        <v>-1.5455E-2</v>
      </c>
      <c r="K86" s="4">
        <f>Sheet54!K86</f>
        <v>-3.1229999999999999E-3</v>
      </c>
      <c r="L86" s="4">
        <f>Sheet54!L86</f>
        <v>-3.1410000000000001E-3</v>
      </c>
      <c r="M86" s="4">
        <f>Sheet54!M86</f>
        <v>-3.1329999999999999E-3</v>
      </c>
      <c r="N86" s="4">
        <f>Sheet54!N86</f>
        <v>-3.101E-3</v>
      </c>
      <c r="O86" s="4">
        <f>Sheet54!O86</f>
        <v>0</v>
      </c>
      <c r="P86" s="4">
        <f>Sheet54!P86</f>
        <v>0</v>
      </c>
      <c r="Q86" s="4">
        <f>Sheet54!Q86</f>
        <v>-9.3209999999999994E-3</v>
      </c>
      <c r="R86" s="4">
        <f>Sheet54!R86</f>
        <v>-3.1199999999999999E-3</v>
      </c>
      <c r="S86" s="4">
        <f>Sheet54!S86</f>
        <v>-3.1280000000000001E-3</v>
      </c>
      <c r="T86" s="4">
        <f>Sheet54!T86</f>
        <v>-3.1319999999999998E-3</v>
      </c>
      <c r="U86" s="4">
        <f>Sheet54!U86</f>
        <v>-3.1340000000000001E-3</v>
      </c>
      <c r="V86" s="4">
        <f>Sheet54!V86</f>
        <v>0</v>
      </c>
      <c r="W86" s="4">
        <f>Sheet54!W86</f>
        <v>0</v>
      </c>
      <c r="X86" s="4">
        <f>Sheet54!X86</f>
        <v>-9.3539999999999995E-3</v>
      </c>
      <c r="Y86" s="4">
        <f>Sheet54!Y86</f>
        <v>-3.1059999999999998E-3</v>
      </c>
      <c r="Z86" s="4">
        <f>Sheet54!Z86</f>
        <v>-3.1210000000000001E-3</v>
      </c>
      <c r="AA86" s="4">
        <f>Sheet54!AA86</f>
        <v>-3.1029999999999999E-3</v>
      </c>
      <c r="AB86" s="4">
        <f>Sheet54!AB86</f>
        <v>-3.088E-3</v>
      </c>
      <c r="AC86" s="4">
        <f>Sheet54!AC86</f>
        <v>0</v>
      </c>
      <c r="AD86" s="4">
        <f>Sheet54!AD86</f>
        <v>0</v>
      </c>
      <c r="AE86" s="4">
        <f>Sheet54!AE86</f>
        <v>-9.2519999999999998E-3</v>
      </c>
      <c r="AF86" s="4">
        <f>Sheet54!AF86</f>
        <v>-3.1480000000000002E-3</v>
      </c>
      <c r="AG86" s="4">
        <f>Sheet54!AG86</f>
        <v>-3.1879999999999999E-3</v>
      </c>
      <c r="AH86" s="4">
        <f>Sheet54!AH86</f>
        <v>-3.2330000000000002E-3</v>
      </c>
      <c r="AI86" s="4">
        <f>Sheet54!AI86</f>
        <v>-3.2629999999999998E-3</v>
      </c>
      <c r="AJ86" s="4">
        <f>Sheet54!AJ86</f>
        <v>0</v>
      </c>
      <c r="AK86" s="5"/>
    </row>
    <row r="87" spans="1:37" ht="21" customHeight="1">
      <c r="A87" s="12"/>
      <c r="B87" s="14"/>
      <c r="C87" s="15" t="s">
        <v>80</v>
      </c>
      <c r="D87" s="22" t="s">
        <v>40</v>
      </c>
      <c r="E87" s="4">
        <v>368.76612899999998</v>
      </c>
      <c r="F87" s="4">
        <f>E87+Sheet54!F87</f>
        <v>368.76612899999998</v>
      </c>
      <c r="G87" s="4">
        <f>F87+Sheet54!G87</f>
        <v>368.76612899999998</v>
      </c>
      <c r="H87" s="4">
        <f>G87+Sheet54!H87</f>
        <v>368.76612899999998</v>
      </c>
      <c r="I87" s="4">
        <f>H87+Sheet54!I87</f>
        <v>368.76612899999998</v>
      </c>
      <c r="J87" s="4">
        <f>I87+Sheet54!J87</f>
        <v>368.76612899999998</v>
      </c>
      <c r="K87" s="4">
        <f>J87+Sheet54!K87</f>
        <v>368.76612899999998</v>
      </c>
      <c r="L87" s="4">
        <f>K87+Sheet54!L87</f>
        <v>368.76612899999998</v>
      </c>
      <c r="M87" s="4">
        <f>L87+Sheet54!M87</f>
        <v>368.76612899999998</v>
      </c>
      <c r="N87" s="4">
        <f>M87+Sheet54!N87</f>
        <v>368.76612899999998</v>
      </c>
      <c r="O87" s="4">
        <f>N87+Sheet54!O87</f>
        <v>368.76612899999998</v>
      </c>
      <c r="P87" s="4">
        <f>O87+Sheet54!P87</f>
        <v>368.76612899999998</v>
      </c>
      <c r="Q87" s="4">
        <f>P87+Sheet54!Q87</f>
        <v>368.76612899999998</v>
      </c>
      <c r="R87" s="4">
        <f>Q87+Sheet54!R87</f>
        <v>368.76612899999998</v>
      </c>
      <c r="S87" s="4">
        <f>R87+Sheet54!S87</f>
        <v>368.76612899999998</v>
      </c>
      <c r="T87" s="4">
        <f>S87+Sheet54!T87</f>
        <v>368.76612899999998</v>
      </c>
      <c r="U87" s="4">
        <f>T87+Sheet54!U87</f>
        <v>368.76612899999998</v>
      </c>
      <c r="V87" s="4">
        <f>U87+Sheet54!V87</f>
        <v>368.76612899999998</v>
      </c>
      <c r="W87" s="4">
        <f>V87+Sheet54!W87</f>
        <v>368.76612899999998</v>
      </c>
      <c r="X87" s="4">
        <f>W87+Sheet54!X87</f>
        <v>368.76612899999998</v>
      </c>
      <c r="Y87" s="4">
        <f>X87+Sheet54!Y87</f>
        <v>368.76612899999998</v>
      </c>
      <c r="Z87" s="4">
        <f>Y87+Sheet54!Z87</f>
        <v>368.76612899999998</v>
      </c>
      <c r="AA87" s="4">
        <f>Z87+Sheet54!AA87</f>
        <v>368.76612899999998</v>
      </c>
      <c r="AB87" s="4">
        <f>AA87+Sheet54!AB87</f>
        <v>368.76612899999998</v>
      </c>
      <c r="AC87" s="4">
        <f>AB87+Sheet54!AC87</f>
        <v>368.76612899999998</v>
      </c>
      <c r="AD87" s="4">
        <f>AC87+Sheet54!AD87</f>
        <v>368.76612899999998</v>
      </c>
      <c r="AE87" s="4">
        <f>AD87+Sheet54!AE87</f>
        <v>368.76612899999998</v>
      </c>
      <c r="AF87" s="4">
        <f>AE87+Sheet54!AF87</f>
        <v>368.76612899999998</v>
      </c>
      <c r="AG87" s="4">
        <f>AF87+Sheet54!AG87</f>
        <v>368.76612899999998</v>
      </c>
      <c r="AH87" s="4">
        <f>AG87+Sheet54!AH87</f>
        <v>368.76612899999998</v>
      </c>
      <c r="AI87" s="4">
        <f>AH87+Sheet54!AI87</f>
        <v>368.76612899999998</v>
      </c>
      <c r="AJ87" s="4">
        <f>AI87+Sheet54!AJ87</f>
        <v>368.76612899999998</v>
      </c>
      <c r="AK87" s="5"/>
    </row>
    <row r="88" spans="1:37" ht="21" customHeight="1">
      <c r="A88" s="12"/>
      <c r="B88" s="14"/>
      <c r="C88" s="15"/>
      <c r="D88" s="22" t="s">
        <v>50</v>
      </c>
      <c r="E88" s="4">
        <v>-35.202548999999998</v>
      </c>
      <c r="F88" s="4">
        <f>E88+Sheet54!F88</f>
        <v>-35.202548999999998</v>
      </c>
      <c r="G88" s="4">
        <f>F88+Sheet54!G88</f>
        <v>-35.202548999999998</v>
      </c>
      <c r="H88" s="4">
        <f>G88+Sheet54!H88</f>
        <v>-35.202548999999998</v>
      </c>
      <c r="I88" s="4">
        <f>H88+Sheet54!I88</f>
        <v>-35.202548999999998</v>
      </c>
      <c r="J88" s="4">
        <f>I88+Sheet54!J88</f>
        <v>-32.523578999999998</v>
      </c>
      <c r="K88" s="4">
        <f>J88+Sheet54!K88</f>
        <v>-22.001948999999996</v>
      </c>
      <c r="L88" s="4">
        <f>K88+Sheet54!L88</f>
        <v>-26.276708999999997</v>
      </c>
      <c r="M88" s="4">
        <f>L88+Sheet54!M88</f>
        <v>-34.537128999999993</v>
      </c>
      <c r="N88" s="4">
        <f>M88+Sheet54!N88</f>
        <v>-35.170208999999993</v>
      </c>
      <c r="O88" s="4">
        <f>N88+Sheet54!O88</f>
        <v>-35.170208999999993</v>
      </c>
      <c r="P88" s="4">
        <f>O88+Sheet54!P88</f>
        <v>-35.170208999999993</v>
      </c>
      <c r="Q88" s="4">
        <f>P88+Sheet54!Q88</f>
        <v>-35.871608999999992</v>
      </c>
      <c r="R88" s="4">
        <f>Q88+Sheet54!R88</f>
        <v>-39.558508999999994</v>
      </c>
      <c r="S88" s="4">
        <f>R88+Sheet54!S88</f>
        <v>-38.306768999999996</v>
      </c>
      <c r="T88" s="4">
        <f>S88+Sheet54!T88</f>
        <v>-36.391988999999995</v>
      </c>
      <c r="U88" s="4">
        <f>T88+Sheet54!U88</f>
        <v>-39.779428999999993</v>
      </c>
      <c r="V88" s="4">
        <f>U88+Sheet54!V88</f>
        <v>-39.779428999999993</v>
      </c>
      <c r="W88" s="4">
        <f>V88+Sheet54!W88</f>
        <v>-39.779428999999993</v>
      </c>
      <c r="X88" s="4">
        <f>W88+Sheet54!X88</f>
        <v>-43.016088999999994</v>
      </c>
      <c r="Y88" s="4">
        <f>X88+Sheet54!Y88</f>
        <v>-42.021878999999991</v>
      </c>
      <c r="Z88" s="4">
        <f>Y88+Sheet54!Z88</f>
        <v>-46.72020899999999</v>
      </c>
      <c r="AA88" s="4">
        <f>Z88+Sheet54!AA88</f>
        <v>-41.912048999999989</v>
      </c>
      <c r="AB88" s="4">
        <f>AA88+Sheet54!AB88</f>
        <v>-51.357568999999991</v>
      </c>
      <c r="AC88" s="4">
        <f>AB88+Sheet54!AC88</f>
        <v>-51.357568999999991</v>
      </c>
      <c r="AD88" s="4">
        <f>AC88+Sheet54!AD88</f>
        <v>-51.357568999999991</v>
      </c>
      <c r="AE88" s="4">
        <f>AD88+Sheet54!AE88</f>
        <v>-56.321128999999992</v>
      </c>
      <c r="AF88" s="4">
        <f>AE88+Sheet54!AF88</f>
        <v>-55.941728999999995</v>
      </c>
      <c r="AG88" s="4">
        <f>AF88+Sheet54!AG88</f>
        <v>-54.139088999999998</v>
      </c>
      <c r="AH88" s="4">
        <f>AG88+Sheet54!AH88</f>
        <v>-38.138978999999999</v>
      </c>
      <c r="AI88" s="4">
        <f>AH88+Sheet54!AI88</f>
        <v>-48.724029000000002</v>
      </c>
      <c r="AJ88" s="4">
        <f>AI88+Sheet54!AJ88</f>
        <v>-48.724029000000002</v>
      </c>
      <c r="AK88" s="5"/>
    </row>
    <row r="89" spans="1:37" ht="21" customHeight="1">
      <c r="A89" s="12"/>
      <c r="B89" s="14"/>
      <c r="C89" s="15"/>
      <c r="D89" s="21" t="s">
        <v>51</v>
      </c>
      <c r="E89" s="4">
        <v>0</v>
      </c>
      <c r="F89" s="4">
        <f>Sheet54!F89</f>
        <v>0</v>
      </c>
      <c r="G89" s="4">
        <f>Sheet54!G89</f>
        <v>0</v>
      </c>
      <c r="H89" s="4">
        <f>Sheet54!H89</f>
        <v>0</v>
      </c>
      <c r="I89" s="4">
        <f>Sheet54!I89</f>
        <v>0</v>
      </c>
      <c r="J89" s="4">
        <f>Sheet54!J89</f>
        <v>2.6789700000000001</v>
      </c>
      <c r="K89" s="4">
        <f>Sheet54!K89</f>
        <v>10.52163</v>
      </c>
      <c r="L89" s="4">
        <f>Sheet54!L89</f>
        <v>-4.2747599999999997</v>
      </c>
      <c r="M89" s="4">
        <f>Sheet54!M89</f>
        <v>-8.2604199999999999</v>
      </c>
      <c r="N89" s="4">
        <f>Sheet54!N89</f>
        <v>-0.63307999999999998</v>
      </c>
      <c r="O89" s="4">
        <f>Sheet54!O89</f>
        <v>0</v>
      </c>
      <c r="P89" s="4">
        <f>Sheet54!P89</f>
        <v>0</v>
      </c>
      <c r="Q89" s="4">
        <f>Sheet54!Q89</f>
        <v>-0.70140000000000002</v>
      </c>
      <c r="R89" s="4">
        <f>Sheet54!R89</f>
        <v>-3.6869000000000001</v>
      </c>
      <c r="S89" s="4">
        <f>Sheet54!S89</f>
        <v>1.2517400000000001</v>
      </c>
      <c r="T89" s="4">
        <f>Sheet54!T89</f>
        <v>1.9147799999999999</v>
      </c>
      <c r="U89" s="4">
        <f>Sheet54!U89</f>
        <v>-3.3874399999999998</v>
      </c>
      <c r="V89" s="4">
        <f>Sheet54!V89</f>
        <v>0</v>
      </c>
      <c r="W89" s="4">
        <f>Sheet54!W89</f>
        <v>0</v>
      </c>
      <c r="X89" s="4">
        <f>Sheet54!X89</f>
        <v>-3.2366600000000001</v>
      </c>
      <c r="Y89" s="4">
        <f>Sheet54!Y89</f>
        <v>0.99421000000000004</v>
      </c>
      <c r="Z89" s="4">
        <f>Sheet54!Z89</f>
        <v>-4.6983300000000003</v>
      </c>
      <c r="AA89" s="4">
        <f>Sheet54!AA89</f>
        <v>4.80816</v>
      </c>
      <c r="AB89" s="4">
        <f>Sheet54!AB89</f>
        <v>-9.4455200000000001</v>
      </c>
      <c r="AC89" s="4">
        <f>Sheet54!AC89</f>
        <v>0</v>
      </c>
      <c r="AD89" s="4">
        <f>Sheet54!AD89</f>
        <v>0</v>
      </c>
      <c r="AE89" s="4">
        <f>Sheet54!AE89</f>
        <v>-4.9635600000000002</v>
      </c>
      <c r="AF89" s="4">
        <f>Sheet54!AF89</f>
        <v>0.37940000000000002</v>
      </c>
      <c r="AG89" s="4">
        <f>Sheet54!AG89</f>
        <v>1.80264</v>
      </c>
      <c r="AH89" s="4">
        <f>Sheet54!AH89</f>
        <v>16.000109999999999</v>
      </c>
      <c r="AI89" s="4">
        <f>Sheet54!AI89</f>
        <v>-10.585050000000001</v>
      </c>
      <c r="AJ89" s="4">
        <f>Sheet54!AJ89</f>
        <v>0</v>
      </c>
      <c r="AK89" s="5"/>
    </row>
    <row r="90" spans="1:37" ht="21" customHeight="1">
      <c r="A90" s="12"/>
      <c r="B90" s="14"/>
      <c r="C90" s="15" t="s">
        <v>81</v>
      </c>
      <c r="D90" s="22" t="s">
        <v>40</v>
      </c>
      <c r="E90" s="4">
        <v>259.59688999999997</v>
      </c>
      <c r="F90" s="4">
        <f>E90+Sheet54!F90</f>
        <v>259.59688999999997</v>
      </c>
      <c r="G90" s="4">
        <f>F90+Sheet54!G90</f>
        <v>259.59688999999997</v>
      </c>
      <c r="H90" s="4">
        <f>G90+Sheet54!H90</f>
        <v>259.59688999999997</v>
      </c>
      <c r="I90" s="4">
        <f>H90+Sheet54!I90</f>
        <v>259.59688999999997</v>
      </c>
      <c r="J90" s="4">
        <f>I90+Sheet54!J90</f>
        <v>259.59688999999997</v>
      </c>
      <c r="K90" s="4">
        <f>J90+Sheet54!K90</f>
        <v>259.59688999999997</v>
      </c>
      <c r="L90" s="4">
        <f>K90+Sheet54!L90</f>
        <v>259.59688999999997</v>
      </c>
      <c r="M90" s="4">
        <f>L90+Sheet54!M90</f>
        <v>259.59688999999997</v>
      </c>
      <c r="N90" s="4">
        <f>M90+Sheet54!N90</f>
        <v>259.59688999999997</v>
      </c>
      <c r="O90" s="4">
        <f>N90+Sheet54!O90</f>
        <v>259.59688999999997</v>
      </c>
      <c r="P90" s="4">
        <f>O90+Sheet54!P90</f>
        <v>259.59688999999997</v>
      </c>
      <c r="Q90" s="4">
        <f>P90+Sheet54!Q90</f>
        <v>259.59688999999997</v>
      </c>
      <c r="R90" s="4">
        <f>Q90+Sheet54!R90</f>
        <v>259.59688999999997</v>
      </c>
      <c r="S90" s="4">
        <f>R90+Sheet54!S90</f>
        <v>259.59688999999997</v>
      </c>
      <c r="T90" s="4">
        <f>S90+Sheet54!T90</f>
        <v>259.59688999999997</v>
      </c>
      <c r="U90" s="4">
        <f>T90+Sheet54!U90</f>
        <v>259.59688999999997</v>
      </c>
      <c r="V90" s="4">
        <f>U90+Sheet54!V90</f>
        <v>259.59688999999997</v>
      </c>
      <c r="W90" s="4">
        <f>V90+Sheet54!W90</f>
        <v>259.59688999999997</v>
      </c>
      <c r="X90" s="4">
        <f>W90+Sheet54!X90</f>
        <v>259.59688999999997</v>
      </c>
      <c r="Y90" s="4">
        <f>X90+Sheet54!Y90</f>
        <v>259.59688999999997</v>
      </c>
      <c r="Z90" s="4">
        <f>Y90+Sheet54!Z90</f>
        <v>0</v>
      </c>
      <c r="AA90" s="4">
        <f>Z90+Sheet54!AA90</f>
        <v>0</v>
      </c>
      <c r="AB90" s="4">
        <f>AA90+Sheet54!AB90</f>
        <v>0</v>
      </c>
      <c r="AC90" s="4">
        <f>AB90+Sheet54!AC90</f>
        <v>0</v>
      </c>
      <c r="AD90" s="4">
        <f>AC90+Sheet54!AD90</f>
        <v>0</v>
      </c>
      <c r="AE90" s="4">
        <f>AD90+Sheet54!AE90</f>
        <v>0</v>
      </c>
      <c r="AF90" s="4">
        <f>AE90+Sheet54!AF90</f>
        <v>0</v>
      </c>
      <c r="AG90" s="4">
        <f>AF90+Sheet54!AG90</f>
        <v>0</v>
      </c>
      <c r="AH90" s="4">
        <f>AG90+Sheet54!AH90</f>
        <v>0</v>
      </c>
      <c r="AI90" s="4">
        <f>AH90+Sheet54!AI90</f>
        <v>0</v>
      </c>
      <c r="AJ90" s="4">
        <f>AI90+Sheet54!AJ90</f>
        <v>0</v>
      </c>
      <c r="AK90" s="5"/>
    </row>
    <row r="91" spans="1:37" ht="21" customHeight="1">
      <c r="A91" s="12"/>
      <c r="B91" s="14"/>
      <c r="C91" s="15"/>
      <c r="D91" s="22" t="s">
        <v>50</v>
      </c>
      <c r="E91" s="4">
        <v>-47.716889999999999</v>
      </c>
      <c r="F91" s="4">
        <f>E91+Sheet54!F91</f>
        <v>-47.716889999999999</v>
      </c>
      <c r="G91" s="4">
        <f>F91+Sheet54!G91</f>
        <v>-47.716889999999999</v>
      </c>
      <c r="H91" s="4">
        <f>G91+Sheet54!H91</f>
        <v>-47.716889999999999</v>
      </c>
      <c r="I91" s="4">
        <f>H91+Sheet54!I91</f>
        <v>-47.716889999999999</v>
      </c>
      <c r="J91" s="4">
        <f>I91+Sheet54!J91</f>
        <v>-43.796889999999998</v>
      </c>
      <c r="K91" s="4">
        <f>J91+Sheet54!K91</f>
        <v>-43.256889999999999</v>
      </c>
      <c r="L91" s="4">
        <f>K91+Sheet54!L91</f>
        <v>-44.556889999999996</v>
      </c>
      <c r="M91" s="4">
        <f>L91+Sheet54!M91</f>
        <v>-45.796889999999998</v>
      </c>
      <c r="N91" s="4">
        <f>M91+Sheet54!N91</f>
        <v>-45.316890000000001</v>
      </c>
      <c r="O91" s="4">
        <f>N91+Sheet54!O91</f>
        <v>-45.316890000000001</v>
      </c>
      <c r="P91" s="4">
        <f>O91+Sheet54!P91</f>
        <v>-45.316890000000001</v>
      </c>
      <c r="Q91" s="4">
        <f>P91+Sheet54!Q91</f>
        <v>-42.49689</v>
      </c>
      <c r="R91" s="4">
        <f>Q91+Sheet54!R91</f>
        <v>-43.596890000000002</v>
      </c>
      <c r="S91" s="4">
        <f>R91+Sheet54!S91</f>
        <v>-45.516890000000004</v>
      </c>
      <c r="T91" s="4">
        <f>S91+Sheet54!T91</f>
        <v>-47.416890000000002</v>
      </c>
      <c r="U91" s="4">
        <f>T91+Sheet54!U91</f>
        <v>-49.276890000000002</v>
      </c>
      <c r="V91" s="4">
        <f>U91+Sheet54!V91</f>
        <v>-49.276890000000002</v>
      </c>
      <c r="W91" s="4">
        <f>V91+Sheet54!W91</f>
        <v>-49.276890000000002</v>
      </c>
      <c r="X91" s="4">
        <f>W91+Sheet54!X91</f>
        <v>-50.49689</v>
      </c>
      <c r="Y91" s="4">
        <f>X91+Sheet54!Y91</f>
        <v>-49.776890000000002</v>
      </c>
      <c r="Z91" s="4">
        <f>Y91+Sheet54!Z91</f>
        <v>0</v>
      </c>
      <c r="AA91" s="4">
        <f>Z91+Sheet54!AA91</f>
        <v>0</v>
      </c>
      <c r="AB91" s="4">
        <f>AA91+Sheet54!AB91</f>
        <v>0</v>
      </c>
      <c r="AC91" s="4">
        <f>AB91+Sheet54!AC91</f>
        <v>0</v>
      </c>
      <c r="AD91" s="4">
        <f>AC91+Sheet54!AD91</f>
        <v>0</v>
      </c>
      <c r="AE91" s="4">
        <f>AD91+Sheet54!AE91</f>
        <v>0</v>
      </c>
      <c r="AF91" s="4">
        <f>AE91+Sheet54!AF91</f>
        <v>0</v>
      </c>
      <c r="AG91" s="4">
        <f>AF91+Sheet54!AG91</f>
        <v>0</v>
      </c>
      <c r="AH91" s="4">
        <f>AG91+Sheet54!AH91</f>
        <v>0</v>
      </c>
      <c r="AI91" s="4">
        <f>AH91+Sheet54!AI91</f>
        <v>0</v>
      </c>
      <c r="AJ91" s="4">
        <f>AI91+Sheet54!AJ91</f>
        <v>0</v>
      </c>
      <c r="AK91" s="5"/>
    </row>
    <row r="92" spans="1:37" ht="21" customHeight="1">
      <c r="A92" s="12"/>
      <c r="B92" s="14"/>
      <c r="C92" s="15"/>
      <c r="D92" s="21" t="s">
        <v>51</v>
      </c>
      <c r="E92" s="4">
        <v>0</v>
      </c>
      <c r="F92" s="4">
        <f>Sheet54!F92</f>
        <v>0</v>
      </c>
      <c r="G92" s="4">
        <f>Sheet54!G92</f>
        <v>0</v>
      </c>
      <c r="H92" s="4">
        <f>Sheet54!H92</f>
        <v>0</v>
      </c>
      <c r="I92" s="4">
        <f>Sheet54!I92</f>
        <v>0</v>
      </c>
      <c r="J92" s="4">
        <f>Sheet54!J92</f>
        <v>3.92</v>
      </c>
      <c r="K92" s="4">
        <f>Sheet54!K92</f>
        <v>0.54</v>
      </c>
      <c r="L92" s="4">
        <f>Sheet54!L92</f>
        <v>-1.3</v>
      </c>
      <c r="M92" s="4">
        <f>Sheet54!M92</f>
        <v>-1.24</v>
      </c>
      <c r="N92" s="4">
        <f>Sheet54!N92</f>
        <v>0.48</v>
      </c>
      <c r="O92" s="4">
        <f>Sheet54!O92</f>
        <v>0</v>
      </c>
      <c r="P92" s="4">
        <f>Sheet54!P92</f>
        <v>0</v>
      </c>
      <c r="Q92" s="4">
        <f>Sheet54!Q92</f>
        <v>2.82</v>
      </c>
      <c r="R92" s="4">
        <f>Sheet54!R92</f>
        <v>-1.1000000000000001</v>
      </c>
      <c r="S92" s="4">
        <f>Sheet54!S92</f>
        <v>-1.92</v>
      </c>
      <c r="T92" s="4">
        <f>Sheet54!T92</f>
        <v>-1.9</v>
      </c>
      <c r="U92" s="4">
        <f>Sheet54!U92</f>
        <v>-1.86</v>
      </c>
      <c r="V92" s="4">
        <f>Sheet54!V92</f>
        <v>0</v>
      </c>
      <c r="W92" s="4">
        <f>Sheet54!W92</f>
        <v>0</v>
      </c>
      <c r="X92" s="4">
        <f>Sheet54!X92</f>
        <v>-1.22</v>
      </c>
      <c r="Y92" s="4">
        <f>Sheet54!Y92</f>
        <v>0.72</v>
      </c>
      <c r="Z92" s="4">
        <f>Sheet54!Z92</f>
        <v>49.776890000000002</v>
      </c>
      <c r="AA92" s="4">
        <f>Sheet54!AA92</f>
        <v>0</v>
      </c>
      <c r="AB92" s="4">
        <f>Sheet54!AB92</f>
        <v>0</v>
      </c>
      <c r="AC92" s="4">
        <f>Sheet54!AC92</f>
        <v>0</v>
      </c>
      <c r="AD92" s="4">
        <f>Sheet54!AD92</f>
        <v>0</v>
      </c>
      <c r="AE92" s="4">
        <f>Sheet54!AE92</f>
        <v>0</v>
      </c>
      <c r="AF92" s="4">
        <f>Sheet54!AF92</f>
        <v>0</v>
      </c>
      <c r="AG92" s="4">
        <f>Sheet54!AG92</f>
        <v>0</v>
      </c>
      <c r="AH92" s="4">
        <f>Sheet54!AH92</f>
        <v>0</v>
      </c>
      <c r="AI92" s="4">
        <f>Sheet54!AI92</f>
        <v>0</v>
      </c>
      <c r="AJ92" s="4">
        <f>Sheet54!AJ92</f>
        <v>0</v>
      </c>
      <c r="AK92" s="5"/>
    </row>
    <row r="93" spans="1:37" ht="21" customHeight="1">
      <c r="A93" s="12"/>
      <c r="B93" s="14"/>
      <c r="C93" s="15"/>
      <c r="D93" s="21" t="s">
        <v>58</v>
      </c>
      <c r="E93" s="4">
        <v>0</v>
      </c>
      <c r="F93" s="4">
        <f>Sheet54!F93</f>
        <v>0</v>
      </c>
      <c r="G93" s="4">
        <f>Sheet54!G93</f>
        <v>0</v>
      </c>
      <c r="H93" s="4">
        <f>Sheet54!H93</f>
        <v>0</v>
      </c>
      <c r="I93" s="4">
        <f>Sheet54!I93</f>
        <v>0</v>
      </c>
      <c r="J93" s="4">
        <f>Sheet54!J93</f>
        <v>0</v>
      </c>
      <c r="K93" s="4">
        <f>Sheet54!K93</f>
        <v>0</v>
      </c>
      <c r="L93" s="4">
        <f>Sheet54!L93</f>
        <v>0</v>
      </c>
      <c r="M93" s="4">
        <f>Sheet54!M93</f>
        <v>0</v>
      </c>
      <c r="N93" s="4">
        <f>Sheet54!N93</f>
        <v>0</v>
      </c>
      <c r="O93" s="4">
        <f>Sheet54!O93</f>
        <v>0</v>
      </c>
      <c r="P93" s="4">
        <f>Sheet54!P93</f>
        <v>0</v>
      </c>
      <c r="Q93" s="4">
        <f>Sheet54!Q93</f>
        <v>0</v>
      </c>
      <c r="R93" s="4">
        <f>Sheet54!R93</f>
        <v>0</v>
      </c>
      <c r="S93" s="4">
        <f>Sheet54!S93</f>
        <v>0</v>
      </c>
      <c r="T93" s="4">
        <f>Sheet54!T93</f>
        <v>0</v>
      </c>
      <c r="U93" s="4">
        <f>Sheet54!U93</f>
        <v>0</v>
      </c>
      <c r="V93" s="4">
        <f>Sheet54!V93</f>
        <v>0</v>
      </c>
      <c r="W93" s="4">
        <f>Sheet54!W93</f>
        <v>0</v>
      </c>
      <c r="X93" s="4">
        <f>Sheet54!X93</f>
        <v>0</v>
      </c>
      <c r="Y93" s="4">
        <f>Sheet54!Y93</f>
        <v>0</v>
      </c>
      <c r="Z93" s="4">
        <f>Sheet54!Z93</f>
        <v>-53.681213999999997</v>
      </c>
      <c r="AA93" s="4">
        <f>Sheet54!AA93</f>
        <v>0</v>
      </c>
      <c r="AB93" s="4">
        <f>Sheet54!AB93</f>
        <v>0</v>
      </c>
      <c r="AC93" s="4">
        <f>Sheet54!AC93</f>
        <v>0</v>
      </c>
      <c r="AD93" s="4">
        <f>Sheet54!AD93</f>
        <v>0</v>
      </c>
      <c r="AE93" s="4">
        <f>Sheet54!AE93</f>
        <v>0</v>
      </c>
      <c r="AF93" s="4">
        <f>Sheet54!AF93</f>
        <v>0</v>
      </c>
      <c r="AG93" s="4">
        <f>Sheet54!AG93</f>
        <v>0</v>
      </c>
      <c r="AH93" s="4">
        <f>Sheet54!AH93</f>
        <v>0</v>
      </c>
      <c r="AI93" s="4">
        <f>Sheet54!AI93</f>
        <v>0</v>
      </c>
      <c r="AJ93" s="4">
        <f>Sheet54!AJ93</f>
        <v>0</v>
      </c>
      <c r="AK93" s="5"/>
    </row>
    <row r="94" spans="1:37" ht="21" customHeight="1">
      <c r="A94" s="12"/>
      <c r="B94" s="14"/>
      <c r="C94" s="3" t="s">
        <v>82</v>
      </c>
      <c r="D94" s="21" t="s">
        <v>70</v>
      </c>
      <c r="E94" s="4">
        <v>0</v>
      </c>
      <c r="F94" s="4">
        <f>Sheet54!F94</f>
        <v>0</v>
      </c>
      <c r="G94" s="4">
        <f>Sheet54!G94</f>
        <v>0</v>
      </c>
      <c r="H94" s="4">
        <f>Sheet54!H94</f>
        <v>0</v>
      </c>
      <c r="I94" s="4">
        <f>Sheet54!I94</f>
        <v>0</v>
      </c>
      <c r="J94" s="4">
        <f>Sheet54!J94</f>
        <v>0</v>
      </c>
      <c r="K94" s="4">
        <f>Sheet54!K94</f>
        <v>0</v>
      </c>
      <c r="L94" s="4">
        <f>Sheet54!L94</f>
        <v>0</v>
      </c>
      <c r="M94" s="4">
        <f>Sheet54!M94</f>
        <v>0</v>
      </c>
      <c r="N94" s="4">
        <f>Sheet54!N94</f>
        <v>0</v>
      </c>
      <c r="O94" s="4">
        <f>Sheet54!O94</f>
        <v>0</v>
      </c>
      <c r="P94" s="4">
        <f>Sheet54!P94</f>
        <v>0</v>
      </c>
      <c r="Q94" s="4">
        <f>Sheet54!Q94</f>
        <v>0</v>
      </c>
      <c r="R94" s="4">
        <f>Sheet54!R94</f>
        <v>0</v>
      </c>
      <c r="S94" s="4">
        <f>Sheet54!S94</f>
        <v>0</v>
      </c>
      <c r="T94" s="4">
        <f>Sheet54!T94</f>
        <v>0</v>
      </c>
      <c r="U94" s="4">
        <f>Sheet54!U94</f>
        <v>15.195</v>
      </c>
      <c r="V94" s="4">
        <f>Sheet54!V94</f>
        <v>0</v>
      </c>
      <c r="W94" s="4">
        <f>Sheet54!W94</f>
        <v>0</v>
      </c>
      <c r="X94" s="4">
        <f>Sheet54!X94</f>
        <v>0</v>
      </c>
      <c r="Y94" s="4">
        <f>Sheet54!Y94</f>
        <v>0</v>
      </c>
      <c r="Z94" s="4">
        <f>Sheet54!Z94</f>
        <v>0</v>
      </c>
      <c r="AA94" s="4">
        <f>Sheet54!AA94</f>
        <v>0</v>
      </c>
      <c r="AB94" s="4">
        <f>Sheet54!AB94</f>
        <v>0</v>
      </c>
      <c r="AC94" s="4">
        <f>Sheet54!AC94</f>
        <v>0</v>
      </c>
      <c r="AD94" s="4">
        <f>Sheet54!AD94</f>
        <v>0</v>
      </c>
      <c r="AE94" s="4">
        <f>Sheet54!AE94</f>
        <v>0</v>
      </c>
      <c r="AF94" s="4">
        <f>Sheet54!AF94</f>
        <v>0</v>
      </c>
      <c r="AG94" s="4">
        <f>Sheet54!AG94</f>
        <v>0</v>
      </c>
      <c r="AH94" s="4">
        <f>Sheet54!AH94</f>
        <v>0</v>
      </c>
      <c r="AI94" s="4">
        <f>Sheet54!AI94</f>
        <v>0</v>
      </c>
      <c r="AJ94" s="4">
        <f>Sheet54!AJ94</f>
        <v>0</v>
      </c>
      <c r="AK94" s="5"/>
    </row>
    <row r="95" spans="1:37" ht="21" customHeight="1">
      <c r="A95" s="12"/>
      <c r="B95" s="14"/>
      <c r="C95" s="15" t="s">
        <v>83</v>
      </c>
      <c r="D95" s="22" t="s">
        <v>40</v>
      </c>
      <c r="E95" s="4">
        <v>297.18518399999999</v>
      </c>
      <c r="F95" s="4">
        <f>E95+Sheet54!F95</f>
        <v>297.18518399999999</v>
      </c>
      <c r="G95" s="4">
        <f>F95+Sheet54!G95</f>
        <v>297.18518399999999</v>
      </c>
      <c r="H95" s="4">
        <f>G95+Sheet54!H95</f>
        <v>297.18518399999999</v>
      </c>
      <c r="I95" s="4">
        <f>H95+Sheet54!I95</f>
        <v>297.18518399999999</v>
      </c>
      <c r="J95" s="4">
        <f>I95+Sheet54!J95</f>
        <v>297.18518399999999</v>
      </c>
      <c r="K95" s="4">
        <f>J95+Sheet54!K95</f>
        <v>297.18518399999999</v>
      </c>
      <c r="L95" s="4">
        <f>K95+Sheet54!L95</f>
        <v>297.18518399999999</v>
      </c>
      <c r="M95" s="4">
        <f>L95+Sheet54!M95</f>
        <v>297.18518399999999</v>
      </c>
      <c r="N95" s="4">
        <f>M95+Sheet54!N95</f>
        <v>297.18518399999999</v>
      </c>
      <c r="O95" s="4">
        <f>N95+Sheet54!O95</f>
        <v>297.18518399999999</v>
      </c>
      <c r="P95" s="4">
        <f>O95+Sheet54!P95</f>
        <v>297.18518399999999</v>
      </c>
      <c r="Q95" s="4">
        <f>P95+Sheet54!Q95</f>
        <v>297.18518399999999</v>
      </c>
      <c r="R95" s="4">
        <f>Q95+Sheet54!R95</f>
        <v>297.18518399999999</v>
      </c>
      <c r="S95" s="4">
        <f>R95+Sheet54!S95</f>
        <v>297.18518399999999</v>
      </c>
      <c r="T95" s="4">
        <f>S95+Sheet54!T95</f>
        <v>297.18518399999999</v>
      </c>
      <c r="U95" s="4">
        <f>T95+Sheet54!U95</f>
        <v>297.18518399999999</v>
      </c>
      <c r="V95" s="4">
        <f>U95+Sheet54!V95</f>
        <v>297.18518399999999</v>
      </c>
      <c r="W95" s="4">
        <f>V95+Sheet54!W95</f>
        <v>297.18518399999999</v>
      </c>
      <c r="X95" s="4">
        <f>W95+Sheet54!X95</f>
        <v>297.18518399999999</v>
      </c>
      <c r="Y95" s="4">
        <f>X95+Sheet54!Y95</f>
        <v>297.18518399999999</v>
      </c>
      <c r="Z95" s="4">
        <f>Y95+Sheet54!Z95</f>
        <v>297.18518399999999</v>
      </c>
      <c r="AA95" s="4">
        <f>Z95+Sheet54!AA95</f>
        <v>297.18518399999999</v>
      </c>
      <c r="AB95" s="4">
        <f>AA95+Sheet54!AB95</f>
        <v>297.18518399999999</v>
      </c>
      <c r="AC95" s="4">
        <f>AB95+Sheet54!AC95</f>
        <v>297.18518399999999</v>
      </c>
      <c r="AD95" s="4">
        <f>AC95+Sheet54!AD95</f>
        <v>297.18518399999999</v>
      </c>
      <c r="AE95" s="4">
        <f>AD95+Sheet54!AE95</f>
        <v>297.18518399999999</v>
      </c>
      <c r="AF95" s="4">
        <f>AE95+Sheet54!AF95</f>
        <v>297.18518399999999</v>
      </c>
      <c r="AG95" s="4">
        <f>AF95+Sheet54!AG95</f>
        <v>297.18518399999999</v>
      </c>
      <c r="AH95" s="4">
        <f>AG95+Sheet54!AH95</f>
        <v>297.18518399999999</v>
      </c>
      <c r="AI95" s="4">
        <f>AH95+Sheet54!AI95</f>
        <v>297.18518399999999</v>
      </c>
      <c r="AJ95" s="4">
        <f>AI95+Sheet54!AJ95</f>
        <v>297.18518399999999</v>
      </c>
      <c r="AK95" s="5"/>
    </row>
    <row r="96" spans="1:37" ht="21" customHeight="1">
      <c r="A96" s="12"/>
      <c r="B96" s="14"/>
      <c r="C96" s="15"/>
      <c r="D96" s="22" t="s">
        <v>50</v>
      </c>
      <c r="E96" s="4">
        <v>-21.503903999999999</v>
      </c>
      <c r="F96" s="4">
        <f>E96+Sheet54!F96</f>
        <v>-21.503903999999999</v>
      </c>
      <c r="G96" s="4">
        <f>F96+Sheet54!G96</f>
        <v>-21.503903999999999</v>
      </c>
      <c r="H96" s="4">
        <f>G96+Sheet54!H96</f>
        <v>-21.503903999999999</v>
      </c>
      <c r="I96" s="4">
        <f>H96+Sheet54!I96</f>
        <v>-21.503903999999999</v>
      </c>
      <c r="J96" s="4">
        <f>I96+Sheet54!J96</f>
        <v>-26.956733999999997</v>
      </c>
      <c r="K96" s="4">
        <f>J96+Sheet54!K96</f>
        <v>-25.220303999999999</v>
      </c>
      <c r="L96" s="4">
        <f>K96+Sheet54!L96</f>
        <v>-22.978583999999998</v>
      </c>
      <c r="M96" s="4">
        <f>L96+Sheet54!M96</f>
        <v>-18.511433999999998</v>
      </c>
      <c r="N96" s="4">
        <f>M96+Sheet54!N96</f>
        <v>-13.664483999999998</v>
      </c>
      <c r="O96" s="4">
        <f>N96+Sheet54!O96</f>
        <v>-13.664483999999998</v>
      </c>
      <c r="P96" s="4">
        <f>O96+Sheet54!P96</f>
        <v>-13.664483999999998</v>
      </c>
      <c r="Q96" s="4">
        <f>P96+Sheet54!Q96</f>
        <v>-12.921743999999999</v>
      </c>
      <c r="R96" s="4">
        <f>Q96+Sheet54!R96</f>
        <v>-14.470763999999999</v>
      </c>
      <c r="S96" s="4">
        <f>R96+Sheet54!S96</f>
        <v>-12.861383999999999</v>
      </c>
      <c r="T96" s="4">
        <f>S96+Sheet54!T96</f>
        <v>-13.634364</v>
      </c>
      <c r="U96" s="4">
        <f>T96+Sheet54!U96</f>
        <v>-13.052184</v>
      </c>
      <c r="V96" s="4">
        <f>U96+Sheet54!V96</f>
        <v>-13.052184</v>
      </c>
      <c r="W96" s="4">
        <f>V96+Sheet54!W96</f>
        <v>-13.052184</v>
      </c>
      <c r="X96" s="4">
        <f>W96+Sheet54!X96</f>
        <v>-12.075744</v>
      </c>
      <c r="Y96" s="4">
        <f>X96+Sheet54!Y96</f>
        <v>-14.173434</v>
      </c>
      <c r="Z96" s="4">
        <f>Y96+Sheet54!Z96</f>
        <v>-13.656384000000001</v>
      </c>
      <c r="AA96" s="4">
        <f>Z96+Sheet54!AA96</f>
        <v>-9.2571840000000005</v>
      </c>
      <c r="AB96" s="4">
        <f>AA96+Sheet54!AB96</f>
        <v>-6.6438839999999999</v>
      </c>
      <c r="AC96" s="4">
        <f>AB96+Sheet54!AC96</f>
        <v>-6.6438839999999999</v>
      </c>
      <c r="AD96" s="4">
        <f>AC96+Sheet54!AD96</f>
        <v>-6.6438839999999999</v>
      </c>
      <c r="AE96" s="4">
        <f>AD96+Sheet54!AE96</f>
        <v>-7.4147639999999999</v>
      </c>
      <c r="AF96" s="4">
        <f>AE96+Sheet54!AF96</f>
        <v>-11.120784</v>
      </c>
      <c r="AG96" s="4">
        <f>AF96+Sheet54!AG96</f>
        <v>-8.5095240000000008</v>
      </c>
      <c r="AH96" s="4">
        <f>AG96+Sheet54!AH96</f>
        <v>-8.4534840000000013</v>
      </c>
      <c r="AI96" s="4">
        <f>AH96+Sheet54!AI96</f>
        <v>-4.9844340000000011</v>
      </c>
      <c r="AJ96" s="4">
        <f>AI96+Sheet54!AJ96</f>
        <v>-4.9844340000000011</v>
      </c>
      <c r="AK96" s="5"/>
    </row>
    <row r="97" spans="1:37" ht="21" customHeight="1">
      <c r="A97" s="12"/>
      <c r="B97" s="14"/>
      <c r="C97" s="15"/>
      <c r="D97" s="21" t="s">
        <v>51</v>
      </c>
      <c r="E97" s="4">
        <v>0</v>
      </c>
      <c r="F97" s="4">
        <f>Sheet54!F97</f>
        <v>0</v>
      </c>
      <c r="G97" s="4">
        <f>Sheet54!G97</f>
        <v>0</v>
      </c>
      <c r="H97" s="4">
        <f>Sheet54!H97</f>
        <v>0</v>
      </c>
      <c r="I97" s="4">
        <f>Sheet54!I97</f>
        <v>0</v>
      </c>
      <c r="J97" s="4">
        <f>Sheet54!J97</f>
        <v>-5.4528299999999996</v>
      </c>
      <c r="K97" s="4">
        <f>Sheet54!K97</f>
        <v>1.7364299999999999</v>
      </c>
      <c r="L97" s="4">
        <f>Sheet54!L97</f>
        <v>2.2417199999999999</v>
      </c>
      <c r="M97" s="4">
        <f>Sheet54!M97</f>
        <v>4.4671500000000002</v>
      </c>
      <c r="N97" s="4">
        <f>Sheet54!N97</f>
        <v>4.8469499999999996</v>
      </c>
      <c r="O97" s="4">
        <f>Sheet54!O97</f>
        <v>0</v>
      </c>
      <c r="P97" s="4">
        <f>Sheet54!P97</f>
        <v>0</v>
      </c>
      <c r="Q97" s="4">
        <f>Sheet54!Q97</f>
        <v>0.74273999999999996</v>
      </c>
      <c r="R97" s="4">
        <f>Sheet54!R97</f>
        <v>-1.5490200000000001</v>
      </c>
      <c r="S97" s="4">
        <f>Sheet54!S97</f>
        <v>1.60938</v>
      </c>
      <c r="T97" s="4">
        <f>Sheet54!T97</f>
        <v>-0.77298</v>
      </c>
      <c r="U97" s="4">
        <f>Sheet54!U97</f>
        <v>0.58218000000000003</v>
      </c>
      <c r="V97" s="4">
        <f>Sheet54!V97</f>
        <v>0</v>
      </c>
      <c r="W97" s="4">
        <f>Sheet54!W97</f>
        <v>0</v>
      </c>
      <c r="X97" s="4">
        <f>Sheet54!X97</f>
        <v>0.97643999999999997</v>
      </c>
      <c r="Y97" s="4">
        <f>Sheet54!Y97</f>
        <v>-2.0976900000000001</v>
      </c>
      <c r="Z97" s="4">
        <f>Sheet54!Z97</f>
        <v>0.51705000000000001</v>
      </c>
      <c r="AA97" s="4">
        <f>Sheet54!AA97</f>
        <v>4.3992000000000004</v>
      </c>
      <c r="AB97" s="4">
        <f>Sheet54!AB97</f>
        <v>2.6133000000000002</v>
      </c>
      <c r="AC97" s="4">
        <f>Sheet54!AC97</f>
        <v>0</v>
      </c>
      <c r="AD97" s="4">
        <f>Sheet54!AD97</f>
        <v>0</v>
      </c>
      <c r="AE97" s="4">
        <f>Sheet54!AE97</f>
        <v>-0.77088000000000001</v>
      </c>
      <c r="AF97" s="4">
        <f>Sheet54!AF97</f>
        <v>-3.7060200000000001</v>
      </c>
      <c r="AG97" s="4">
        <f>Sheet54!AG97</f>
        <v>2.6112600000000001</v>
      </c>
      <c r="AH97" s="4">
        <f>Sheet54!AH97</f>
        <v>5.604E-2</v>
      </c>
      <c r="AI97" s="4">
        <f>Sheet54!AI97</f>
        <v>3.4690500000000002</v>
      </c>
      <c r="AJ97" s="4">
        <f>Sheet54!AJ97</f>
        <v>0</v>
      </c>
      <c r="AK97" s="5"/>
    </row>
    <row r="98" spans="1:37" ht="21" customHeight="1">
      <c r="A98" s="12"/>
      <c r="B98" s="14"/>
      <c r="C98" s="15" t="s">
        <v>84</v>
      </c>
      <c r="D98" s="22" t="s">
        <v>40</v>
      </c>
      <c r="E98" s="4">
        <v>634.79066</v>
      </c>
      <c r="F98" s="4">
        <f>E98+Sheet54!F98</f>
        <v>634.79066</v>
      </c>
      <c r="G98" s="4">
        <f>F98+Sheet54!G98</f>
        <v>634.79066</v>
      </c>
      <c r="H98" s="4">
        <f>G98+Sheet54!H98</f>
        <v>634.79066</v>
      </c>
      <c r="I98" s="4">
        <f>H98+Sheet54!I98</f>
        <v>634.79066</v>
      </c>
      <c r="J98" s="4">
        <f>I98+Sheet54!J98</f>
        <v>634.79066</v>
      </c>
      <c r="K98" s="4">
        <f>J98+Sheet54!K98</f>
        <v>634.79066</v>
      </c>
      <c r="L98" s="4">
        <f>K98+Sheet54!L98</f>
        <v>634.79066</v>
      </c>
      <c r="M98" s="4">
        <f>L98+Sheet54!M98</f>
        <v>634.79066</v>
      </c>
      <c r="N98" s="4">
        <f>M98+Sheet54!N98</f>
        <v>634.79066</v>
      </c>
      <c r="O98" s="4">
        <f>N98+Sheet54!O98</f>
        <v>634.79066</v>
      </c>
      <c r="P98" s="4">
        <f>O98+Sheet54!P98</f>
        <v>634.79066</v>
      </c>
      <c r="Q98" s="4">
        <f>P98+Sheet54!Q98</f>
        <v>634.79066</v>
      </c>
      <c r="R98" s="4">
        <f>Q98+Sheet54!R98</f>
        <v>634.79066</v>
      </c>
      <c r="S98" s="4">
        <f>R98+Sheet54!S98</f>
        <v>634.79066</v>
      </c>
      <c r="T98" s="4">
        <f>S98+Sheet54!T98</f>
        <v>634.79066</v>
      </c>
      <c r="U98" s="4">
        <f>T98+Sheet54!U98</f>
        <v>634.79066</v>
      </c>
      <c r="V98" s="4">
        <f>U98+Sheet54!V98</f>
        <v>634.79066</v>
      </c>
      <c r="W98" s="4">
        <f>V98+Sheet54!W98</f>
        <v>634.79066</v>
      </c>
      <c r="X98" s="4">
        <f>W98+Sheet54!X98</f>
        <v>634.79066</v>
      </c>
      <c r="Y98" s="4">
        <f>X98+Sheet54!Y98</f>
        <v>634.79066</v>
      </c>
      <c r="Z98" s="4">
        <f>Y98+Sheet54!Z98</f>
        <v>634.79066</v>
      </c>
      <c r="AA98" s="4">
        <f>Z98+Sheet54!AA98</f>
        <v>634.79066</v>
      </c>
      <c r="AB98" s="4">
        <f>AA98+Sheet54!AB98</f>
        <v>634.79066</v>
      </c>
      <c r="AC98" s="4">
        <f>AB98+Sheet54!AC98</f>
        <v>634.79066</v>
      </c>
      <c r="AD98" s="4">
        <f>AC98+Sheet54!AD98</f>
        <v>634.79066</v>
      </c>
      <c r="AE98" s="4">
        <f>AD98+Sheet54!AE98</f>
        <v>634.79066</v>
      </c>
      <c r="AF98" s="4">
        <f>AE98+Sheet54!AF98</f>
        <v>634.79066</v>
      </c>
      <c r="AG98" s="4">
        <f>AF98+Sheet54!AG98</f>
        <v>728.229648</v>
      </c>
      <c r="AH98" s="4">
        <f>AG98+Sheet54!AH98</f>
        <v>728.229648</v>
      </c>
      <c r="AI98" s="4">
        <f>AH98+Sheet54!AI98</f>
        <v>728.229648</v>
      </c>
      <c r="AJ98" s="4">
        <f>AI98+Sheet54!AJ98</f>
        <v>728.229648</v>
      </c>
      <c r="AK98" s="5"/>
    </row>
    <row r="99" spans="1:37" ht="21" customHeight="1">
      <c r="A99" s="12"/>
      <c r="B99" s="14"/>
      <c r="C99" s="15"/>
      <c r="D99" s="22" t="s">
        <v>50</v>
      </c>
      <c r="E99" s="4">
        <v>-2.9906600000000001</v>
      </c>
      <c r="F99" s="4">
        <f>E99+Sheet54!F99</f>
        <v>-2.9906600000000001</v>
      </c>
      <c r="G99" s="4">
        <f>F99+Sheet54!G99</f>
        <v>-2.9906600000000001</v>
      </c>
      <c r="H99" s="4">
        <f>G99+Sheet54!H99</f>
        <v>-2.9906600000000001</v>
      </c>
      <c r="I99" s="4">
        <f>H99+Sheet54!I99</f>
        <v>-2.9906600000000001</v>
      </c>
      <c r="J99" s="4">
        <f>I99+Sheet54!J99</f>
        <v>-3.2906599999999999</v>
      </c>
      <c r="K99" s="4">
        <f>J99+Sheet54!K99</f>
        <v>9.0093400000000017</v>
      </c>
      <c r="L99" s="4">
        <f>K99+Sheet54!L99</f>
        <v>2.409340000000002</v>
      </c>
      <c r="M99" s="4">
        <f>L99+Sheet54!M99</f>
        <v>-7.1906599999999976</v>
      </c>
      <c r="N99" s="4">
        <f>M99+Sheet54!N99</f>
        <v>-9.590659999999998</v>
      </c>
      <c r="O99" s="4">
        <f>N99+Sheet54!O99</f>
        <v>-9.590659999999998</v>
      </c>
      <c r="P99" s="4">
        <f>O99+Sheet54!P99</f>
        <v>-9.590659999999998</v>
      </c>
      <c r="Q99" s="4">
        <f>P99+Sheet54!Q99</f>
        <v>-7.1906599999999976</v>
      </c>
      <c r="R99" s="4">
        <f>Q99+Sheet54!R99</f>
        <v>-4.4906599999999974</v>
      </c>
      <c r="S99" s="4">
        <f>R99+Sheet54!S99</f>
        <v>-19.490659999999998</v>
      </c>
      <c r="T99" s="4">
        <f>S99+Sheet54!T99</f>
        <v>-25.190659999999998</v>
      </c>
      <c r="U99" s="4">
        <f>T99+Sheet54!U99</f>
        <v>-32.390659999999997</v>
      </c>
      <c r="V99" s="4">
        <f>U99+Sheet54!V99</f>
        <v>-32.390659999999997</v>
      </c>
      <c r="W99" s="4">
        <f>V99+Sheet54!W99</f>
        <v>-32.390659999999997</v>
      </c>
      <c r="X99" s="4">
        <f>W99+Sheet54!X99</f>
        <v>-32.390659999999997</v>
      </c>
      <c r="Y99" s="4">
        <f>X99+Sheet54!Y99</f>
        <v>-32.09066</v>
      </c>
      <c r="Z99" s="4">
        <f>Y99+Sheet54!Z99</f>
        <v>-46.490659999999998</v>
      </c>
      <c r="AA99" s="4">
        <f>Z99+Sheet54!AA99</f>
        <v>-54.290659999999995</v>
      </c>
      <c r="AB99" s="4">
        <f>AA99+Sheet54!AB99</f>
        <v>-61.190659999999994</v>
      </c>
      <c r="AC99" s="4">
        <f>AB99+Sheet54!AC99</f>
        <v>-61.190659999999994</v>
      </c>
      <c r="AD99" s="4">
        <f>AC99+Sheet54!AD99</f>
        <v>-61.190659999999994</v>
      </c>
      <c r="AE99" s="4">
        <f>AD99+Sheet54!AE99</f>
        <v>-68.390659999999997</v>
      </c>
      <c r="AF99" s="4">
        <f>AE99+Sheet54!AF99</f>
        <v>-70.190659999999994</v>
      </c>
      <c r="AG99" s="4">
        <f>AF99+Sheet54!AG99</f>
        <v>-78.794147999999993</v>
      </c>
      <c r="AH99" s="4">
        <f>AG99+Sheet54!AH99</f>
        <v>-66.890747999999988</v>
      </c>
      <c r="AI99" s="4">
        <f>AH99+Sheet54!AI99</f>
        <v>-73.542647999999986</v>
      </c>
      <c r="AJ99" s="4">
        <f>AI99+Sheet54!AJ99</f>
        <v>-73.542647999999986</v>
      </c>
      <c r="AK99" s="5"/>
    </row>
    <row r="100" spans="1:37" ht="21" customHeight="1">
      <c r="A100" s="12"/>
      <c r="B100" s="14"/>
      <c r="C100" s="15"/>
      <c r="D100" s="21" t="s">
        <v>51</v>
      </c>
      <c r="E100" s="4">
        <v>0</v>
      </c>
      <c r="F100" s="4">
        <f>Sheet54!F100</f>
        <v>0</v>
      </c>
      <c r="G100" s="4">
        <f>Sheet54!G100</f>
        <v>0</v>
      </c>
      <c r="H100" s="4">
        <f>Sheet54!H100</f>
        <v>0</v>
      </c>
      <c r="I100" s="4">
        <f>Sheet54!I100</f>
        <v>0</v>
      </c>
      <c r="J100" s="4">
        <f>Sheet54!J100</f>
        <v>-0.3</v>
      </c>
      <c r="K100" s="4">
        <f>Sheet54!K100</f>
        <v>12.3</v>
      </c>
      <c r="L100" s="4">
        <f>Sheet54!L100</f>
        <v>-6.6</v>
      </c>
      <c r="M100" s="4">
        <f>Sheet54!M100</f>
        <v>-9.6</v>
      </c>
      <c r="N100" s="4">
        <f>Sheet54!N100</f>
        <v>-2.4</v>
      </c>
      <c r="O100" s="4">
        <f>Sheet54!O100</f>
        <v>0</v>
      </c>
      <c r="P100" s="4">
        <f>Sheet54!P100</f>
        <v>0</v>
      </c>
      <c r="Q100" s="4">
        <f>Sheet54!Q100</f>
        <v>2.4</v>
      </c>
      <c r="R100" s="4">
        <f>Sheet54!R100</f>
        <v>2.7</v>
      </c>
      <c r="S100" s="4">
        <f>Sheet54!S100</f>
        <v>-15</v>
      </c>
      <c r="T100" s="4">
        <f>Sheet54!T100</f>
        <v>-5.7</v>
      </c>
      <c r="U100" s="4">
        <f>Sheet54!U100</f>
        <v>-7.2</v>
      </c>
      <c r="V100" s="4">
        <f>Sheet54!V100</f>
        <v>0</v>
      </c>
      <c r="W100" s="4">
        <f>Sheet54!W100</f>
        <v>0</v>
      </c>
      <c r="X100" s="4">
        <f>Sheet54!X100</f>
        <v>0</v>
      </c>
      <c r="Y100" s="4">
        <f>Sheet54!Y100</f>
        <v>0.3</v>
      </c>
      <c r="Z100" s="4">
        <f>Sheet54!Z100</f>
        <v>-14.4</v>
      </c>
      <c r="AA100" s="4">
        <f>Sheet54!AA100</f>
        <v>-7.8</v>
      </c>
      <c r="AB100" s="4">
        <f>Sheet54!AB100</f>
        <v>-6.9</v>
      </c>
      <c r="AC100" s="4">
        <f>Sheet54!AC100</f>
        <v>0</v>
      </c>
      <c r="AD100" s="4">
        <f>Sheet54!AD100</f>
        <v>0</v>
      </c>
      <c r="AE100" s="4">
        <f>Sheet54!AE100</f>
        <v>-7.2</v>
      </c>
      <c r="AF100" s="4">
        <f>Sheet54!AF100</f>
        <v>-1.8</v>
      </c>
      <c r="AG100" s="4">
        <f>Sheet54!AG100</f>
        <v>-8.6034880000000005</v>
      </c>
      <c r="AH100" s="4">
        <f>Sheet54!AH100</f>
        <v>11.9034</v>
      </c>
      <c r="AI100" s="4">
        <f>Sheet54!AI100</f>
        <v>-6.6519000000000004</v>
      </c>
      <c r="AJ100" s="4">
        <f>Sheet54!AJ100</f>
        <v>0</v>
      </c>
      <c r="AK100" s="5"/>
    </row>
    <row r="101" spans="1:37" ht="21" customHeight="1">
      <c r="A101" s="12"/>
      <c r="B101" s="14"/>
      <c r="C101" s="15" t="s">
        <v>85</v>
      </c>
      <c r="D101" s="22" t="s">
        <v>40</v>
      </c>
      <c r="E101" s="4">
        <v>263.79599000000002</v>
      </c>
      <c r="F101" s="4">
        <f>E101+Sheet54!F101</f>
        <v>263.79599000000002</v>
      </c>
      <c r="G101" s="4">
        <f>F101+Sheet54!G101</f>
        <v>263.79599000000002</v>
      </c>
      <c r="H101" s="4">
        <f>G101+Sheet54!H101</f>
        <v>263.79599000000002</v>
      </c>
      <c r="I101" s="4">
        <f>H101+Sheet54!I101</f>
        <v>263.79599000000002</v>
      </c>
      <c r="J101" s="4">
        <f>I101+Sheet54!J101</f>
        <v>263.79599000000002</v>
      </c>
      <c r="K101" s="4">
        <f>J101+Sheet54!K101</f>
        <v>263.79599000000002</v>
      </c>
      <c r="L101" s="4">
        <f>K101+Sheet54!L101</f>
        <v>263.79599000000002</v>
      </c>
      <c r="M101" s="4">
        <f>L101+Sheet54!M101</f>
        <v>263.79599000000002</v>
      </c>
      <c r="N101" s="4">
        <f>M101+Sheet54!N101</f>
        <v>263.79599000000002</v>
      </c>
      <c r="O101" s="4">
        <f>N101+Sheet54!O101</f>
        <v>263.79599000000002</v>
      </c>
      <c r="P101" s="4">
        <f>O101+Sheet54!P101</f>
        <v>263.79599000000002</v>
      </c>
      <c r="Q101" s="4">
        <f>P101+Sheet54!Q101</f>
        <v>263.79599000000002</v>
      </c>
      <c r="R101" s="4">
        <f>Q101+Sheet54!R101</f>
        <v>263.79599000000002</v>
      </c>
      <c r="S101" s="4">
        <f>R101+Sheet54!S101</f>
        <v>263.79599000000002</v>
      </c>
      <c r="T101" s="4">
        <f>S101+Sheet54!T101</f>
        <v>263.79599000000002</v>
      </c>
      <c r="U101" s="4">
        <f>T101+Sheet54!U101</f>
        <v>263.79599000000002</v>
      </c>
      <c r="V101" s="4">
        <f>U101+Sheet54!V101</f>
        <v>263.79599000000002</v>
      </c>
      <c r="W101" s="4">
        <f>V101+Sheet54!W101</f>
        <v>263.79599000000002</v>
      </c>
      <c r="X101" s="4">
        <f>W101+Sheet54!X101</f>
        <v>263.79599000000002</v>
      </c>
      <c r="Y101" s="4">
        <f>X101+Sheet54!Y101</f>
        <v>263.79599000000002</v>
      </c>
      <c r="Z101" s="4">
        <f>Y101+Sheet54!Z101</f>
        <v>263.79599000000002</v>
      </c>
      <c r="AA101" s="4">
        <f>Z101+Sheet54!AA101</f>
        <v>0</v>
      </c>
      <c r="AB101" s="4">
        <f>AA101+Sheet54!AB101</f>
        <v>0</v>
      </c>
      <c r="AC101" s="4">
        <f>AB101+Sheet54!AC101</f>
        <v>0</v>
      </c>
      <c r="AD101" s="4">
        <f>AC101+Sheet54!AD101</f>
        <v>0</v>
      </c>
      <c r="AE101" s="4">
        <f>AD101+Sheet54!AE101</f>
        <v>0</v>
      </c>
      <c r="AF101" s="4">
        <f>AE101+Sheet54!AF101</f>
        <v>0</v>
      </c>
      <c r="AG101" s="4">
        <f>AF101+Sheet54!AG101</f>
        <v>0</v>
      </c>
      <c r="AH101" s="4">
        <f>AG101+Sheet54!AH101</f>
        <v>0</v>
      </c>
      <c r="AI101" s="4">
        <f>AH101+Sheet54!AI101</f>
        <v>0</v>
      </c>
      <c r="AJ101" s="4">
        <f>AI101+Sheet54!AJ101</f>
        <v>0</v>
      </c>
      <c r="AK101" s="5"/>
    </row>
    <row r="102" spans="1:37" ht="21" customHeight="1">
      <c r="A102" s="12"/>
      <c r="B102" s="14"/>
      <c r="C102" s="15"/>
      <c r="D102" s="22" t="s">
        <v>50</v>
      </c>
      <c r="E102" s="4">
        <v>-26.43599</v>
      </c>
      <c r="F102" s="4">
        <f>E102+Sheet54!F102</f>
        <v>-26.43599</v>
      </c>
      <c r="G102" s="4">
        <f>F102+Sheet54!G102</f>
        <v>-26.43599</v>
      </c>
      <c r="H102" s="4">
        <f>G102+Sheet54!H102</f>
        <v>-26.43599</v>
      </c>
      <c r="I102" s="4">
        <f>H102+Sheet54!I102</f>
        <v>-26.43599</v>
      </c>
      <c r="J102" s="4">
        <f>I102+Sheet54!J102</f>
        <v>-23.13599</v>
      </c>
      <c r="K102" s="4">
        <f>J102+Sheet54!K102</f>
        <v>-22.355989999999998</v>
      </c>
      <c r="L102" s="4">
        <f>K102+Sheet54!L102</f>
        <v>-25.115989999999996</v>
      </c>
      <c r="M102" s="4">
        <f>L102+Sheet54!M102</f>
        <v>-25.655989999999996</v>
      </c>
      <c r="N102" s="4">
        <f>M102+Sheet54!N102</f>
        <v>-24.755989999999997</v>
      </c>
      <c r="O102" s="4">
        <f>N102+Sheet54!O102</f>
        <v>-24.755989999999997</v>
      </c>
      <c r="P102" s="4">
        <f>O102+Sheet54!P102</f>
        <v>-24.755989999999997</v>
      </c>
      <c r="Q102" s="4">
        <f>P102+Sheet54!Q102</f>
        <v>-22.715989999999998</v>
      </c>
      <c r="R102" s="4">
        <f>Q102+Sheet54!R102</f>
        <v>-26.435989999999997</v>
      </c>
      <c r="S102" s="4">
        <f>R102+Sheet54!S102</f>
        <v>-27.755989999999997</v>
      </c>
      <c r="T102" s="4">
        <f>S102+Sheet54!T102</f>
        <v>-29.315989999999996</v>
      </c>
      <c r="U102" s="4">
        <f>T102+Sheet54!U102</f>
        <v>-29.855989999999995</v>
      </c>
      <c r="V102" s="4">
        <f>U102+Sheet54!V102</f>
        <v>-29.855989999999995</v>
      </c>
      <c r="W102" s="4">
        <f>V102+Sheet54!W102</f>
        <v>-29.855989999999995</v>
      </c>
      <c r="X102" s="4">
        <f>W102+Sheet54!X102</f>
        <v>-28.355989999999995</v>
      </c>
      <c r="Y102" s="4">
        <f>X102+Sheet54!Y102</f>
        <v>-24.515989999999995</v>
      </c>
      <c r="Z102" s="4">
        <f>Y102+Sheet54!Z102</f>
        <v>-30.035989999999995</v>
      </c>
      <c r="AA102" s="4">
        <f>Z102+Sheet54!AA102</f>
        <v>0</v>
      </c>
      <c r="AB102" s="4">
        <f>AA102+Sheet54!AB102</f>
        <v>0</v>
      </c>
      <c r="AC102" s="4">
        <f>AB102+Sheet54!AC102</f>
        <v>0</v>
      </c>
      <c r="AD102" s="4">
        <f>AC102+Sheet54!AD102</f>
        <v>0</v>
      </c>
      <c r="AE102" s="4">
        <f>AD102+Sheet54!AE102</f>
        <v>0</v>
      </c>
      <c r="AF102" s="4">
        <f>AE102+Sheet54!AF102</f>
        <v>0</v>
      </c>
      <c r="AG102" s="4">
        <f>AF102+Sheet54!AG102</f>
        <v>0</v>
      </c>
      <c r="AH102" s="4">
        <f>AG102+Sheet54!AH102</f>
        <v>0</v>
      </c>
      <c r="AI102" s="4">
        <f>AH102+Sheet54!AI102</f>
        <v>0</v>
      </c>
      <c r="AJ102" s="4">
        <f>AI102+Sheet54!AJ102</f>
        <v>0</v>
      </c>
      <c r="AK102" s="5"/>
    </row>
    <row r="103" spans="1:37" ht="21" customHeight="1">
      <c r="A103" s="12"/>
      <c r="B103" s="14"/>
      <c r="C103" s="15"/>
      <c r="D103" s="21" t="s">
        <v>51</v>
      </c>
      <c r="E103" s="4">
        <v>0</v>
      </c>
      <c r="F103" s="4">
        <f>Sheet54!F103</f>
        <v>0</v>
      </c>
      <c r="G103" s="4">
        <f>Sheet54!G103</f>
        <v>0</v>
      </c>
      <c r="H103" s="4">
        <f>Sheet54!H103</f>
        <v>0</v>
      </c>
      <c r="I103" s="4">
        <f>Sheet54!I103</f>
        <v>0</v>
      </c>
      <c r="J103" s="4">
        <f>Sheet54!J103</f>
        <v>3.3</v>
      </c>
      <c r="K103" s="4">
        <f>Sheet54!K103</f>
        <v>0.78</v>
      </c>
      <c r="L103" s="4">
        <f>Sheet54!L103</f>
        <v>-2.76</v>
      </c>
      <c r="M103" s="4">
        <f>Sheet54!M103</f>
        <v>-0.54</v>
      </c>
      <c r="N103" s="4">
        <f>Sheet54!N103</f>
        <v>0.9</v>
      </c>
      <c r="O103" s="4">
        <f>Sheet54!O103</f>
        <v>0</v>
      </c>
      <c r="P103" s="4">
        <f>Sheet54!P103</f>
        <v>0</v>
      </c>
      <c r="Q103" s="4">
        <f>Sheet54!Q103</f>
        <v>2.04</v>
      </c>
      <c r="R103" s="4">
        <f>Sheet54!R103</f>
        <v>-3.72</v>
      </c>
      <c r="S103" s="4">
        <f>Sheet54!S103</f>
        <v>-1.32</v>
      </c>
      <c r="T103" s="4">
        <f>Sheet54!T103</f>
        <v>-1.56</v>
      </c>
      <c r="U103" s="4">
        <f>Sheet54!U103</f>
        <v>-0.54</v>
      </c>
      <c r="V103" s="4">
        <f>Sheet54!V103</f>
        <v>0</v>
      </c>
      <c r="W103" s="4">
        <f>Sheet54!W103</f>
        <v>0</v>
      </c>
      <c r="X103" s="4">
        <f>Sheet54!X103</f>
        <v>1.5</v>
      </c>
      <c r="Y103" s="4">
        <f>Sheet54!Y103</f>
        <v>3.84</v>
      </c>
      <c r="Z103" s="4">
        <f>Sheet54!Z103</f>
        <v>-5.52</v>
      </c>
      <c r="AA103" s="4">
        <f>Sheet54!AA103</f>
        <v>30.035990000000002</v>
      </c>
      <c r="AB103" s="4">
        <f>Sheet54!AB103</f>
        <v>0</v>
      </c>
      <c r="AC103" s="4">
        <f>Sheet54!AC103</f>
        <v>0</v>
      </c>
      <c r="AD103" s="4">
        <f>Sheet54!AD103</f>
        <v>0</v>
      </c>
      <c r="AE103" s="4">
        <f>Sheet54!AE103</f>
        <v>0</v>
      </c>
      <c r="AF103" s="4">
        <f>Sheet54!AF103</f>
        <v>0</v>
      </c>
      <c r="AG103" s="4">
        <f>Sheet54!AG103</f>
        <v>0</v>
      </c>
      <c r="AH103" s="4">
        <f>Sheet54!AH103</f>
        <v>0</v>
      </c>
      <c r="AI103" s="4">
        <f>Sheet54!AI103</f>
        <v>0</v>
      </c>
      <c r="AJ103" s="4">
        <f>Sheet54!AJ103</f>
        <v>0</v>
      </c>
      <c r="AK103" s="5"/>
    </row>
    <row r="104" spans="1:37" ht="21" customHeight="1">
      <c r="A104" s="12"/>
      <c r="B104" s="14"/>
      <c r="C104" s="15"/>
      <c r="D104" s="21" t="s">
        <v>58</v>
      </c>
      <c r="E104" s="4">
        <v>0</v>
      </c>
      <c r="F104" s="4">
        <f>Sheet54!F104</f>
        <v>0</v>
      </c>
      <c r="G104" s="4">
        <f>Sheet54!G104</f>
        <v>0</v>
      </c>
      <c r="H104" s="4">
        <f>Sheet54!H104</f>
        <v>0</v>
      </c>
      <c r="I104" s="4">
        <f>Sheet54!I104</f>
        <v>0</v>
      </c>
      <c r="J104" s="4">
        <f>Sheet54!J104</f>
        <v>0</v>
      </c>
      <c r="K104" s="4">
        <f>Sheet54!K104</f>
        <v>0</v>
      </c>
      <c r="L104" s="4">
        <f>Sheet54!L104</f>
        <v>0</v>
      </c>
      <c r="M104" s="4">
        <f>Sheet54!M104</f>
        <v>0</v>
      </c>
      <c r="N104" s="4">
        <f>Sheet54!N104</f>
        <v>0</v>
      </c>
      <c r="O104" s="4">
        <f>Sheet54!O104</f>
        <v>0</v>
      </c>
      <c r="P104" s="4">
        <f>Sheet54!P104</f>
        <v>0</v>
      </c>
      <c r="Q104" s="4">
        <f>Sheet54!Q104</f>
        <v>0</v>
      </c>
      <c r="R104" s="4">
        <f>Sheet54!R104</f>
        <v>0</v>
      </c>
      <c r="S104" s="4">
        <f>Sheet54!S104</f>
        <v>0</v>
      </c>
      <c r="T104" s="4">
        <f>Sheet54!T104</f>
        <v>0</v>
      </c>
      <c r="U104" s="4">
        <f>Sheet54!U104</f>
        <v>0</v>
      </c>
      <c r="V104" s="4">
        <f>Sheet54!V104</f>
        <v>0</v>
      </c>
      <c r="W104" s="4">
        <f>Sheet54!W104</f>
        <v>0</v>
      </c>
      <c r="X104" s="4">
        <f>Sheet54!X104</f>
        <v>0</v>
      </c>
      <c r="Y104" s="4">
        <f>Sheet54!Y104</f>
        <v>0</v>
      </c>
      <c r="Z104" s="4">
        <f>Sheet54!Z104</f>
        <v>0</v>
      </c>
      <c r="AA104" s="4">
        <f>Sheet54!AA104</f>
        <v>-31.027370000000001</v>
      </c>
      <c r="AB104" s="4">
        <f>Sheet54!AB104</f>
        <v>0</v>
      </c>
      <c r="AC104" s="4">
        <f>Sheet54!AC104</f>
        <v>0</v>
      </c>
      <c r="AD104" s="4">
        <f>Sheet54!AD104</f>
        <v>0</v>
      </c>
      <c r="AE104" s="4">
        <f>Sheet54!AE104</f>
        <v>0</v>
      </c>
      <c r="AF104" s="4">
        <f>Sheet54!AF104</f>
        <v>0</v>
      </c>
      <c r="AG104" s="4">
        <f>Sheet54!AG104</f>
        <v>0</v>
      </c>
      <c r="AH104" s="4">
        <f>Sheet54!AH104</f>
        <v>0</v>
      </c>
      <c r="AI104" s="4">
        <f>Sheet54!AI104</f>
        <v>0</v>
      </c>
      <c r="AJ104" s="4">
        <f>Sheet54!AJ104</f>
        <v>0</v>
      </c>
      <c r="AK104" s="5"/>
    </row>
    <row r="105" spans="1:37" ht="21" customHeight="1">
      <c r="A105" s="12"/>
      <c r="B105" s="14"/>
      <c r="C105" s="15" t="s">
        <v>86</v>
      </c>
      <c r="D105" s="22" t="s">
        <v>40</v>
      </c>
      <c r="E105" s="4">
        <v>630.73252300000001</v>
      </c>
      <c r="F105" s="4">
        <f>E105+Sheet54!F105</f>
        <v>630.73252300000001</v>
      </c>
      <c r="G105" s="4">
        <f>F105+Sheet54!G105</f>
        <v>630.73252300000001</v>
      </c>
      <c r="H105" s="4">
        <f>G105+Sheet54!H105</f>
        <v>630.73252300000001</v>
      </c>
      <c r="I105" s="4">
        <f>H105+Sheet54!I105</f>
        <v>630.73252300000001</v>
      </c>
      <c r="J105" s="4">
        <f>I105+Sheet54!J105</f>
        <v>630.73252300000001</v>
      </c>
      <c r="K105" s="4">
        <f>J105+Sheet54!K105</f>
        <v>630.73252300000001</v>
      </c>
      <c r="L105" s="4">
        <f>K105+Sheet54!L105</f>
        <v>630.73252300000001</v>
      </c>
      <c r="M105" s="4">
        <f>L105+Sheet54!M105</f>
        <v>630.73252300000001</v>
      </c>
      <c r="N105" s="4">
        <f>M105+Sheet54!N105</f>
        <v>630.73252300000001</v>
      </c>
      <c r="O105" s="4">
        <f>N105+Sheet54!O105</f>
        <v>630.73252300000001</v>
      </c>
      <c r="P105" s="4">
        <f>O105+Sheet54!P105</f>
        <v>630.73252300000001</v>
      </c>
      <c r="Q105" s="4">
        <f>P105+Sheet54!Q105</f>
        <v>630.73252300000001</v>
      </c>
      <c r="R105" s="4">
        <f>Q105+Sheet54!R105</f>
        <v>630.73252300000001</v>
      </c>
      <c r="S105" s="4">
        <f>R105+Sheet54!S105</f>
        <v>630.73252300000001</v>
      </c>
      <c r="T105" s="4">
        <f>S105+Sheet54!T105</f>
        <v>630.73252300000001</v>
      </c>
      <c r="U105" s="4">
        <f>T105+Sheet54!U105</f>
        <v>630.73252300000001</v>
      </c>
      <c r="V105" s="4">
        <f>U105+Sheet54!V105</f>
        <v>630.73252300000001</v>
      </c>
      <c r="W105" s="4">
        <f>V105+Sheet54!W105</f>
        <v>630.73252300000001</v>
      </c>
      <c r="X105" s="4">
        <f>W105+Sheet54!X105</f>
        <v>630.73252300000001</v>
      </c>
      <c r="Y105" s="4">
        <f>X105+Sheet54!Y105</f>
        <v>630.73252300000001</v>
      </c>
      <c r="Z105" s="4">
        <f>Y105+Sheet54!Z105</f>
        <v>630.73252300000001</v>
      </c>
      <c r="AA105" s="4">
        <f>Z105+Sheet54!AA105</f>
        <v>630.73252300000001</v>
      </c>
      <c r="AB105" s="4">
        <f>AA105+Sheet54!AB105</f>
        <v>630.73252300000001</v>
      </c>
      <c r="AC105" s="4">
        <f>AB105+Sheet54!AC105</f>
        <v>630.73252300000001</v>
      </c>
      <c r="AD105" s="4">
        <f>AC105+Sheet54!AD105</f>
        <v>630.73252300000001</v>
      </c>
      <c r="AE105" s="4">
        <f>AD105+Sheet54!AE105</f>
        <v>630.73252300000001</v>
      </c>
      <c r="AF105" s="4">
        <f>AE105+Sheet54!AF105</f>
        <v>630.73252300000001</v>
      </c>
      <c r="AG105" s="4">
        <f>AF105+Sheet54!AG105</f>
        <v>737.74778300000003</v>
      </c>
      <c r="AH105" s="4">
        <f>AG105+Sheet54!AH105</f>
        <v>737.74778300000003</v>
      </c>
      <c r="AI105" s="4">
        <f>AH105+Sheet54!AI105</f>
        <v>737.74778300000003</v>
      </c>
      <c r="AJ105" s="4">
        <f>AI105+Sheet54!AJ105</f>
        <v>737.74778300000003</v>
      </c>
      <c r="AK105" s="5"/>
    </row>
    <row r="106" spans="1:37" ht="21" customHeight="1">
      <c r="A106" s="12"/>
      <c r="B106" s="14"/>
      <c r="C106" s="15"/>
      <c r="D106" s="22" t="s">
        <v>50</v>
      </c>
      <c r="E106" s="4">
        <v>0.76747699999998398</v>
      </c>
      <c r="F106" s="4">
        <f>E106+Sheet54!F106</f>
        <v>0.76747699999998398</v>
      </c>
      <c r="G106" s="4">
        <f>F106+Sheet54!G106</f>
        <v>0.76747699999998398</v>
      </c>
      <c r="H106" s="4">
        <f>G106+Sheet54!H106</f>
        <v>0.76747699999998398</v>
      </c>
      <c r="I106" s="4">
        <f>H106+Sheet54!I106</f>
        <v>0.76747699999998398</v>
      </c>
      <c r="J106" s="4">
        <f>I106+Sheet54!J106</f>
        <v>4.5174769999999835</v>
      </c>
      <c r="K106" s="4">
        <f>J106+Sheet54!K106</f>
        <v>10.217476999999985</v>
      </c>
      <c r="L106" s="4">
        <f>K106+Sheet54!L106</f>
        <v>1.5174769999999853</v>
      </c>
      <c r="M106" s="4">
        <f>L106+Sheet54!M106</f>
        <v>-7.0325230000000154</v>
      </c>
      <c r="N106" s="4">
        <f>M106+Sheet54!N106</f>
        <v>-11.232523000000015</v>
      </c>
      <c r="O106" s="4">
        <f>N106+Sheet54!O106</f>
        <v>-11.232523000000015</v>
      </c>
      <c r="P106" s="4">
        <f>O106+Sheet54!P106</f>
        <v>-11.232523000000015</v>
      </c>
      <c r="Q106" s="4">
        <f>P106+Sheet54!Q106</f>
        <v>-13.932523000000014</v>
      </c>
      <c r="R106" s="4">
        <f>Q106+Sheet54!R106</f>
        <v>-13.782523000000014</v>
      </c>
      <c r="S106" s="4">
        <f>R106+Sheet54!S106</f>
        <v>-29.682523000000014</v>
      </c>
      <c r="T106" s="4">
        <f>S106+Sheet54!T106</f>
        <v>-29.082523000000013</v>
      </c>
      <c r="U106" s="4">
        <f>T106+Sheet54!U106</f>
        <v>-49.932523000000018</v>
      </c>
      <c r="V106" s="4">
        <f>U106+Sheet54!V106</f>
        <v>-49.932523000000018</v>
      </c>
      <c r="W106" s="4">
        <f>V106+Sheet54!W106</f>
        <v>-49.932523000000018</v>
      </c>
      <c r="X106" s="4">
        <f>W106+Sheet54!X106</f>
        <v>-52.482523000000015</v>
      </c>
      <c r="Y106" s="4">
        <f>X106+Sheet54!Y106</f>
        <v>-49.782523000000012</v>
      </c>
      <c r="Z106" s="4">
        <f>Y106+Sheet54!Z106</f>
        <v>-57.132523000000013</v>
      </c>
      <c r="AA106" s="4">
        <f>Z106+Sheet54!AA106</f>
        <v>-62.982523000000015</v>
      </c>
      <c r="AB106" s="4">
        <f>AA106+Sheet54!AB106</f>
        <v>-68.232523000000015</v>
      </c>
      <c r="AC106" s="4">
        <f>AB106+Sheet54!AC106</f>
        <v>-68.232523000000015</v>
      </c>
      <c r="AD106" s="4">
        <f>AC106+Sheet54!AD106</f>
        <v>-68.232523000000015</v>
      </c>
      <c r="AE106" s="4">
        <f>AD106+Sheet54!AE106</f>
        <v>-60.432523000000018</v>
      </c>
      <c r="AF106" s="4">
        <f>AE106+Sheet54!AF106</f>
        <v>-59.232523000000015</v>
      </c>
      <c r="AG106" s="4">
        <f>AF106+Sheet54!AG106</f>
        <v>-64.529783000000009</v>
      </c>
      <c r="AH106" s="4">
        <f>AG106+Sheet54!AH106</f>
        <v>-51.528483000000008</v>
      </c>
      <c r="AI106" s="4">
        <f>AH106+Sheet54!AI106</f>
        <v>-49.035083000000007</v>
      </c>
      <c r="AJ106" s="4">
        <f>AI106+Sheet54!AJ106</f>
        <v>-49.035083000000007</v>
      </c>
      <c r="AK106" s="5"/>
    </row>
    <row r="107" spans="1:37" ht="21" customHeight="1">
      <c r="A107" s="12"/>
      <c r="B107" s="14"/>
      <c r="C107" s="15"/>
      <c r="D107" s="21" t="s">
        <v>51</v>
      </c>
      <c r="E107" s="4">
        <v>0</v>
      </c>
      <c r="F107" s="4">
        <f>Sheet54!F107</f>
        <v>0</v>
      </c>
      <c r="G107" s="4">
        <f>Sheet54!G107</f>
        <v>0</v>
      </c>
      <c r="H107" s="4">
        <f>Sheet54!H107</f>
        <v>0</v>
      </c>
      <c r="I107" s="4">
        <f>Sheet54!I107</f>
        <v>0</v>
      </c>
      <c r="J107" s="4">
        <f>Sheet54!J107</f>
        <v>3.75</v>
      </c>
      <c r="K107" s="4">
        <f>Sheet54!K107</f>
        <v>5.7</v>
      </c>
      <c r="L107" s="4">
        <f>Sheet54!L107</f>
        <v>-8.6999999999999993</v>
      </c>
      <c r="M107" s="4">
        <f>Sheet54!M107</f>
        <v>-8.5500000000000007</v>
      </c>
      <c r="N107" s="4">
        <f>Sheet54!N107</f>
        <v>-4.2</v>
      </c>
      <c r="O107" s="4">
        <f>Sheet54!O107</f>
        <v>0</v>
      </c>
      <c r="P107" s="4">
        <f>Sheet54!P107</f>
        <v>0</v>
      </c>
      <c r="Q107" s="4">
        <f>Sheet54!Q107</f>
        <v>-2.7</v>
      </c>
      <c r="R107" s="4">
        <f>Sheet54!R107</f>
        <v>0.15</v>
      </c>
      <c r="S107" s="4">
        <f>Sheet54!S107</f>
        <v>-15.9</v>
      </c>
      <c r="T107" s="4">
        <f>Sheet54!T107</f>
        <v>0.6</v>
      </c>
      <c r="U107" s="4">
        <f>Sheet54!U107</f>
        <v>-20.85</v>
      </c>
      <c r="V107" s="4">
        <f>Sheet54!V107</f>
        <v>0</v>
      </c>
      <c r="W107" s="4">
        <f>Sheet54!W107</f>
        <v>0</v>
      </c>
      <c r="X107" s="4">
        <f>Sheet54!X107</f>
        <v>-2.5499999999999998</v>
      </c>
      <c r="Y107" s="4">
        <f>Sheet54!Y107</f>
        <v>2.7</v>
      </c>
      <c r="Z107" s="4">
        <f>Sheet54!Z107</f>
        <v>-7.35</v>
      </c>
      <c r="AA107" s="4">
        <f>Sheet54!AA107</f>
        <v>-5.85</v>
      </c>
      <c r="AB107" s="4">
        <f>Sheet54!AB107</f>
        <v>-5.25</v>
      </c>
      <c r="AC107" s="4">
        <f>Sheet54!AC107</f>
        <v>0</v>
      </c>
      <c r="AD107" s="4">
        <f>Sheet54!AD107</f>
        <v>0</v>
      </c>
      <c r="AE107" s="4">
        <f>Sheet54!AE107</f>
        <v>7.8</v>
      </c>
      <c r="AF107" s="4">
        <f>Sheet54!AF107</f>
        <v>1.2</v>
      </c>
      <c r="AG107" s="4">
        <f>Sheet54!AG107</f>
        <v>-5.2972599999999996</v>
      </c>
      <c r="AH107" s="4">
        <f>Sheet54!AH107</f>
        <v>13.001300000000001</v>
      </c>
      <c r="AI107" s="4">
        <f>Sheet54!AI107</f>
        <v>2.4933999999999998</v>
      </c>
      <c r="AJ107" s="4">
        <f>Sheet54!AJ107</f>
        <v>0</v>
      </c>
      <c r="AK107" s="5"/>
    </row>
    <row r="108" spans="1:37" ht="21" customHeight="1">
      <c r="A108" s="12"/>
      <c r="B108" s="14"/>
      <c r="C108" s="15" t="s">
        <v>87</v>
      </c>
      <c r="D108" s="22" t="s">
        <v>40</v>
      </c>
      <c r="E108" s="4">
        <v>353.92173500000001</v>
      </c>
      <c r="F108" s="4">
        <f>E108+Sheet54!F108</f>
        <v>353.92173500000001</v>
      </c>
      <c r="G108" s="4">
        <f>F108+Sheet54!G108</f>
        <v>353.92173500000001</v>
      </c>
      <c r="H108" s="4">
        <f>G108+Sheet54!H108</f>
        <v>353.92173500000001</v>
      </c>
      <c r="I108" s="4">
        <f>H108+Sheet54!I108</f>
        <v>353.92173500000001</v>
      </c>
      <c r="J108" s="4">
        <f>I108+Sheet54!J108</f>
        <v>353.92173500000001</v>
      </c>
      <c r="K108" s="4">
        <f>J108+Sheet54!K108</f>
        <v>353.92173500000001</v>
      </c>
      <c r="L108" s="4">
        <f>K108+Sheet54!L108</f>
        <v>353.92173500000001</v>
      </c>
      <c r="M108" s="4">
        <f>L108+Sheet54!M108</f>
        <v>353.92173500000001</v>
      </c>
      <c r="N108" s="4">
        <f>M108+Sheet54!N108</f>
        <v>353.92173500000001</v>
      </c>
      <c r="O108" s="4">
        <f>N108+Sheet54!O108</f>
        <v>353.92173500000001</v>
      </c>
      <c r="P108" s="4">
        <f>O108+Sheet54!P108</f>
        <v>353.92173500000001</v>
      </c>
      <c r="Q108" s="4">
        <f>P108+Sheet54!Q108</f>
        <v>353.92173500000001</v>
      </c>
      <c r="R108" s="4">
        <f>Q108+Sheet54!R108</f>
        <v>353.92173500000001</v>
      </c>
      <c r="S108" s="4">
        <f>R108+Sheet54!S108</f>
        <v>353.92173500000001</v>
      </c>
      <c r="T108" s="4">
        <f>S108+Sheet54!T108</f>
        <v>353.92173500000001</v>
      </c>
      <c r="U108" s="4">
        <f>T108+Sheet54!U108</f>
        <v>353.92173500000001</v>
      </c>
      <c r="V108" s="4">
        <f>U108+Sheet54!V108</f>
        <v>353.92173500000001</v>
      </c>
      <c r="W108" s="4">
        <f>V108+Sheet54!W108</f>
        <v>353.92173500000001</v>
      </c>
      <c r="X108" s="4">
        <f>W108+Sheet54!X108</f>
        <v>353.92173500000001</v>
      </c>
      <c r="Y108" s="4">
        <f>X108+Sheet54!Y108</f>
        <v>353.92173500000001</v>
      </c>
      <c r="Z108" s="4">
        <f>Y108+Sheet54!Z108</f>
        <v>353.92173500000001</v>
      </c>
      <c r="AA108" s="4">
        <f>Z108+Sheet54!AA108</f>
        <v>353.92173500000001</v>
      </c>
      <c r="AB108" s="4">
        <f>AA108+Sheet54!AB108</f>
        <v>353.92173500000001</v>
      </c>
      <c r="AC108" s="4">
        <f>AB108+Sheet54!AC108</f>
        <v>353.92173500000001</v>
      </c>
      <c r="AD108" s="4">
        <f>AC108+Sheet54!AD108</f>
        <v>353.92173500000001</v>
      </c>
      <c r="AE108" s="4">
        <f>AD108+Sheet54!AE108</f>
        <v>353.92173500000001</v>
      </c>
      <c r="AF108" s="4">
        <f>AE108+Sheet54!AF108</f>
        <v>353.92173500000001</v>
      </c>
      <c r="AG108" s="4">
        <f>AF108+Sheet54!AG108</f>
        <v>353.92173500000001</v>
      </c>
      <c r="AH108" s="4">
        <f>AG108+Sheet54!AH108</f>
        <v>353.92173500000001</v>
      </c>
      <c r="AI108" s="4">
        <f>AH108+Sheet54!AI108</f>
        <v>353.92173500000001</v>
      </c>
      <c r="AJ108" s="4">
        <f>AI108+Sheet54!AJ108</f>
        <v>353.92173500000001</v>
      </c>
      <c r="AK108" s="5"/>
    </row>
    <row r="109" spans="1:37" ht="21" customHeight="1">
      <c r="A109" s="12"/>
      <c r="B109" s="14"/>
      <c r="C109" s="15"/>
      <c r="D109" s="22" t="s">
        <v>50</v>
      </c>
      <c r="E109" s="4">
        <v>32.139744999999998</v>
      </c>
      <c r="F109" s="4">
        <f>E109+Sheet54!F109</f>
        <v>32.139744999999998</v>
      </c>
      <c r="G109" s="4">
        <f>F109+Sheet54!G109</f>
        <v>32.139744999999998</v>
      </c>
      <c r="H109" s="4">
        <f>G109+Sheet54!H109</f>
        <v>32.139744999999998</v>
      </c>
      <c r="I109" s="4">
        <f>H109+Sheet54!I109</f>
        <v>32.139744999999998</v>
      </c>
      <c r="J109" s="4">
        <f>I109+Sheet54!J109</f>
        <v>33.038964999999997</v>
      </c>
      <c r="K109" s="4">
        <f>J109+Sheet54!K109</f>
        <v>33.063865</v>
      </c>
      <c r="L109" s="4">
        <f>K109+Sheet54!L109</f>
        <v>28.892184999999998</v>
      </c>
      <c r="M109" s="4">
        <f>L109+Sheet54!M109</f>
        <v>21.412764999999997</v>
      </c>
      <c r="N109" s="4">
        <f>M109+Sheet54!N109</f>
        <v>20.701824999999996</v>
      </c>
      <c r="O109" s="4">
        <f>N109+Sheet54!O109</f>
        <v>20.701824999999996</v>
      </c>
      <c r="P109" s="4">
        <f>O109+Sheet54!P109</f>
        <v>20.701824999999996</v>
      </c>
      <c r="Q109" s="4">
        <f>P109+Sheet54!Q109</f>
        <v>21.692904999999996</v>
      </c>
      <c r="R109" s="4">
        <f>Q109+Sheet54!R109</f>
        <v>23.209644999999995</v>
      </c>
      <c r="S109" s="4">
        <f>R109+Sheet54!S109</f>
        <v>17.845044999999995</v>
      </c>
      <c r="T109" s="4">
        <f>S109+Sheet54!T109</f>
        <v>11.448384999999995</v>
      </c>
      <c r="U109" s="4">
        <f>T109+Sheet54!U109</f>
        <v>10.090164999999995</v>
      </c>
      <c r="V109" s="4">
        <f>U109+Sheet54!V109</f>
        <v>10.090164999999995</v>
      </c>
      <c r="W109" s="4">
        <f>V109+Sheet54!W109</f>
        <v>10.090164999999995</v>
      </c>
      <c r="X109" s="4">
        <f>W109+Sheet54!X109</f>
        <v>5.6805849999999953</v>
      </c>
      <c r="Y109" s="4">
        <f>X109+Sheet54!Y109</f>
        <v>15.573264999999996</v>
      </c>
      <c r="Z109" s="4">
        <f>Y109+Sheet54!Z109</f>
        <v>11.990904999999996</v>
      </c>
      <c r="AA109" s="4">
        <f>Z109+Sheet54!AA109</f>
        <v>10.876344999999997</v>
      </c>
      <c r="AB109" s="4">
        <f>AA109+Sheet54!AB109</f>
        <v>10.794624999999996</v>
      </c>
      <c r="AC109" s="4">
        <f>AB109+Sheet54!AC109</f>
        <v>10.794624999999996</v>
      </c>
      <c r="AD109" s="4">
        <f>AC109+Sheet54!AD109</f>
        <v>10.794624999999996</v>
      </c>
      <c r="AE109" s="4">
        <f>AD109+Sheet54!AE109</f>
        <v>14.584824999999997</v>
      </c>
      <c r="AF109" s="4">
        <f>AE109+Sheet54!AF109</f>
        <v>20.718264999999995</v>
      </c>
      <c r="AG109" s="4">
        <f>AF109+Sheet54!AG109</f>
        <v>28.660464999999995</v>
      </c>
      <c r="AH109" s="4">
        <f>AG109+Sheet54!AH109</f>
        <v>36.746664999999993</v>
      </c>
      <c r="AI109" s="4">
        <f>AH109+Sheet54!AI109</f>
        <v>39.415164999999995</v>
      </c>
      <c r="AJ109" s="4">
        <f>AI109+Sheet54!AJ109</f>
        <v>39.415164999999995</v>
      </c>
      <c r="AK109" s="5"/>
    </row>
    <row r="110" spans="1:37" ht="21" customHeight="1">
      <c r="A110" s="12"/>
      <c r="B110" s="14"/>
      <c r="C110" s="15"/>
      <c r="D110" s="21" t="s">
        <v>51</v>
      </c>
      <c r="E110" s="4">
        <v>0</v>
      </c>
      <c r="F110" s="4">
        <f>Sheet54!F110</f>
        <v>0</v>
      </c>
      <c r="G110" s="4">
        <f>Sheet54!G110</f>
        <v>0</v>
      </c>
      <c r="H110" s="4">
        <f>Sheet54!H110</f>
        <v>0</v>
      </c>
      <c r="I110" s="4">
        <f>Sheet54!I110</f>
        <v>0</v>
      </c>
      <c r="J110" s="4">
        <f>Sheet54!J110</f>
        <v>0.89922000000000002</v>
      </c>
      <c r="K110" s="4">
        <f>Sheet54!K110</f>
        <v>2.4899999999999999E-2</v>
      </c>
      <c r="L110" s="4">
        <f>Sheet54!L110</f>
        <v>-4.1716800000000003</v>
      </c>
      <c r="M110" s="4">
        <f>Sheet54!M110</f>
        <v>-7.4794200000000002</v>
      </c>
      <c r="N110" s="4">
        <f>Sheet54!N110</f>
        <v>-0.71094000000000002</v>
      </c>
      <c r="O110" s="4">
        <f>Sheet54!O110</f>
        <v>0</v>
      </c>
      <c r="P110" s="4">
        <f>Sheet54!P110</f>
        <v>0</v>
      </c>
      <c r="Q110" s="4">
        <f>Sheet54!Q110</f>
        <v>0.99107999999999996</v>
      </c>
      <c r="R110" s="4">
        <f>Sheet54!R110</f>
        <v>1.51674</v>
      </c>
      <c r="S110" s="4">
        <f>Sheet54!S110</f>
        <v>-5.3646000000000003</v>
      </c>
      <c r="T110" s="4">
        <f>Sheet54!T110</f>
        <v>-6.3966599999999998</v>
      </c>
      <c r="U110" s="4">
        <f>Sheet54!U110</f>
        <v>-1.35822</v>
      </c>
      <c r="V110" s="4">
        <f>Sheet54!V110</f>
        <v>0</v>
      </c>
      <c r="W110" s="4">
        <f>Sheet54!W110</f>
        <v>0</v>
      </c>
      <c r="X110" s="4">
        <f>Sheet54!X110</f>
        <v>-4.4095800000000001</v>
      </c>
      <c r="Y110" s="4">
        <f>Sheet54!Y110</f>
        <v>9.8926800000000004</v>
      </c>
      <c r="Z110" s="4">
        <f>Sheet54!Z110</f>
        <v>-3.58236</v>
      </c>
      <c r="AA110" s="4">
        <f>Sheet54!AA110</f>
        <v>-1.11456</v>
      </c>
      <c r="AB110" s="4">
        <f>Sheet54!AB110</f>
        <v>-8.1720000000000001E-2</v>
      </c>
      <c r="AC110" s="4">
        <f>Sheet54!AC110</f>
        <v>0</v>
      </c>
      <c r="AD110" s="4">
        <f>Sheet54!AD110</f>
        <v>0</v>
      </c>
      <c r="AE110" s="4">
        <f>Sheet54!AE110</f>
        <v>3.7902</v>
      </c>
      <c r="AF110" s="4">
        <f>Sheet54!AF110</f>
        <v>6.1334400000000002</v>
      </c>
      <c r="AG110" s="4">
        <f>Sheet54!AG110</f>
        <v>7.9421999999999997</v>
      </c>
      <c r="AH110" s="4">
        <f>Sheet54!AH110</f>
        <v>8.0861999999999998</v>
      </c>
      <c r="AI110" s="4">
        <f>Sheet54!AI110</f>
        <v>2.6684999999999999</v>
      </c>
      <c r="AJ110" s="4">
        <f>Sheet54!AJ110</f>
        <v>0</v>
      </c>
      <c r="AK110" s="5"/>
    </row>
    <row r="111" spans="1:37" ht="21" customHeight="1">
      <c r="A111" s="12"/>
      <c r="B111" s="14"/>
      <c r="C111" s="15" t="s">
        <v>88</v>
      </c>
      <c r="D111" s="22" t="s">
        <v>40</v>
      </c>
      <c r="E111" s="4">
        <v>879.986087</v>
      </c>
      <c r="F111" s="4">
        <f>E111+Sheet54!F111</f>
        <v>879.986087</v>
      </c>
      <c r="G111" s="4">
        <f>F111+Sheet54!G111</f>
        <v>879.986087</v>
      </c>
      <c r="H111" s="4">
        <f>G111+Sheet54!H111</f>
        <v>879.986087</v>
      </c>
      <c r="I111" s="4">
        <f>H111+Sheet54!I111</f>
        <v>879.986087</v>
      </c>
      <c r="J111" s="4">
        <f>I111+Sheet54!J111</f>
        <v>879.986087</v>
      </c>
      <c r="K111" s="4">
        <f>J111+Sheet54!K111</f>
        <v>879.986087</v>
      </c>
      <c r="L111" s="4">
        <f>K111+Sheet54!L111</f>
        <v>879.986087</v>
      </c>
      <c r="M111" s="4">
        <f>L111+Sheet54!M111</f>
        <v>879.986087</v>
      </c>
      <c r="N111" s="4">
        <f>M111+Sheet54!N111</f>
        <v>879.986087</v>
      </c>
      <c r="O111" s="4">
        <f>N111+Sheet54!O111</f>
        <v>879.986087</v>
      </c>
      <c r="P111" s="4">
        <f>O111+Sheet54!P111</f>
        <v>879.986087</v>
      </c>
      <c r="Q111" s="4">
        <f>P111+Sheet54!Q111</f>
        <v>879.986087</v>
      </c>
      <c r="R111" s="4">
        <f>Q111+Sheet54!R111</f>
        <v>879.986087</v>
      </c>
      <c r="S111" s="4">
        <f>R111+Sheet54!S111</f>
        <v>879.986087</v>
      </c>
      <c r="T111" s="4">
        <f>S111+Sheet54!T111</f>
        <v>879.986087</v>
      </c>
      <c r="U111" s="4">
        <f>T111+Sheet54!U111</f>
        <v>879.986087</v>
      </c>
      <c r="V111" s="4">
        <f>U111+Sheet54!V111</f>
        <v>879.986087</v>
      </c>
      <c r="W111" s="4">
        <f>V111+Sheet54!W111</f>
        <v>879.986087</v>
      </c>
      <c r="X111" s="4">
        <f>W111+Sheet54!X111</f>
        <v>879.986087</v>
      </c>
      <c r="Y111" s="4">
        <f>X111+Sheet54!Y111</f>
        <v>879.986087</v>
      </c>
      <c r="Z111" s="4">
        <f>Y111+Sheet54!Z111</f>
        <v>879.986087</v>
      </c>
      <c r="AA111" s="4">
        <f>Z111+Sheet54!AA111</f>
        <v>879.986087</v>
      </c>
      <c r="AB111" s="4">
        <f>AA111+Sheet54!AB111</f>
        <v>879.986087</v>
      </c>
      <c r="AC111" s="4">
        <f>AB111+Sheet54!AC111</f>
        <v>879.986087</v>
      </c>
      <c r="AD111" s="4">
        <f>AC111+Sheet54!AD111</f>
        <v>879.986087</v>
      </c>
      <c r="AE111" s="4">
        <f>AD111+Sheet54!AE111</f>
        <v>879.986087</v>
      </c>
      <c r="AF111" s="4">
        <f>AE111+Sheet54!AF111</f>
        <v>879.986087</v>
      </c>
      <c r="AG111" s="4">
        <f>AF111+Sheet54!AG111</f>
        <v>879.986087</v>
      </c>
      <c r="AH111" s="4">
        <f>AG111+Sheet54!AH111</f>
        <v>879.986087</v>
      </c>
      <c r="AI111" s="4">
        <f>AH111+Sheet54!AI111</f>
        <v>879.986087</v>
      </c>
      <c r="AJ111" s="4">
        <f>AI111+Sheet54!AJ111</f>
        <v>879.986087</v>
      </c>
      <c r="AK111" s="5"/>
    </row>
    <row r="112" spans="1:37" ht="21" customHeight="1">
      <c r="A112" s="12"/>
      <c r="B112" s="14"/>
      <c r="C112" s="15"/>
      <c r="D112" s="22" t="s">
        <v>50</v>
      </c>
      <c r="E112" s="4">
        <v>-57.698467000000001</v>
      </c>
      <c r="F112" s="4">
        <f>E112+Sheet54!F112</f>
        <v>-57.698467000000001</v>
      </c>
      <c r="G112" s="4">
        <f>F112+Sheet54!G112</f>
        <v>-57.698467000000001</v>
      </c>
      <c r="H112" s="4">
        <f>G112+Sheet54!H112</f>
        <v>-57.698467000000001</v>
      </c>
      <c r="I112" s="4">
        <f>H112+Sheet54!I112</f>
        <v>-57.698467000000001</v>
      </c>
      <c r="J112" s="4">
        <f>I112+Sheet54!J112</f>
        <v>-57.314436999999998</v>
      </c>
      <c r="K112" s="4">
        <f>J112+Sheet54!K112</f>
        <v>-46.981667000000002</v>
      </c>
      <c r="L112" s="4">
        <f>K112+Sheet54!L112</f>
        <v>-60.413027</v>
      </c>
      <c r="M112" s="4">
        <f>L112+Sheet54!M112</f>
        <v>-65.235586999999995</v>
      </c>
      <c r="N112" s="4">
        <f>M112+Sheet54!N112</f>
        <v>-71.347426999999996</v>
      </c>
      <c r="O112" s="4">
        <f>N112+Sheet54!O112</f>
        <v>-71.347426999999996</v>
      </c>
      <c r="P112" s="4">
        <f>O112+Sheet54!P112</f>
        <v>-71.347426999999996</v>
      </c>
      <c r="Q112" s="4">
        <f>P112+Sheet54!Q112</f>
        <v>-68.482926999999989</v>
      </c>
      <c r="R112" s="4">
        <f>Q112+Sheet54!R112</f>
        <v>-71.36204699999999</v>
      </c>
      <c r="S112" s="4">
        <f>R112+Sheet54!S112</f>
        <v>-71.36204699999999</v>
      </c>
      <c r="T112" s="4">
        <f>S112+Sheet54!T112</f>
        <v>-77.352166999999994</v>
      </c>
      <c r="U112" s="4">
        <f>T112+Sheet54!U112</f>
        <v>-91.651037000000002</v>
      </c>
      <c r="V112" s="4">
        <f>U112+Sheet54!V112</f>
        <v>-91.651037000000002</v>
      </c>
      <c r="W112" s="4">
        <f>V112+Sheet54!W112</f>
        <v>-91.651037000000002</v>
      </c>
      <c r="X112" s="4">
        <f>W112+Sheet54!X112</f>
        <v>-102.54480700000001</v>
      </c>
      <c r="Y112" s="4">
        <f>X112+Sheet54!Y112</f>
        <v>-94.050587000000007</v>
      </c>
      <c r="Z112" s="4">
        <f>Y112+Sheet54!Z112</f>
        <v>-102.421727</v>
      </c>
      <c r="AA112" s="4">
        <f>Z112+Sheet54!AA112</f>
        <v>-95.304167000000007</v>
      </c>
      <c r="AB112" s="4">
        <f>AA112+Sheet54!AB112</f>
        <v>-84.858007000000001</v>
      </c>
      <c r="AC112" s="4">
        <f>AB112+Sheet54!AC112</f>
        <v>-84.858007000000001</v>
      </c>
      <c r="AD112" s="4">
        <f>AC112+Sheet54!AD112</f>
        <v>-84.858007000000001</v>
      </c>
      <c r="AE112" s="4">
        <f>AD112+Sheet54!AE112</f>
        <v>-90.839286999999999</v>
      </c>
      <c r="AF112" s="4">
        <f>AE112+Sheet54!AF112</f>
        <v>-106.62208699999999</v>
      </c>
      <c r="AG112" s="4">
        <f>AF112+Sheet54!AG112</f>
        <v>-58.281566999999995</v>
      </c>
      <c r="AH112" s="4">
        <f>AG112+Sheet54!AH112</f>
        <v>-60.400786999999994</v>
      </c>
      <c r="AI112" s="4">
        <f>AH112+Sheet54!AI112</f>
        <v>-66.449387000000002</v>
      </c>
      <c r="AJ112" s="4">
        <f>AI112+Sheet54!AJ112</f>
        <v>-66.449387000000002</v>
      </c>
      <c r="AK112" s="5"/>
    </row>
    <row r="113" spans="1:37" ht="21" customHeight="1">
      <c r="A113" s="12"/>
      <c r="B113" s="14"/>
      <c r="C113" s="15"/>
      <c r="D113" s="21" t="s">
        <v>51</v>
      </c>
      <c r="E113" s="4">
        <v>0</v>
      </c>
      <c r="F113" s="4">
        <f>Sheet54!F113</f>
        <v>0</v>
      </c>
      <c r="G113" s="4">
        <f>Sheet54!G113</f>
        <v>0</v>
      </c>
      <c r="H113" s="4">
        <f>Sheet54!H113</f>
        <v>0</v>
      </c>
      <c r="I113" s="4">
        <f>Sheet54!I113</f>
        <v>0</v>
      </c>
      <c r="J113" s="4">
        <f>Sheet54!J113</f>
        <v>0.38402999999999998</v>
      </c>
      <c r="K113" s="4">
        <f>Sheet54!K113</f>
        <v>10.33277</v>
      </c>
      <c r="L113" s="4">
        <f>Sheet54!L113</f>
        <v>-13.43136</v>
      </c>
      <c r="M113" s="4">
        <f>Sheet54!M113</f>
        <v>-4.8225600000000002</v>
      </c>
      <c r="N113" s="4">
        <f>Sheet54!N113</f>
        <v>-6.1118399999999999</v>
      </c>
      <c r="O113" s="4">
        <f>Sheet54!O113</f>
        <v>0</v>
      </c>
      <c r="P113" s="4">
        <f>Sheet54!P113</f>
        <v>0</v>
      </c>
      <c r="Q113" s="4">
        <f>Sheet54!Q113</f>
        <v>2.8645</v>
      </c>
      <c r="R113" s="4">
        <f>Sheet54!R113</f>
        <v>-2.8791199999999999</v>
      </c>
      <c r="S113" s="4">
        <f>Sheet54!S113</f>
        <v>0</v>
      </c>
      <c r="T113" s="4">
        <f>Sheet54!T113</f>
        <v>-5.9901200000000001</v>
      </c>
      <c r="U113" s="4">
        <f>Sheet54!U113</f>
        <v>-14.298870000000001</v>
      </c>
      <c r="V113" s="4">
        <f>Sheet54!V113</f>
        <v>0</v>
      </c>
      <c r="W113" s="4">
        <f>Sheet54!W113</f>
        <v>0</v>
      </c>
      <c r="X113" s="4">
        <f>Sheet54!X113</f>
        <v>-10.89377</v>
      </c>
      <c r="Y113" s="4">
        <f>Sheet54!Y113</f>
        <v>8.4942200000000003</v>
      </c>
      <c r="Z113" s="4">
        <f>Sheet54!Z113</f>
        <v>-8.3711400000000005</v>
      </c>
      <c r="AA113" s="4">
        <f>Sheet54!AA113</f>
        <v>7.1175600000000001</v>
      </c>
      <c r="AB113" s="4">
        <f>Sheet54!AB113</f>
        <v>10.446160000000001</v>
      </c>
      <c r="AC113" s="4">
        <f>Sheet54!AC113</f>
        <v>0</v>
      </c>
      <c r="AD113" s="4">
        <f>Sheet54!AD113</f>
        <v>0</v>
      </c>
      <c r="AE113" s="4">
        <f>Sheet54!AE113</f>
        <v>-5.9812799999999999</v>
      </c>
      <c r="AF113" s="4">
        <f>Sheet54!AF113</f>
        <v>-15.7828</v>
      </c>
      <c r="AG113" s="4">
        <f>Sheet54!AG113</f>
        <v>48.340519999999998</v>
      </c>
      <c r="AH113" s="4">
        <f>Sheet54!AH113</f>
        <v>-2.1192199999999999</v>
      </c>
      <c r="AI113" s="4">
        <f>Sheet54!AI113</f>
        <v>-6.0486000000000004</v>
      </c>
      <c r="AJ113" s="4">
        <f>Sheet54!AJ113</f>
        <v>0</v>
      </c>
      <c r="AK113" s="5"/>
    </row>
    <row r="114" spans="1:37" ht="21" customHeight="1">
      <c r="A114" s="12"/>
      <c r="B114" s="14"/>
      <c r="C114" s="15" t="s">
        <v>89</v>
      </c>
      <c r="D114" s="22" t="s">
        <v>40</v>
      </c>
      <c r="E114" s="4">
        <v>995.02334099999996</v>
      </c>
      <c r="F114" s="4">
        <f>E114+Sheet54!F114</f>
        <v>995.02334099999996</v>
      </c>
      <c r="G114" s="4">
        <f>F114+Sheet54!G114</f>
        <v>995.02334099999996</v>
      </c>
      <c r="H114" s="4">
        <f>G114+Sheet54!H114</f>
        <v>995.02334099999996</v>
      </c>
      <c r="I114" s="4">
        <f>H114+Sheet54!I114</f>
        <v>995.02334099999996</v>
      </c>
      <c r="J114" s="4">
        <f>I114+Sheet54!J114</f>
        <v>995.02334099999996</v>
      </c>
      <c r="K114" s="4">
        <f>J114+Sheet54!K114</f>
        <v>995.02334099999996</v>
      </c>
      <c r="L114" s="4">
        <f>K114+Sheet54!L114</f>
        <v>995.02334099999996</v>
      </c>
      <c r="M114" s="4">
        <f>L114+Sheet54!M114</f>
        <v>995.02334099999996</v>
      </c>
      <c r="N114" s="4">
        <f>M114+Sheet54!N114</f>
        <v>995.02334099999996</v>
      </c>
      <c r="O114" s="4">
        <f>N114+Sheet54!O114</f>
        <v>995.02334099999996</v>
      </c>
      <c r="P114" s="4">
        <f>O114+Sheet54!P114</f>
        <v>995.02334099999996</v>
      </c>
      <c r="Q114" s="4">
        <f>P114+Sheet54!Q114</f>
        <v>995.02334099999996</v>
      </c>
      <c r="R114" s="4">
        <f>Q114+Sheet54!R114</f>
        <v>995.02334099999996</v>
      </c>
      <c r="S114" s="4">
        <f>R114+Sheet54!S114</f>
        <v>995.02334099999996</v>
      </c>
      <c r="T114" s="4">
        <f>S114+Sheet54!T114</f>
        <v>995.02334099999996</v>
      </c>
      <c r="U114" s="4">
        <f>T114+Sheet54!U114</f>
        <v>995.02334099999996</v>
      </c>
      <c r="V114" s="4">
        <f>U114+Sheet54!V114</f>
        <v>995.02334099999996</v>
      </c>
      <c r="W114" s="4">
        <f>V114+Sheet54!W114</f>
        <v>995.02334099999996</v>
      </c>
      <c r="X114" s="4">
        <f>W114+Sheet54!X114</f>
        <v>995.02334099999996</v>
      </c>
      <c r="Y114" s="4">
        <f>X114+Sheet54!Y114</f>
        <v>995.02334099999996</v>
      </c>
      <c r="Z114" s="4">
        <f>Y114+Sheet54!Z114</f>
        <v>995.02334099999996</v>
      </c>
      <c r="AA114" s="4">
        <f>Z114+Sheet54!AA114</f>
        <v>995.02334099999996</v>
      </c>
      <c r="AB114" s="4">
        <f>AA114+Sheet54!AB114</f>
        <v>995.02334099999996</v>
      </c>
      <c r="AC114" s="4">
        <f>AB114+Sheet54!AC114</f>
        <v>995.02334099999996</v>
      </c>
      <c r="AD114" s="4">
        <f>AC114+Sheet54!AD114</f>
        <v>995.02334099999996</v>
      </c>
      <c r="AE114" s="4">
        <f>AD114+Sheet54!AE114</f>
        <v>995.02334099999996</v>
      </c>
      <c r="AF114" s="4">
        <f>AE114+Sheet54!AF114</f>
        <v>995.02334099999996</v>
      </c>
      <c r="AG114" s="4">
        <f>AF114+Sheet54!AG114</f>
        <v>995.02334099999996</v>
      </c>
      <c r="AH114" s="4">
        <f>AG114+Sheet54!AH114</f>
        <v>995.02334099999996</v>
      </c>
      <c r="AI114" s="4">
        <f>AH114+Sheet54!AI114</f>
        <v>995.02334099999996</v>
      </c>
      <c r="AJ114" s="4">
        <f>AI114+Sheet54!AJ114</f>
        <v>995.02334099999996</v>
      </c>
      <c r="AK114" s="5"/>
    </row>
    <row r="115" spans="1:37" ht="21" customHeight="1">
      <c r="A115" s="12"/>
      <c r="B115" s="14"/>
      <c r="C115" s="15"/>
      <c r="D115" s="22" t="s">
        <v>50</v>
      </c>
      <c r="E115" s="4">
        <v>-129.283613</v>
      </c>
      <c r="F115" s="4">
        <f>E115+Sheet54!F115</f>
        <v>-129.283613</v>
      </c>
      <c r="G115" s="4">
        <f>F115+Sheet54!G115</f>
        <v>-129.283613</v>
      </c>
      <c r="H115" s="4">
        <f>G115+Sheet54!H115</f>
        <v>-129.283613</v>
      </c>
      <c r="I115" s="4">
        <f>H115+Sheet54!I115</f>
        <v>-129.283613</v>
      </c>
      <c r="J115" s="4">
        <f>I115+Sheet54!J115</f>
        <v>-115.443601</v>
      </c>
      <c r="K115" s="4">
        <f>J115+Sheet54!K115</f>
        <v>-100.835781</v>
      </c>
      <c r="L115" s="4">
        <f>K115+Sheet54!L115</f>
        <v>-99.425156999999999</v>
      </c>
      <c r="M115" s="4">
        <f>L115+Sheet54!M115</f>
        <v>-108.042041</v>
      </c>
      <c r="N115" s="4">
        <f>M115+Sheet54!N115</f>
        <v>-100.835781</v>
      </c>
      <c r="O115" s="4">
        <f>N115+Sheet54!O115</f>
        <v>-100.835781</v>
      </c>
      <c r="P115" s="4">
        <f>O115+Sheet54!P115</f>
        <v>-100.835781</v>
      </c>
      <c r="Q115" s="4">
        <f>P115+Sheet54!Q115</f>
        <v>-102.145965</v>
      </c>
      <c r="R115" s="4">
        <f>Q115+Sheet54!R115</f>
        <v>-113.619561</v>
      </c>
      <c r="S115" s="4">
        <f>R115+Sheet54!S115</f>
        <v>-113.619561</v>
      </c>
      <c r="T115" s="4">
        <f>S115+Sheet54!T115</f>
        <v>-127.935485</v>
      </c>
      <c r="U115" s="4">
        <f>T115+Sheet54!U115</f>
        <v>-140.80160100000001</v>
      </c>
      <c r="V115" s="4">
        <f>U115+Sheet54!V115</f>
        <v>-140.80160100000001</v>
      </c>
      <c r="W115" s="4">
        <f>V115+Sheet54!W115</f>
        <v>-140.80160100000001</v>
      </c>
      <c r="X115" s="4">
        <f>W115+Sheet54!X115</f>
        <v>-142.19598100000002</v>
      </c>
      <c r="Y115" s="4">
        <f>X115+Sheet54!Y115</f>
        <v>-146.18444100000002</v>
      </c>
      <c r="Z115" s="4">
        <f>Y115+Sheet54!Z115</f>
        <v>-155.88508500000003</v>
      </c>
      <c r="AA115" s="4">
        <f>Z115+Sheet54!AA115</f>
        <v>-151.43447700000004</v>
      </c>
      <c r="AB115" s="4">
        <f>AA115+Sheet54!AB115</f>
        <v>-135.02109300000004</v>
      </c>
      <c r="AC115" s="4">
        <f>AB115+Sheet54!AC115</f>
        <v>-135.02109300000004</v>
      </c>
      <c r="AD115" s="4">
        <f>AC115+Sheet54!AD115</f>
        <v>-135.02109300000004</v>
      </c>
      <c r="AE115" s="4">
        <f>AD115+Sheet54!AE115</f>
        <v>-137.13864100000004</v>
      </c>
      <c r="AF115" s="4">
        <f>AE115+Sheet54!AF115</f>
        <v>-141.12958100000003</v>
      </c>
      <c r="AG115" s="4">
        <f>AF115+Sheet54!AG115</f>
        <v>-99.299421000000024</v>
      </c>
      <c r="AH115" s="4">
        <f>AG115+Sheet54!AH115</f>
        <v>-100.50656100000002</v>
      </c>
      <c r="AI115" s="4">
        <f>AH115+Sheet54!AI115</f>
        <v>-118.15424100000001</v>
      </c>
      <c r="AJ115" s="4">
        <f>AI115+Sheet54!AJ115</f>
        <v>-118.15424100000001</v>
      </c>
      <c r="AK115" s="5"/>
    </row>
    <row r="116" spans="1:37" ht="21" customHeight="1">
      <c r="A116" s="12"/>
      <c r="B116" s="14"/>
      <c r="C116" s="15"/>
      <c r="D116" s="21" t="s">
        <v>51</v>
      </c>
      <c r="E116" s="4">
        <v>0</v>
      </c>
      <c r="F116" s="4">
        <f>Sheet54!F116</f>
        <v>0</v>
      </c>
      <c r="G116" s="4">
        <f>Sheet54!G116</f>
        <v>0</v>
      </c>
      <c r="H116" s="4">
        <f>Sheet54!H116</f>
        <v>0</v>
      </c>
      <c r="I116" s="4">
        <f>Sheet54!I116</f>
        <v>0</v>
      </c>
      <c r="J116" s="4">
        <f>Sheet54!J116</f>
        <v>13.840012</v>
      </c>
      <c r="K116" s="4">
        <f>Sheet54!K116</f>
        <v>14.60782</v>
      </c>
      <c r="L116" s="4">
        <f>Sheet54!L116</f>
        <v>1.4106240000000001</v>
      </c>
      <c r="M116" s="4">
        <f>Sheet54!M116</f>
        <v>-8.6168840000000007</v>
      </c>
      <c r="N116" s="4">
        <f>Sheet54!N116</f>
        <v>7.2062600000000003</v>
      </c>
      <c r="O116" s="4">
        <f>Sheet54!O116</f>
        <v>0</v>
      </c>
      <c r="P116" s="4">
        <f>Sheet54!P116</f>
        <v>0</v>
      </c>
      <c r="Q116" s="4">
        <f>Sheet54!Q116</f>
        <v>-1.310184</v>
      </c>
      <c r="R116" s="4">
        <f>Sheet54!R116</f>
        <v>-11.473596000000001</v>
      </c>
      <c r="S116" s="4">
        <f>Sheet54!S116</f>
        <v>0</v>
      </c>
      <c r="T116" s="4">
        <f>Sheet54!T116</f>
        <v>-14.315924000000001</v>
      </c>
      <c r="U116" s="4">
        <f>Sheet54!U116</f>
        <v>-12.866116</v>
      </c>
      <c r="V116" s="4">
        <f>Sheet54!V116</f>
        <v>0</v>
      </c>
      <c r="W116" s="4">
        <f>Sheet54!W116</f>
        <v>0</v>
      </c>
      <c r="X116" s="4">
        <f>Sheet54!X116</f>
        <v>-1.39438</v>
      </c>
      <c r="Y116" s="4">
        <f>Sheet54!Y116</f>
        <v>-3.9884599999999999</v>
      </c>
      <c r="Z116" s="4">
        <f>Sheet54!Z116</f>
        <v>-9.7006440000000005</v>
      </c>
      <c r="AA116" s="4">
        <f>Sheet54!AA116</f>
        <v>4.4506079999999999</v>
      </c>
      <c r="AB116" s="4">
        <f>Sheet54!AB116</f>
        <v>16.413384000000001</v>
      </c>
      <c r="AC116" s="4">
        <f>Sheet54!AC116</f>
        <v>0</v>
      </c>
      <c r="AD116" s="4">
        <f>Sheet54!AD116</f>
        <v>0</v>
      </c>
      <c r="AE116" s="4">
        <f>Sheet54!AE116</f>
        <v>-2.1175480000000002</v>
      </c>
      <c r="AF116" s="4">
        <f>Sheet54!AF116</f>
        <v>-3.9909400000000002</v>
      </c>
      <c r="AG116" s="4">
        <f>Sheet54!AG116</f>
        <v>41.830159999999999</v>
      </c>
      <c r="AH116" s="4">
        <f>Sheet54!AH116</f>
        <v>-1.2071400000000001</v>
      </c>
      <c r="AI116" s="4">
        <f>Sheet54!AI116</f>
        <v>-17.647680000000001</v>
      </c>
      <c r="AJ116" s="4">
        <f>Sheet54!AJ116</f>
        <v>0</v>
      </c>
      <c r="AK116" s="5"/>
    </row>
    <row r="117" spans="1:37" ht="21" customHeight="1">
      <c r="A117" s="12"/>
      <c r="B117" s="14"/>
      <c r="C117" s="15" t="s">
        <v>90</v>
      </c>
      <c r="D117" s="22" t="s">
        <v>40</v>
      </c>
      <c r="E117" s="4">
        <v>509.04464999999999</v>
      </c>
      <c r="F117" s="4">
        <f>E117+Sheet54!F117</f>
        <v>509.04464999999999</v>
      </c>
      <c r="G117" s="4">
        <f>F117+Sheet54!G117</f>
        <v>509.04464999999999</v>
      </c>
      <c r="H117" s="4">
        <f>G117+Sheet54!H117</f>
        <v>509.04464999999999</v>
      </c>
      <c r="I117" s="4">
        <f>H117+Sheet54!I117</f>
        <v>509.04464999999999</v>
      </c>
      <c r="J117" s="4">
        <f>I117+Sheet54!J117</f>
        <v>509.04464999999999</v>
      </c>
      <c r="K117" s="4">
        <f>J117+Sheet54!K117</f>
        <v>509.04464999999999</v>
      </c>
      <c r="L117" s="4">
        <f>K117+Sheet54!L117</f>
        <v>509.04464999999999</v>
      </c>
      <c r="M117" s="4">
        <f>L117+Sheet54!M117</f>
        <v>509.04464999999999</v>
      </c>
      <c r="N117" s="4">
        <f>M117+Sheet54!N117</f>
        <v>509.04464999999999</v>
      </c>
      <c r="O117" s="4">
        <f>N117+Sheet54!O117</f>
        <v>509.04464999999999</v>
      </c>
      <c r="P117" s="4">
        <f>O117+Sheet54!P117</f>
        <v>509.04464999999999</v>
      </c>
      <c r="Q117" s="4">
        <f>P117+Sheet54!Q117</f>
        <v>509.04464999999999</v>
      </c>
      <c r="R117" s="4">
        <f>Q117+Sheet54!R117</f>
        <v>509.04464999999999</v>
      </c>
      <c r="S117" s="4">
        <f>R117+Sheet54!S117</f>
        <v>509.04464999999999</v>
      </c>
      <c r="T117" s="4">
        <f>S117+Sheet54!T117</f>
        <v>509.04464999999999</v>
      </c>
      <c r="U117" s="4">
        <f>T117+Sheet54!U117</f>
        <v>509.04464999999999</v>
      </c>
      <c r="V117" s="4">
        <f>U117+Sheet54!V117</f>
        <v>509.04464999999999</v>
      </c>
      <c r="W117" s="4">
        <f>V117+Sheet54!W117</f>
        <v>509.04464999999999</v>
      </c>
      <c r="X117" s="4">
        <f>W117+Sheet54!X117</f>
        <v>509.04464999999999</v>
      </c>
      <c r="Y117" s="4">
        <f>X117+Sheet54!Y117</f>
        <v>466.62426199999999</v>
      </c>
      <c r="Z117" s="4">
        <f>Y117+Sheet54!Z117</f>
        <v>466.62426199999999</v>
      </c>
      <c r="AA117" s="4">
        <f>Z117+Sheet54!AA117</f>
        <v>466.62426199999999</v>
      </c>
      <c r="AB117" s="4">
        <f>AA117+Sheet54!AB117</f>
        <v>466.62426199999999</v>
      </c>
      <c r="AC117" s="4">
        <f>AB117+Sheet54!AC117</f>
        <v>466.62426199999999</v>
      </c>
      <c r="AD117" s="4">
        <f>AC117+Sheet54!AD117</f>
        <v>466.62426199999999</v>
      </c>
      <c r="AE117" s="4">
        <f>AD117+Sheet54!AE117</f>
        <v>466.62426199999999</v>
      </c>
      <c r="AF117" s="4">
        <f>AE117+Sheet54!AF117</f>
        <v>424.20387499999998</v>
      </c>
      <c r="AG117" s="4">
        <f>AF117+Sheet54!AG117</f>
        <v>424.20387499999998</v>
      </c>
      <c r="AH117" s="4">
        <f>AG117+Sheet54!AH117</f>
        <v>424.20387499999998</v>
      </c>
      <c r="AI117" s="4">
        <f>AH117+Sheet54!AI117</f>
        <v>424.20387499999998</v>
      </c>
      <c r="AJ117" s="4">
        <f>AI117+Sheet54!AJ117</f>
        <v>424.20387499999998</v>
      </c>
      <c r="AK117" s="5"/>
    </row>
    <row r="118" spans="1:37" ht="21" customHeight="1">
      <c r="A118" s="12"/>
      <c r="B118" s="14"/>
      <c r="C118" s="15"/>
      <c r="D118" s="22" t="s">
        <v>50</v>
      </c>
      <c r="E118" s="4">
        <v>192.54266999999999</v>
      </c>
      <c r="F118" s="4">
        <f>E118+Sheet54!F118</f>
        <v>192.54266999999999</v>
      </c>
      <c r="G118" s="4">
        <f>F118+Sheet54!G118</f>
        <v>192.54266999999999</v>
      </c>
      <c r="H118" s="4">
        <f>G118+Sheet54!H118</f>
        <v>192.54266999999999</v>
      </c>
      <c r="I118" s="4">
        <f>H118+Sheet54!I118</f>
        <v>192.54266999999999</v>
      </c>
      <c r="J118" s="4">
        <f>I118+Sheet54!J118</f>
        <v>227.30775</v>
      </c>
      <c r="K118" s="4">
        <f>J118+Sheet54!K118</f>
        <v>264.92655000000002</v>
      </c>
      <c r="L118" s="4">
        <f>K118+Sheet54!L118</f>
        <v>255.50787000000003</v>
      </c>
      <c r="M118" s="4">
        <f>L118+Sheet54!M118</f>
        <v>247.00935000000004</v>
      </c>
      <c r="N118" s="4">
        <f>M118+Sheet54!N118</f>
        <v>243.42735000000005</v>
      </c>
      <c r="O118" s="4">
        <f>N118+Sheet54!O118</f>
        <v>243.42735000000005</v>
      </c>
      <c r="P118" s="4">
        <f>O118+Sheet54!P118</f>
        <v>243.42735000000005</v>
      </c>
      <c r="Q118" s="4">
        <f>P118+Sheet54!Q118</f>
        <v>227.13855000000004</v>
      </c>
      <c r="R118" s="4">
        <f>Q118+Sheet54!R118</f>
        <v>241.99935000000005</v>
      </c>
      <c r="S118" s="4">
        <f>R118+Sheet54!S118</f>
        <v>228.05139000000005</v>
      </c>
      <c r="T118" s="4">
        <f>S118+Sheet54!T118</f>
        <v>237.25467000000006</v>
      </c>
      <c r="U118" s="4">
        <f>T118+Sheet54!U118</f>
        <v>227.02065000000007</v>
      </c>
      <c r="V118" s="4">
        <f>U118+Sheet54!V118</f>
        <v>227.02065000000007</v>
      </c>
      <c r="W118" s="4">
        <f>V118+Sheet54!W118</f>
        <v>227.02065000000007</v>
      </c>
      <c r="X118" s="4">
        <f>W118+Sheet54!X118</f>
        <v>224.09391000000008</v>
      </c>
      <c r="Y118" s="4">
        <f>X118+Sheet54!Y118</f>
        <v>210.78323800000007</v>
      </c>
      <c r="Z118" s="4">
        <f>Y118+Sheet54!Z118</f>
        <v>205.19633800000008</v>
      </c>
      <c r="AA118" s="4">
        <f>Z118+Sheet54!AA118</f>
        <v>190.38725800000009</v>
      </c>
      <c r="AB118" s="4">
        <f>AA118+Sheet54!AB118</f>
        <v>191.22193800000008</v>
      </c>
      <c r="AC118" s="4">
        <f>AB118+Sheet54!AC118</f>
        <v>191.22193800000008</v>
      </c>
      <c r="AD118" s="4">
        <f>AC118+Sheet54!AD118</f>
        <v>191.22193800000008</v>
      </c>
      <c r="AE118" s="4">
        <f>AD118+Sheet54!AE118</f>
        <v>202.09730800000008</v>
      </c>
      <c r="AF118" s="4">
        <f>AE118+Sheet54!AF118</f>
        <v>197.52012500000009</v>
      </c>
      <c r="AG118" s="4">
        <f>AF118+Sheet54!AG118</f>
        <v>208.52822500000011</v>
      </c>
      <c r="AH118" s="4">
        <f>AG118+Sheet54!AH118</f>
        <v>227.79962500000011</v>
      </c>
      <c r="AI118" s="4">
        <f>AH118+Sheet54!AI118</f>
        <v>222.46262500000012</v>
      </c>
      <c r="AJ118" s="4">
        <f>AI118+Sheet54!AJ118</f>
        <v>222.46262500000012</v>
      </c>
      <c r="AK118" s="5"/>
    </row>
    <row r="119" spans="1:37" ht="21" customHeight="1">
      <c r="A119" s="12"/>
      <c r="B119" s="14"/>
      <c r="C119" s="15"/>
      <c r="D119" s="21" t="s">
        <v>51</v>
      </c>
      <c r="E119" s="4">
        <v>0</v>
      </c>
      <c r="F119" s="4">
        <f>Sheet54!F119</f>
        <v>0</v>
      </c>
      <c r="G119" s="4">
        <f>Sheet54!G119</f>
        <v>0</v>
      </c>
      <c r="H119" s="4">
        <f>Sheet54!H119</f>
        <v>0</v>
      </c>
      <c r="I119" s="4">
        <f>Sheet54!I119</f>
        <v>0</v>
      </c>
      <c r="J119" s="4">
        <f>Sheet54!J119</f>
        <v>34.765079999999998</v>
      </c>
      <c r="K119" s="4">
        <f>Sheet54!K119</f>
        <v>37.6188</v>
      </c>
      <c r="L119" s="4">
        <f>Sheet54!L119</f>
        <v>-9.4186800000000002</v>
      </c>
      <c r="M119" s="4">
        <f>Sheet54!M119</f>
        <v>-8.4985199999999992</v>
      </c>
      <c r="N119" s="4">
        <f>Sheet54!N119</f>
        <v>-3.5819999999999999</v>
      </c>
      <c r="O119" s="4">
        <f>Sheet54!O119</f>
        <v>0</v>
      </c>
      <c r="P119" s="4">
        <f>Sheet54!P119</f>
        <v>0</v>
      </c>
      <c r="Q119" s="4">
        <f>Sheet54!Q119</f>
        <v>-16.288799999999998</v>
      </c>
      <c r="R119" s="4">
        <f>Sheet54!R119</f>
        <v>14.860799999999999</v>
      </c>
      <c r="S119" s="4">
        <f>Sheet54!S119</f>
        <v>-13.94796</v>
      </c>
      <c r="T119" s="4">
        <f>Sheet54!T119</f>
        <v>9.2032799999999995</v>
      </c>
      <c r="U119" s="4">
        <f>Sheet54!U119</f>
        <v>-10.234019999999999</v>
      </c>
      <c r="V119" s="4">
        <f>Sheet54!V119</f>
        <v>0</v>
      </c>
      <c r="W119" s="4">
        <f>Sheet54!W119</f>
        <v>0</v>
      </c>
      <c r="X119" s="4">
        <f>Sheet54!X119</f>
        <v>-2.9267400000000001</v>
      </c>
      <c r="Y119" s="4">
        <f>Sheet54!Y119</f>
        <v>-13.310672</v>
      </c>
      <c r="Z119" s="4">
        <f>Sheet54!Z119</f>
        <v>-5.5869</v>
      </c>
      <c r="AA119" s="4">
        <f>Sheet54!AA119</f>
        <v>-14.80908</v>
      </c>
      <c r="AB119" s="4">
        <f>Sheet54!AB119</f>
        <v>0.83467999999999998</v>
      </c>
      <c r="AC119" s="4">
        <f>Sheet54!AC119</f>
        <v>0</v>
      </c>
      <c r="AD119" s="4">
        <f>Sheet54!AD119</f>
        <v>0</v>
      </c>
      <c r="AE119" s="4">
        <f>Sheet54!AE119</f>
        <v>10.87537</v>
      </c>
      <c r="AF119" s="4">
        <f>Sheet54!AF119</f>
        <v>-4.5771829999999998</v>
      </c>
      <c r="AG119" s="4">
        <f>Sheet54!AG119</f>
        <v>11.008100000000001</v>
      </c>
      <c r="AH119" s="4">
        <f>Sheet54!AH119</f>
        <v>19.2714</v>
      </c>
      <c r="AI119" s="4">
        <f>Sheet54!AI119</f>
        <v>-5.3369999999999997</v>
      </c>
      <c r="AJ119" s="4">
        <f>Sheet54!AJ119</f>
        <v>0</v>
      </c>
      <c r="AK119" s="5"/>
    </row>
    <row r="120" spans="1:37" ht="21" customHeight="1">
      <c r="A120" s="12"/>
      <c r="B120" s="14"/>
      <c r="C120" s="15"/>
      <c r="D120" s="21" t="s">
        <v>58</v>
      </c>
      <c r="E120" s="4">
        <v>0</v>
      </c>
      <c r="F120" s="4">
        <f>Sheet54!F120</f>
        <v>0</v>
      </c>
      <c r="G120" s="4">
        <f>Sheet54!G120</f>
        <v>0</v>
      </c>
      <c r="H120" s="4">
        <f>Sheet54!H120</f>
        <v>0</v>
      </c>
      <c r="I120" s="4">
        <f>Sheet54!I120</f>
        <v>0</v>
      </c>
      <c r="J120" s="4">
        <f>Sheet54!J120</f>
        <v>0</v>
      </c>
      <c r="K120" s="4">
        <f>Sheet54!K120</f>
        <v>0</v>
      </c>
      <c r="L120" s="4">
        <f>Sheet54!L120</f>
        <v>0</v>
      </c>
      <c r="M120" s="4">
        <f>Sheet54!M120</f>
        <v>0</v>
      </c>
      <c r="N120" s="4">
        <f>Sheet54!N120</f>
        <v>0</v>
      </c>
      <c r="O120" s="4">
        <f>Sheet54!O120</f>
        <v>0</v>
      </c>
      <c r="P120" s="4">
        <f>Sheet54!P120</f>
        <v>0</v>
      </c>
      <c r="Q120" s="4">
        <f>Sheet54!Q120</f>
        <v>0</v>
      </c>
      <c r="R120" s="4">
        <f>Sheet54!R120</f>
        <v>0</v>
      </c>
      <c r="S120" s="4">
        <f>Sheet54!S120</f>
        <v>0</v>
      </c>
      <c r="T120" s="4">
        <f>Sheet54!T120</f>
        <v>0</v>
      </c>
      <c r="U120" s="4">
        <f>Sheet54!U120</f>
        <v>0</v>
      </c>
      <c r="V120" s="4">
        <f>Sheet54!V120</f>
        <v>0</v>
      </c>
      <c r="W120" s="4">
        <f>Sheet54!W120</f>
        <v>0</v>
      </c>
      <c r="X120" s="4">
        <f>Sheet54!X120</f>
        <v>0</v>
      </c>
      <c r="Y120" s="4">
        <f>Sheet54!Y120</f>
        <v>19.136972</v>
      </c>
      <c r="Z120" s="4">
        <f>Sheet54!Z120</f>
        <v>0</v>
      </c>
      <c r="AA120" s="4">
        <f>Sheet54!AA120</f>
        <v>0</v>
      </c>
      <c r="AB120" s="4">
        <f>Sheet54!AB120</f>
        <v>0</v>
      </c>
      <c r="AC120" s="4">
        <f>Sheet54!AC120</f>
        <v>0</v>
      </c>
      <c r="AD120" s="4">
        <f>Sheet54!AD120</f>
        <v>0</v>
      </c>
      <c r="AE120" s="4">
        <f>Sheet54!AE120</f>
        <v>0</v>
      </c>
      <c r="AF120" s="4">
        <f>Sheet54!AF120</f>
        <v>19.013475</v>
      </c>
      <c r="AG120" s="4">
        <f>Sheet54!AG120</f>
        <v>0</v>
      </c>
      <c r="AH120" s="4">
        <f>Sheet54!AH120</f>
        <v>0</v>
      </c>
      <c r="AI120" s="4">
        <f>Sheet54!AI120</f>
        <v>0</v>
      </c>
      <c r="AJ120" s="4">
        <f>Sheet54!AJ120</f>
        <v>0</v>
      </c>
      <c r="AK120" s="5"/>
    </row>
    <row r="121" spans="1:37" ht="21" customHeight="1">
      <c r="A121" s="12"/>
      <c r="B121" s="14"/>
      <c r="C121" s="15" t="s">
        <v>91</v>
      </c>
      <c r="D121" s="22" t="s">
        <v>40</v>
      </c>
      <c r="E121" s="4">
        <v>212.14263299999999</v>
      </c>
      <c r="F121" s="4">
        <f>E121+Sheet54!F121</f>
        <v>212.14263299999999</v>
      </c>
      <c r="G121" s="4">
        <f>F121+Sheet54!G121</f>
        <v>212.14263299999999</v>
      </c>
      <c r="H121" s="4">
        <f>G121+Sheet54!H121</f>
        <v>212.14263299999999</v>
      </c>
      <c r="I121" s="4">
        <f>H121+Sheet54!I121</f>
        <v>212.14263299999999</v>
      </c>
      <c r="J121" s="4">
        <f>I121+Sheet54!J121</f>
        <v>212.14263299999999</v>
      </c>
      <c r="K121" s="4">
        <f>J121+Sheet54!K121</f>
        <v>212.14263299999999</v>
      </c>
      <c r="L121" s="4">
        <f>K121+Sheet54!L121</f>
        <v>212.14263299999999</v>
      </c>
      <c r="M121" s="4">
        <f>L121+Sheet54!M121</f>
        <v>212.14263299999999</v>
      </c>
      <c r="N121" s="4">
        <f>M121+Sheet54!N121</f>
        <v>212.14263299999999</v>
      </c>
      <c r="O121" s="4">
        <f>N121+Sheet54!O121</f>
        <v>212.14263299999999</v>
      </c>
      <c r="P121" s="4">
        <f>O121+Sheet54!P121</f>
        <v>212.14263299999999</v>
      </c>
      <c r="Q121" s="4">
        <f>P121+Sheet54!Q121</f>
        <v>212.14263299999999</v>
      </c>
      <c r="R121" s="4">
        <f>Q121+Sheet54!R121</f>
        <v>212.14263299999999</v>
      </c>
      <c r="S121" s="4">
        <f>R121+Sheet54!S121</f>
        <v>212.14263299999999</v>
      </c>
      <c r="T121" s="4">
        <f>S121+Sheet54!T121</f>
        <v>212.14263299999999</v>
      </c>
      <c r="U121" s="4">
        <f>T121+Sheet54!U121</f>
        <v>212.14263299999999</v>
      </c>
      <c r="V121" s="4">
        <f>U121+Sheet54!V121</f>
        <v>212.14263299999999</v>
      </c>
      <c r="W121" s="4">
        <f>V121+Sheet54!W121</f>
        <v>212.14263299999999</v>
      </c>
      <c r="X121" s="4">
        <f>W121+Sheet54!X121</f>
        <v>212.14263299999999</v>
      </c>
      <c r="Y121" s="4">
        <f>X121+Sheet54!Y121</f>
        <v>212.14263299999999</v>
      </c>
      <c r="Z121" s="4">
        <f>Y121+Sheet54!Z121</f>
        <v>212.14263299999999</v>
      </c>
      <c r="AA121" s="4">
        <f>Z121+Sheet54!AA121</f>
        <v>518.38459399999999</v>
      </c>
      <c r="AB121" s="4">
        <f>AA121+Sheet54!AB121</f>
        <v>619.98980299999994</v>
      </c>
      <c r="AC121" s="4">
        <f>AB121+Sheet54!AC121</f>
        <v>619.98980299999994</v>
      </c>
      <c r="AD121" s="4">
        <f>AC121+Sheet54!AD121</f>
        <v>619.98980299999994</v>
      </c>
      <c r="AE121" s="4">
        <f>AD121+Sheet54!AE121</f>
        <v>619.98980299999994</v>
      </c>
      <c r="AF121" s="4">
        <f>AE121+Sheet54!AF121</f>
        <v>619.98980299999994</v>
      </c>
      <c r="AG121" s="4">
        <f>AF121+Sheet54!AG121</f>
        <v>619.98980299999994</v>
      </c>
      <c r="AH121" s="4">
        <f>AG121+Sheet54!AH121</f>
        <v>619.98980299999994</v>
      </c>
      <c r="AI121" s="4">
        <f>AH121+Sheet54!AI121</f>
        <v>619.98980299999994</v>
      </c>
      <c r="AJ121" s="4">
        <f>AI121+Sheet54!AJ121</f>
        <v>619.98980299999994</v>
      </c>
      <c r="AK121" s="5"/>
    </row>
    <row r="122" spans="1:37" ht="21" customHeight="1">
      <c r="A122" s="12"/>
      <c r="B122" s="14"/>
      <c r="C122" s="15"/>
      <c r="D122" s="22" t="s">
        <v>50</v>
      </c>
      <c r="E122" s="4">
        <v>-4.6637530000000096</v>
      </c>
      <c r="F122" s="4">
        <f>E122+Sheet54!F122</f>
        <v>-4.6637530000000096</v>
      </c>
      <c r="G122" s="4">
        <f>F122+Sheet54!G122</f>
        <v>-4.6637530000000096</v>
      </c>
      <c r="H122" s="4">
        <f>G122+Sheet54!H122</f>
        <v>-4.6637530000000096</v>
      </c>
      <c r="I122" s="4">
        <f>H122+Sheet54!I122</f>
        <v>-4.6637530000000096</v>
      </c>
      <c r="J122" s="4">
        <f>I122+Sheet54!J122</f>
        <v>-4.4397330000000093</v>
      </c>
      <c r="K122" s="4">
        <f>J122+Sheet54!K122</f>
        <v>-4.3170330000000092</v>
      </c>
      <c r="L122" s="4">
        <f>K122+Sheet54!L122</f>
        <v>-3.7097730000000091</v>
      </c>
      <c r="M122" s="4">
        <f>L122+Sheet54!M122</f>
        <v>-5.7176330000000091</v>
      </c>
      <c r="N122" s="4">
        <f>M122+Sheet54!N122</f>
        <v>-3.9587130000000093</v>
      </c>
      <c r="O122" s="4">
        <f>N122+Sheet54!O122</f>
        <v>-3.9587130000000093</v>
      </c>
      <c r="P122" s="4">
        <f>O122+Sheet54!P122</f>
        <v>-3.9587130000000093</v>
      </c>
      <c r="Q122" s="4">
        <f>P122+Sheet54!Q122</f>
        <v>-5.6172730000000097</v>
      </c>
      <c r="R122" s="4">
        <f>Q122+Sheet54!R122</f>
        <v>-6.67845300000001</v>
      </c>
      <c r="S122" s="4">
        <f>R122+Sheet54!S122</f>
        <v>-5.96317300000001</v>
      </c>
      <c r="T122" s="4">
        <f>S122+Sheet54!T122</f>
        <v>-6.6554730000000104</v>
      </c>
      <c r="U122" s="4">
        <f>T122+Sheet54!U122</f>
        <v>-6.99503300000001</v>
      </c>
      <c r="V122" s="4">
        <f>U122+Sheet54!V122</f>
        <v>-6.99503300000001</v>
      </c>
      <c r="W122" s="4">
        <f>V122+Sheet54!W122</f>
        <v>-6.99503300000001</v>
      </c>
      <c r="X122" s="4">
        <f>W122+Sheet54!X122</f>
        <v>-9.5648730000000093</v>
      </c>
      <c r="Y122" s="4">
        <f>X122+Sheet54!Y122</f>
        <v>-7.0461330000000091</v>
      </c>
      <c r="Z122" s="4">
        <f>Y122+Sheet54!Z122</f>
        <v>-8.8578330000000101</v>
      </c>
      <c r="AA122" s="4">
        <f>Z122+Sheet54!AA122</f>
        <v>-6.8101940000000099</v>
      </c>
      <c r="AB122" s="4">
        <f>AA122+Sheet54!AB122</f>
        <v>-10.52252300000001</v>
      </c>
      <c r="AC122" s="4">
        <f>AB122+Sheet54!AC122</f>
        <v>-10.52252300000001</v>
      </c>
      <c r="AD122" s="4">
        <f>AC122+Sheet54!AD122</f>
        <v>-10.52252300000001</v>
      </c>
      <c r="AE122" s="4">
        <f>AD122+Sheet54!AE122</f>
        <v>-12.06110300000001</v>
      </c>
      <c r="AF122" s="4">
        <f>AE122+Sheet54!AF122</f>
        <v>-20.03060300000001</v>
      </c>
      <c r="AG122" s="4">
        <f>AF122+Sheet54!AG122</f>
        <v>-6.7881230000000095</v>
      </c>
      <c r="AH122" s="4">
        <f>AG122+Sheet54!AH122</f>
        <v>-13.706603000000008</v>
      </c>
      <c r="AI122" s="4">
        <f>AH122+Sheet54!AI122</f>
        <v>-19.043603000000008</v>
      </c>
      <c r="AJ122" s="4">
        <f>AI122+Sheet54!AJ122</f>
        <v>-19.043603000000008</v>
      </c>
      <c r="AK122" s="5"/>
    </row>
    <row r="123" spans="1:37" ht="21" customHeight="1">
      <c r="A123" s="12"/>
      <c r="B123" s="14"/>
      <c r="C123" s="15"/>
      <c r="D123" s="21" t="s">
        <v>51</v>
      </c>
      <c r="E123" s="4">
        <v>0</v>
      </c>
      <c r="F123" s="4">
        <f>Sheet54!F123</f>
        <v>0</v>
      </c>
      <c r="G123" s="4">
        <f>Sheet54!G123</f>
        <v>0</v>
      </c>
      <c r="H123" s="4">
        <f>Sheet54!H123</f>
        <v>0</v>
      </c>
      <c r="I123" s="4">
        <f>Sheet54!I123</f>
        <v>0</v>
      </c>
      <c r="J123" s="4">
        <f>Sheet54!J123</f>
        <v>0.22402</v>
      </c>
      <c r="K123" s="4">
        <f>Sheet54!K123</f>
        <v>0.1227</v>
      </c>
      <c r="L123" s="4">
        <f>Sheet54!L123</f>
        <v>0.60726000000000002</v>
      </c>
      <c r="M123" s="4">
        <f>Sheet54!M123</f>
        <v>-2.00786</v>
      </c>
      <c r="N123" s="4">
        <f>Sheet54!N123</f>
        <v>1.75892</v>
      </c>
      <c r="O123" s="4">
        <f>Sheet54!O123</f>
        <v>0</v>
      </c>
      <c r="P123" s="4">
        <f>Sheet54!P123</f>
        <v>0</v>
      </c>
      <c r="Q123" s="4">
        <f>Sheet54!Q123</f>
        <v>-1.65856</v>
      </c>
      <c r="R123" s="4">
        <f>Sheet54!R123</f>
        <v>-1.06118</v>
      </c>
      <c r="S123" s="4">
        <f>Sheet54!S123</f>
        <v>0.71528000000000003</v>
      </c>
      <c r="T123" s="4">
        <f>Sheet54!T123</f>
        <v>-0.69230000000000003</v>
      </c>
      <c r="U123" s="4">
        <f>Sheet54!U123</f>
        <v>-0.33955999999999997</v>
      </c>
      <c r="V123" s="4">
        <f>Sheet54!V123</f>
        <v>0</v>
      </c>
      <c r="W123" s="4">
        <f>Sheet54!W123</f>
        <v>0</v>
      </c>
      <c r="X123" s="4">
        <f>Sheet54!X123</f>
        <v>-2.5698400000000001</v>
      </c>
      <c r="Y123" s="4">
        <f>Sheet54!Y123</f>
        <v>2.5187400000000002</v>
      </c>
      <c r="Z123" s="4">
        <f>Sheet54!Z123</f>
        <v>-1.8117000000000001</v>
      </c>
      <c r="AA123" s="4">
        <f>Sheet54!AA123</f>
        <v>2.0476390000000002</v>
      </c>
      <c r="AB123" s="4">
        <f>Sheet54!AB123</f>
        <v>-3.712329</v>
      </c>
      <c r="AC123" s="4">
        <f>Sheet54!AC123</f>
        <v>0</v>
      </c>
      <c r="AD123" s="4">
        <f>Sheet54!AD123</f>
        <v>0</v>
      </c>
      <c r="AE123" s="4">
        <f>Sheet54!AE123</f>
        <v>-1.5385800000000001</v>
      </c>
      <c r="AF123" s="4">
        <f>Sheet54!AF123</f>
        <v>-7.9695</v>
      </c>
      <c r="AG123" s="4">
        <f>Sheet54!AG123</f>
        <v>13.24248</v>
      </c>
      <c r="AH123" s="4">
        <f>Sheet54!AH123</f>
        <v>-6.9184799999999997</v>
      </c>
      <c r="AI123" s="4">
        <f>Sheet54!AI123</f>
        <v>-5.3369999999999997</v>
      </c>
      <c r="AJ123" s="4">
        <f>Sheet54!AJ123</f>
        <v>0</v>
      </c>
      <c r="AK123" s="5"/>
    </row>
    <row r="124" spans="1:37" ht="21" customHeight="1">
      <c r="A124" s="12"/>
      <c r="B124" s="14"/>
      <c r="C124" s="15" t="s">
        <v>92</v>
      </c>
      <c r="D124" s="22" t="s">
        <v>40</v>
      </c>
      <c r="E124" s="4">
        <v>965.34858099999997</v>
      </c>
      <c r="F124" s="4">
        <f>E124+Sheet54!F124</f>
        <v>965.34858099999997</v>
      </c>
      <c r="G124" s="4">
        <f>F124+Sheet54!G124</f>
        <v>965.34858099999997</v>
      </c>
      <c r="H124" s="4">
        <f>G124+Sheet54!H124</f>
        <v>965.34858099999997</v>
      </c>
      <c r="I124" s="4">
        <f>H124+Sheet54!I124</f>
        <v>965.34858099999997</v>
      </c>
      <c r="J124" s="4">
        <f>I124+Sheet54!J124</f>
        <v>965.34858099999997</v>
      </c>
      <c r="K124" s="4">
        <f>J124+Sheet54!K124</f>
        <v>965.34858099999997</v>
      </c>
      <c r="L124" s="4">
        <f>K124+Sheet54!L124</f>
        <v>965.34858099999997</v>
      </c>
      <c r="M124" s="4">
        <f>L124+Sheet54!M124</f>
        <v>965.34858099999997</v>
      </c>
      <c r="N124" s="4">
        <f>M124+Sheet54!N124</f>
        <v>965.34858099999997</v>
      </c>
      <c r="O124" s="4">
        <f>N124+Sheet54!O124</f>
        <v>965.34858099999997</v>
      </c>
      <c r="P124" s="4">
        <f>O124+Sheet54!P124</f>
        <v>965.34858099999997</v>
      </c>
      <c r="Q124" s="4">
        <f>P124+Sheet54!Q124</f>
        <v>965.34858099999997</v>
      </c>
      <c r="R124" s="4">
        <f>Q124+Sheet54!R124</f>
        <v>965.34858099999997</v>
      </c>
      <c r="S124" s="4">
        <f>R124+Sheet54!S124</f>
        <v>965.34858099999997</v>
      </c>
      <c r="T124" s="4">
        <f>S124+Sheet54!T124</f>
        <v>965.34858099999997</v>
      </c>
      <c r="U124" s="4">
        <f>T124+Sheet54!U124</f>
        <v>965.34858099999997</v>
      </c>
      <c r="V124" s="4">
        <f>U124+Sheet54!V124</f>
        <v>965.34858099999997</v>
      </c>
      <c r="W124" s="4">
        <f>V124+Sheet54!W124</f>
        <v>965.34858099999997</v>
      </c>
      <c r="X124" s="4">
        <f>W124+Sheet54!X124</f>
        <v>965.34858099999997</v>
      </c>
      <c r="Y124" s="4">
        <f>X124+Sheet54!Y124</f>
        <v>965.34858099999997</v>
      </c>
      <c r="Z124" s="4">
        <f>Y124+Sheet54!Z124</f>
        <v>965.34858099999997</v>
      </c>
      <c r="AA124" s="4">
        <f>Z124+Sheet54!AA124</f>
        <v>965.34858099999997</v>
      </c>
      <c r="AB124" s="4">
        <f>AA124+Sheet54!AB124</f>
        <v>965.34858099999997</v>
      </c>
      <c r="AC124" s="4">
        <f>AB124+Sheet54!AC124</f>
        <v>965.34858099999997</v>
      </c>
      <c r="AD124" s="4">
        <f>AC124+Sheet54!AD124</f>
        <v>965.34858099999997</v>
      </c>
      <c r="AE124" s="4">
        <f>AD124+Sheet54!AE124</f>
        <v>965.34858099999997</v>
      </c>
      <c r="AF124" s="4">
        <f>AE124+Sheet54!AF124</f>
        <v>965.34858099999997</v>
      </c>
      <c r="AG124" s="4">
        <f>AF124+Sheet54!AG124</f>
        <v>965.34858099999997</v>
      </c>
      <c r="AH124" s="4">
        <f>AG124+Sheet54!AH124</f>
        <v>965.34858099999997</v>
      </c>
      <c r="AI124" s="4">
        <f>AH124+Sheet54!AI124</f>
        <v>965.34858099999997</v>
      </c>
      <c r="AJ124" s="4">
        <f>AI124+Sheet54!AJ124</f>
        <v>965.34858099999997</v>
      </c>
      <c r="AK124" s="5"/>
    </row>
    <row r="125" spans="1:37" ht="21" customHeight="1">
      <c r="A125" s="12"/>
      <c r="B125" s="14"/>
      <c r="C125" s="15"/>
      <c r="D125" s="22" t="s">
        <v>50</v>
      </c>
      <c r="E125" s="4">
        <v>-85.537621000000001</v>
      </c>
      <c r="F125" s="4">
        <f>E125+Sheet54!F125</f>
        <v>-85.537621000000001</v>
      </c>
      <c r="G125" s="4">
        <f>F125+Sheet54!G125</f>
        <v>-85.537621000000001</v>
      </c>
      <c r="H125" s="4">
        <f>G125+Sheet54!H125</f>
        <v>-85.537621000000001</v>
      </c>
      <c r="I125" s="4">
        <f>H125+Sheet54!I125</f>
        <v>-85.537621000000001</v>
      </c>
      <c r="J125" s="4">
        <f>I125+Sheet54!J125</f>
        <v>-81.940381000000002</v>
      </c>
      <c r="K125" s="4">
        <f>J125+Sheet54!K125</f>
        <v>-81.731460999999996</v>
      </c>
      <c r="L125" s="4">
        <f>K125+Sheet54!L125</f>
        <v>-90.038100999999997</v>
      </c>
      <c r="M125" s="4">
        <f>L125+Sheet54!M125</f>
        <v>-93.51708099999999</v>
      </c>
      <c r="N125" s="4">
        <f>M125+Sheet54!N125</f>
        <v>-95.168460999999994</v>
      </c>
      <c r="O125" s="4">
        <f>N125+Sheet54!O125</f>
        <v>-95.168460999999994</v>
      </c>
      <c r="P125" s="4">
        <f>O125+Sheet54!P125</f>
        <v>-95.168460999999994</v>
      </c>
      <c r="Q125" s="4">
        <f>P125+Sheet54!Q125</f>
        <v>-93.213300999999987</v>
      </c>
      <c r="R125" s="4">
        <f>Q125+Sheet54!R125</f>
        <v>-96.819840999999983</v>
      </c>
      <c r="S125" s="4">
        <f>R125+Sheet54!S125</f>
        <v>-98.429220999999984</v>
      </c>
      <c r="T125" s="4">
        <f>S125+Sheet54!T125</f>
        <v>-100.47834099999999</v>
      </c>
      <c r="U125" s="4">
        <f>T125+Sheet54!U125</f>
        <v>-106.51638099999998</v>
      </c>
      <c r="V125" s="4">
        <f>U125+Sheet54!V125</f>
        <v>-106.51638099999998</v>
      </c>
      <c r="W125" s="4">
        <f>V125+Sheet54!W125</f>
        <v>-106.51638099999998</v>
      </c>
      <c r="X125" s="4">
        <f>W125+Sheet54!X125</f>
        <v>-115.37946099999998</v>
      </c>
      <c r="Y125" s="4">
        <f>X125+Sheet54!Y125</f>
        <v>-116.04558099999998</v>
      </c>
      <c r="Z125" s="4">
        <f>Y125+Sheet54!Z125</f>
        <v>-117.97194099999999</v>
      </c>
      <c r="AA125" s="4">
        <f>Z125+Sheet54!AA125</f>
        <v>-118.97418099999999</v>
      </c>
      <c r="AB125" s="4">
        <f>AA125+Sheet54!AB125</f>
        <v>-113.80818099999999</v>
      </c>
      <c r="AC125" s="4">
        <f>AB125+Sheet54!AC125</f>
        <v>-113.80818099999999</v>
      </c>
      <c r="AD125" s="4">
        <f>AC125+Sheet54!AD125</f>
        <v>-113.80818099999999</v>
      </c>
      <c r="AE125" s="4">
        <f>AD125+Sheet54!AE125</f>
        <v>-121.21146099999999</v>
      </c>
      <c r="AF125" s="4">
        <f>AE125+Sheet54!AF125</f>
        <v>-125.08458099999999</v>
      </c>
      <c r="AG125" s="4">
        <f>AF125+Sheet54!AG125</f>
        <v>-99.589140999999984</v>
      </c>
      <c r="AH125" s="4">
        <f>AG125+Sheet54!AH125</f>
        <v>-101.82198099999998</v>
      </c>
      <c r="AI125" s="4">
        <f>AH125+Sheet54!AI125</f>
        <v>-113.56338099999998</v>
      </c>
      <c r="AJ125" s="4">
        <f>AI125+Sheet54!AJ125</f>
        <v>-113.56338099999998</v>
      </c>
      <c r="AK125" s="5"/>
    </row>
    <row r="126" spans="1:37" ht="21" customHeight="1">
      <c r="A126" s="12"/>
      <c r="B126" s="14"/>
      <c r="C126" s="15"/>
      <c r="D126" s="21" t="s">
        <v>51</v>
      </c>
      <c r="E126" s="4">
        <v>0</v>
      </c>
      <c r="F126" s="4">
        <f>Sheet54!F126</f>
        <v>0</v>
      </c>
      <c r="G126" s="4">
        <f>Sheet54!G126</f>
        <v>0</v>
      </c>
      <c r="H126" s="4">
        <f>Sheet54!H126</f>
        <v>0</v>
      </c>
      <c r="I126" s="4">
        <f>Sheet54!I126</f>
        <v>0</v>
      </c>
      <c r="J126" s="4">
        <f>Sheet54!J126</f>
        <v>3.5972400000000002</v>
      </c>
      <c r="K126" s="4">
        <f>Sheet54!K126</f>
        <v>0.20891999999999999</v>
      </c>
      <c r="L126" s="4">
        <f>Sheet54!L126</f>
        <v>-8.3066399999999998</v>
      </c>
      <c r="M126" s="4">
        <f>Sheet54!M126</f>
        <v>-3.47898</v>
      </c>
      <c r="N126" s="4">
        <f>Sheet54!N126</f>
        <v>-1.6513800000000001</v>
      </c>
      <c r="O126" s="4">
        <f>Sheet54!O126</f>
        <v>0</v>
      </c>
      <c r="P126" s="4">
        <f>Sheet54!P126</f>
        <v>0</v>
      </c>
      <c r="Q126" s="4">
        <f>Sheet54!Q126</f>
        <v>1.95516</v>
      </c>
      <c r="R126" s="4">
        <f>Sheet54!R126</f>
        <v>-3.6065399999999999</v>
      </c>
      <c r="S126" s="4">
        <f>Sheet54!S126</f>
        <v>-1.60938</v>
      </c>
      <c r="T126" s="4">
        <f>Sheet54!T126</f>
        <v>-2.0491199999999998</v>
      </c>
      <c r="U126" s="4">
        <f>Sheet54!U126</f>
        <v>-6.0380399999999996</v>
      </c>
      <c r="V126" s="4">
        <f>Sheet54!V126</f>
        <v>0</v>
      </c>
      <c r="W126" s="4">
        <f>Sheet54!W126</f>
        <v>0</v>
      </c>
      <c r="X126" s="4">
        <f>Sheet54!X126</f>
        <v>-8.8630800000000001</v>
      </c>
      <c r="Y126" s="4">
        <f>Sheet54!Y126</f>
        <v>-0.66612000000000005</v>
      </c>
      <c r="Z126" s="4">
        <f>Sheet54!Z126</f>
        <v>-1.9263600000000001</v>
      </c>
      <c r="AA126" s="4">
        <f>Sheet54!AA126</f>
        <v>-1.00224</v>
      </c>
      <c r="AB126" s="4">
        <f>Sheet54!AB126</f>
        <v>5.1660000000000004</v>
      </c>
      <c r="AC126" s="4">
        <f>Sheet54!AC126</f>
        <v>0</v>
      </c>
      <c r="AD126" s="4">
        <f>Sheet54!AD126</f>
        <v>0</v>
      </c>
      <c r="AE126" s="4">
        <f>Sheet54!AE126</f>
        <v>-7.4032799999999996</v>
      </c>
      <c r="AF126" s="4">
        <f>Sheet54!AF126</f>
        <v>-3.8731200000000001</v>
      </c>
      <c r="AG126" s="4">
        <f>Sheet54!AG126</f>
        <v>25.495439999999999</v>
      </c>
      <c r="AH126" s="4">
        <f>Sheet54!AH126</f>
        <v>-2.2328399999999999</v>
      </c>
      <c r="AI126" s="4">
        <f>Sheet54!AI126</f>
        <v>-11.741400000000001</v>
      </c>
      <c r="AJ126" s="4">
        <f>Sheet54!AJ126</f>
        <v>0</v>
      </c>
      <c r="AK126" s="5"/>
    </row>
    <row r="127" spans="1:37" ht="21" customHeight="1">
      <c r="A127" s="12"/>
      <c r="B127" s="14"/>
      <c r="C127" s="15" t="s">
        <v>93</v>
      </c>
      <c r="D127" s="22" t="s">
        <v>40</v>
      </c>
      <c r="E127" s="4">
        <v>893.60728099999994</v>
      </c>
      <c r="F127" s="4">
        <f>E127+Sheet54!F127</f>
        <v>893.60728099999994</v>
      </c>
      <c r="G127" s="4">
        <f>F127+Sheet54!G127</f>
        <v>893.60728099999994</v>
      </c>
      <c r="H127" s="4">
        <f>G127+Sheet54!H127</f>
        <v>893.60728099999994</v>
      </c>
      <c r="I127" s="4">
        <f>H127+Sheet54!I127</f>
        <v>893.60728099999994</v>
      </c>
      <c r="J127" s="4">
        <f>I127+Sheet54!J127</f>
        <v>893.60728099999994</v>
      </c>
      <c r="K127" s="4">
        <f>J127+Sheet54!K127</f>
        <v>893.60728099999994</v>
      </c>
      <c r="L127" s="4">
        <f>K127+Sheet54!L127</f>
        <v>893.60728099999994</v>
      </c>
      <c r="M127" s="4">
        <f>L127+Sheet54!M127</f>
        <v>893.60728099999994</v>
      </c>
      <c r="N127" s="4">
        <f>M127+Sheet54!N127</f>
        <v>893.60728099999994</v>
      </c>
      <c r="O127" s="4">
        <f>N127+Sheet54!O127</f>
        <v>893.60728099999994</v>
      </c>
      <c r="P127" s="4">
        <f>O127+Sheet54!P127</f>
        <v>893.60728099999994</v>
      </c>
      <c r="Q127" s="4">
        <f>P127+Sheet54!Q127</f>
        <v>893.60728099999994</v>
      </c>
      <c r="R127" s="4">
        <f>Q127+Sheet54!R127</f>
        <v>893.60728099999994</v>
      </c>
      <c r="S127" s="4">
        <f>R127+Sheet54!S127</f>
        <v>893.60728099999994</v>
      </c>
      <c r="T127" s="4">
        <f>S127+Sheet54!T127</f>
        <v>893.60728099999994</v>
      </c>
      <c r="U127" s="4">
        <f>T127+Sheet54!U127</f>
        <v>893.60728099999994</v>
      </c>
      <c r="V127" s="4">
        <f>U127+Sheet54!V127</f>
        <v>893.60728099999994</v>
      </c>
      <c r="W127" s="4">
        <f>V127+Sheet54!W127</f>
        <v>893.60728099999994</v>
      </c>
      <c r="X127" s="4">
        <f>W127+Sheet54!X127</f>
        <v>893.60728099999994</v>
      </c>
      <c r="Y127" s="4">
        <f>X127+Sheet54!Y127</f>
        <v>893.60728099999994</v>
      </c>
      <c r="Z127" s="4">
        <f>Y127+Sheet54!Z127</f>
        <v>893.60728099999994</v>
      </c>
      <c r="AA127" s="4">
        <f>Z127+Sheet54!AA127</f>
        <v>893.60728099999994</v>
      </c>
      <c r="AB127" s="4">
        <f>AA127+Sheet54!AB127</f>
        <v>893.60728099999994</v>
      </c>
      <c r="AC127" s="4">
        <f>AB127+Sheet54!AC127</f>
        <v>893.60728099999994</v>
      </c>
      <c r="AD127" s="4">
        <f>AC127+Sheet54!AD127</f>
        <v>893.60728099999994</v>
      </c>
      <c r="AE127" s="4">
        <f>AD127+Sheet54!AE127</f>
        <v>893.60728099999994</v>
      </c>
      <c r="AF127" s="4">
        <f>AE127+Sheet54!AF127</f>
        <v>893.60728099999994</v>
      </c>
      <c r="AG127" s="4">
        <f>AF127+Sheet54!AG127</f>
        <v>893.60728099999994</v>
      </c>
      <c r="AH127" s="4">
        <f>AG127+Sheet54!AH127</f>
        <v>893.60728099999994</v>
      </c>
      <c r="AI127" s="4">
        <f>AH127+Sheet54!AI127</f>
        <v>893.60728099999994</v>
      </c>
      <c r="AJ127" s="4">
        <f>AI127+Sheet54!AJ127</f>
        <v>893.60728099999994</v>
      </c>
      <c r="AK127" s="5"/>
    </row>
    <row r="128" spans="1:37" ht="21" customHeight="1">
      <c r="A128" s="12"/>
      <c r="B128" s="14"/>
      <c r="C128" s="15"/>
      <c r="D128" s="22" t="s">
        <v>50</v>
      </c>
      <c r="E128" s="4">
        <v>-53.102440999999999</v>
      </c>
      <c r="F128" s="4">
        <f>E128+Sheet54!F128</f>
        <v>-53.102440999999999</v>
      </c>
      <c r="G128" s="4">
        <f>F128+Sheet54!G128</f>
        <v>-53.102440999999999</v>
      </c>
      <c r="H128" s="4">
        <f>G128+Sheet54!H128</f>
        <v>-53.102440999999999</v>
      </c>
      <c r="I128" s="4">
        <f>H128+Sheet54!I128</f>
        <v>-53.102440999999999</v>
      </c>
      <c r="J128" s="4">
        <f>I128+Sheet54!J128</f>
        <v>-55.818581000000002</v>
      </c>
      <c r="K128" s="4">
        <f>J128+Sheet54!K128</f>
        <v>-56.482181000000004</v>
      </c>
      <c r="L128" s="4">
        <f>K128+Sheet54!L128</f>
        <v>-56.201831000000006</v>
      </c>
      <c r="M128" s="4">
        <f>L128+Sheet54!M128</f>
        <v>-60.547781000000008</v>
      </c>
      <c r="N128" s="4">
        <f>M128+Sheet54!N128</f>
        <v>-67.769261</v>
      </c>
      <c r="O128" s="4">
        <f>N128+Sheet54!O128</f>
        <v>-67.769261</v>
      </c>
      <c r="P128" s="4">
        <f>O128+Sheet54!P128</f>
        <v>-67.769261</v>
      </c>
      <c r="Q128" s="4">
        <f>P128+Sheet54!Q128</f>
        <v>-58.549841000000001</v>
      </c>
      <c r="R128" s="4">
        <f>Q128+Sheet54!R128</f>
        <v>-52.438001</v>
      </c>
      <c r="S128" s="4">
        <f>R128+Sheet54!S128</f>
        <v>-52.438001</v>
      </c>
      <c r="T128" s="4">
        <f>S128+Sheet54!T128</f>
        <v>-44.832641000000002</v>
      </c>
      <c r="U128" s="4">
        <f>T128+Sheet54!U128</f>
        <v>-49.249780999999999</v>
      </c>
      <c r="V128" s="4">
        <f>U128+Sheet54!V128</f>
        <v>-49.249780999999999</v>
      </c>
      <c r="W128" s="4">
        <f>V128+Sheet54!W128</f>
        <v>-49.249780999999999</v>
      </c>
      <c r="X128" s="4">
        <f>W128+Sheet54!X128</f>
        <v>-51.409000999999996</v>
      </c>
      <c r="Y128" s="4">
        <f>X128+Sheet54!Y128</f>
        <v>-55.817530999999995</v>
      </c>
      <c r="Z128" s="4">
        <f>Y128+Sheet54!Z128</f>
        <v>-58.534720999999998</v>
      </c>
      <c r="AA128" s="4">
        <f>Z128+Sheet54!AA128</f>
        <v>-55.535920999999995</v>
      </c>
      <c r="AB128" s="4">
        <f>AA128+Sheet54!AB128</f>
        <v>-57.598120999999992</v>
      </c>
      <c r="AC128" s="4">
        <f>AB128+Sheet54!AC128</f>
        <v>-57.598120999999992</v>
      </c>
      <c r="AD128" s="4">
        <f>AC128+Sheet54!AD128</f>
        <v>-57.598120999999992</v>
      </c>
      <c r="AE128" s="4">
        <f>AD128+Sheet54!AE128</f>
        <v>-55.62979099999999</v>
      </c>
      <c r="AF128" s="4">
        <f>AE128+Sheet54!AF128</f>
        <v>-48.794080999999991</v>
      </c>
      <c r="AG128" s="4">
        <f>AF128+Sheet54!AG128</f>
        <v>-19.019020999999992</v>
      </c>
      <c r="AH128" s="4">
        <f>AG128+Sheet54!AH128</f>
        <v>-4.4630809999999919</v>
      </c>
      <c r="AI128" s="4">
        <f>AH128+Sheet54!AI128</f>
        <v>-21.274630999999992</v>
      </c>
      <c r="AJ128" s="4">
        <f>AI128+Sheet54!AJ128</f>
        <v>-21.274630999999992</v>
      </c>
      <c r="AK128" s="5"/>
    </row>
    <row r="129" spans="1:37" ht="21" customHeight="1">
      <c r="A129" s="12"/>
      <c r="B129" s="14"/>
      <c r="C129" s="15"/>
      <c r="D129" s="21" t="s">
        <v>51</v>
      </c>
      <c r="E129" s="4">
        <v>0</v>
      </c>
      <c r="F129" s="4">
        <f>Sheet54!F129</f>
        <v>0</v>
      </c>
      <c r="G129" s="4">
        <f>Sheet54!G129</f>
        <v>0</v>
      </c>
      <c r="H129" s="4">
        <f>Sheet54!H129</f>
        <v>0</v>
      </c>
      <c r="I129" s="4">
        <f>Sheet54!I129</f>
        <v>0</v>
      </c>
      <c r="J129" s="4">
        <f>Sheet54!J129</f>
        <v>-2.7161400000000002</v>
      </c>
      <c r="K129" s="4">
        <f>Sheet54!K129</f>
        <v>-0.66359999999999997</v>
      </c>
      <c r="L129" s="4">
        <f>Sheet54!L129</f>
        <v>0.28034999999999999</v>
      </c>
      <c r="M129" s="4">
        <f>Sheet54!M129</f>
        <v>-4.3459500000000002</v>
      </c>
      <c r="N129" s="4">
        <f>Sheet54!N129</f>
        <v>-7.2214799999999997</v>
      </c>
      <c r="O129" s="4">
        <f>Sheet54!O129</f>
        <v>0</v>
      </c>
      <c r="P129" s="4">
        <f>Sheet54!P129</f>
        <v>0</v>
      </c>
      <c r="Q129" s="4">
        <f>Sheet54!Q129</f>
        <v>9.2194199999999995</v>
      </c>
      <c r="R129" s="4">
        <f>Sheet54!R129</f>
        <v>6.1118399999999999</v>
      </c>
      <c r="S129" s="4">
        <f>Sheet54!S129</f>
        <v>0</v>
      </c>
      <c r="T129" s="4">
        <f>Sheet54!T129</f>
        <v>7.6053600000000001</v>
      </c>
      <c r="U129" s="4">
        <f>Sheet54!U129</f>
        <v>-4.4171399999999998</v>
      </c>
      <c r="V129" s="4">
        <f>Sheet54!V129</f>
        <v>0</v>
      </c>
      <c r="W129" s="4">
        <f>Sheet54!W129</f>
        <v>0</v>
      </c>
      <c r="X129" s="4">
        <f>Sheet54!X129</f>
        <v>-2.1592199999999999</v>
      </c>
      <c r="Y129" s="4">
        <f>Sheet54!Y129</f>
        <v>-4.4085299999999998</v>
      </c>
      <c r="Z129" s="4">
        <f>Sheet54!Z129</f>
        <v>-2.71719</v>
      </c>
      <c r="AA129" s="4">
        <f>Sheet54!AA129</f>
        <v>2.9988000000000001</v>
      </c>
      <c r="AB129" s="4">
        <f>Sheet54!AB129</f>
        <v>-2.0621999999999998</v>
      </c>
      <c r="AC129" s="4">
        <f>Sheet54!AC129</f>
        <v>0</v>
      </c>
      <c r="AD129" s="4">
        <f>Sheet54!AD129</f>
        <v>0</v>
      </c>
      <c r="AE129" s="4">
        <f>Sheet54!AE129</f>
        <v>1.9683299999999999</v>
      </c>
      <c r="AF129" s="4">
        <f>Sheet54!AF129</f>
        <v>6.8357099999999997</v>
      </c>
      <c r="AG129" s="4">
        <f>Sheet54!AG129</f>
        <v>29.77506</v>
      </c>
      <c r="AH129" s="4">
        <f>Sheet54!AH129</f>
        <v>14.55594</v>
      </c>
      <c r="AI129" s="4">
        <f>Sheet54!AI129</f>
        <v>-16.81155</v>
      </c>
      <c r="AJ129" s="4">
        <f>Sheet54!AJ129</f>
        <v>0</v>
      </c>
      <c r="AK129" s="5"/>
    </row>
    <row r="130" spans="1:37" ht="21" customHeight="1">
      <c r="A130" s="12"/>
      <c r="B130" s="14"/>
      <c r="C130" s="15"/>
      <c r="D130" s="22" t="s">
        <v>37</v>
      </c>
      <c r="E130" s="4">
        <v>22.974</v>
      </c>
      <c r="F130" s="4">
        <f>E130+Sheet54!F130</f>
        <v>22.974</v>
      </c>
      <c r="G130" s="4">
        <f>F130+Sheet54!G130</f>
        <v>22.974</v>
      </c>
      <c r="H130" s="4">
        <f>G130+Sheet54!H130</f>
        <v>22.974</v>
      </c>
      <c r="I130" s="4">
        <f>H130+Sheet54!I130</f>
        <v>22.974</v>
      </c>
      <c r="J130" s="4">
        <f>I130+Sheet54!J130</f>
        <v>22.974</v>
      </c>
      <c r="K130" s="4">
        <f>J130+Sheet54!K130</f>
        <v>22.974</v>
      </c>
      <c r="L130" s="4">
        <f>K130+Sheet54!L130</f>
        <v>22.974</v>
      </c>
      <c r="M130" s="4">
        <f>L130+Sheet54!M130</f>
        <v>22.974</v>
      </c>
      <c r="N130" s="4">
        <f>M130+Sheet54!N130</f>
        <v>22.974</v>
      </c>
      <c r="O130" s="4">
        <f>N130+Sheet54!O130</f>
        <v>22.974</v>
      </c>
      <c r="P130" s="4">
        <f>O130+Sheet54!P130</f>
        <v>22.974</v>
      </c>
      <c r="Q130" s="4">
        <f>P130+Sheet54!Q130</f>
        <v>22.974</v>
      </c>
      <c r="R130" s="4">
        <f>Q130+Sheet54!R130</f>
        <v>22.974</v>
      </c>
      <c r="S130" s="4">
        <f>R130+Sheet54!S130</f>
        <v>22.974</v>
      </c>
      <c r="T130" s="4">
        <f>S130+Sheet54!T130</f>
        <v>22.974</v>
      </c>
      <c r="U130" s="4">
        <f>T130+Sheet54!U130</f>
        <v>22.974</v>
      </c>
      <c r="V130" s="4">
        <f>U130+Sheet54!V130</f>
        <v>22.974</v>
      </c>
      <c r="W130" s="4">
        <f>V130+Sheet54!W130</f>
        <v>22.974</v>
      </c>
      <c r="X130" s="4">
        <f>W130+Sheet54!X130</f>
        <v>22.974</v>
      </c>
      <c r="Y130" s="4">
        <f>X130+Sheet54!Y130</f>
        <v>22.974</v>
      </c>
      <c r="Z130" s="4">
        <f>Y130+Sheet54!Z130</f>
        <v>22.974</v>
      </c>
      <c r="AA130" s="4">
        <f>Z130+Sheet54!AA130</f>
        <v>22.974</v>
      </c>
      <c r="AB130" s="4">
        <f>AA130+Sheet54!AB130</f>
        <v>22.974</v>
      </c>
      <c r="AC130" s="4">
        <f>AB130+Sheet54!AC130</f>
        <v>22.974</v>
      </c>
      <c r="AD130" s="4">
        <f>AC130+Sheet54!AD130</f>
        <v>22.974</v>
      </c>
      <c r="AE130" s="4">
        <f>AD130+Sheet54!AE130</f>
        <v>22.974</v>
      </c>
      <c r="AF130" s="4">
        <f>AE130+Sheet54!AF130</f>
        <v>0</v>
      </c>
      <c r="AG130" s="4">
        <f>AF130+Sheet54!AG130</f>
        <v>0</v>
      </c>
      <c r="AH130" s="4">
        <f>AG130+Sheet54!AH130</f>
        <v>0</v>
      </c>
      <c r="AI130" s="4">
        <f>AH130+Sheet54!AI130</f>
        <v>0</v>
      </c>
      <c r="AJ130" s="4">
        <f>AI130+Sheet54!AJ130</f>
        <v>0</v>
      </c>
      <c r="AK130" s="5"/>
    </row>
    <row r="131" spans="1:37" ht="21" customHeight="1">
      <c r="A131" s="12"/>
      <c r="B131" s="14"/>
      <c r="C131" s="15" t="s">
        <v>94</v>
      </c>
      <c r="D131" s="22" t="s">
        <v>40</v>
      </c>
      <c r="E131" s="4">
        <v>391.20340499999998</v>
      </c>
      <c r="F131" s="4">
        <f>E131+Sheet54!F131</f>
        <v>391.20340499999998</v>
      </c>
      <c r="G131" s="4">
        <f>F131+Sheet54!G131</f>
        <v>391.20340499999998</v>
      </c>
      <c r="H131" s="4">
        <f>G131+Sheet54!H131</f>
        <v>391.20340499999998</v>
      </c>
      <c r="I131" s="4">
        <f>H131+Sheet54!I131</f>
        <v>391.20340499999998</v>
      </c>
      <c r="J131" s="4">
        <f>I131+Sheet54!J131</f>
        <v>391.20340499999998</v>
      </c>
      <c r="K131" s="4">
        <f>J131+Sheet54!K131</f>
        <v>391.20340499999998</v>
      </c>
      <c r="L131" s="4">
        <f>K131+Sheet54!L131</f>
        <v>391.20340499999998</v>
      </c>
      <c r="M131" s="4">
        <f>L131+Sheet54!M131</f>
        <v>391.20340499999998</v>
      </c>
      <c r="N131" s="4">
        <f>M131+Sheet54!N131</f>
        <v>391.20340499999998</v>
      </c>
      <c r="O131" s="4">
        <f>N131+Sheet54!O131</f>
        <v>391.20340499999998</v>
      </c>
      <c r="P131" s="4">
        <f>O131+Sheet54!P131</f>
        <v>391.20340499999998</v>
      </c>
      <c r="Q131" s="4">
        <f>P131+Sheet54!Q131</f>
        <v>391.20340499999998</v>
      </c>
      <c r="R131" s="4">
        <f>Q131+Sheet54!R131</f>
        <v>624.21834100000001</v>
      </c>
      <c r="S131" s="4">
        <f>R131+Sheet54!S131</f>
        <v>624.21834100000001</v>
      </c>
      <c r="T131" s="4">
        <f>S131+Sheet54!T131</f>
        <v>624.21834100000001</v>
      </c>
      <c r="U131" s="4">
        <f>T131+Sheet54!U131</f>
        <v>624.21834100000001</v>
      </c>
      <c r="V131" s="4">
        <f>U131+Sheet54!V131</f>
        <v>624.21834100000001</v>
      </c>
      <c r="W131" s="4">
        <f>V131+Sheet54!W131</f>
        <v>624.21834100000001</v>
      </c>
      <c r="X131" s="4">
        <f>W131+Sheet54!X131</f>
        <v>624.21834100000001</v>
      </c>
      <c r="Y131" s="4">
        <f>X131+Sheet54!Y131</f>
        <v>624.21834100000001</v>
      </c>
      <c r="Z131" s="4">
        <f>Y131+Sheet54!Z131</f>
        <v>624.21834100000001</v>
      </c>
      <c r="AA131" s="4">
        <f>Z131+Sheet54!AA131</f>
        <v>624.21834100000001</v>
      </c>
      <c r="AB131" s="4">
        <f>AA131+Sheet54!AB131</f>
        <v>624.21834100000001</v>
      </c>
      <c r="AC131" s="4">
        <f>AB131+Sheet54!AC131</f>
        <v>624.21834100000001</v>
      </c>
      <c r="AD131" s="4">
        <f>AC131+Sheet54!AD131</f>
        <v>624.21834100000001</v>
      </c>
      <c r="AE131" s="4">
        <f>AD131+Sheet54!AE131</f>
        <v>624.21834100000001</v>
      </c>
      <c r="AF131" s="4">
        <f>AE131+Sheet54!AF131</f>
        <v>624.21834100000001</v>
      </c>
      <c r="AG131" s="4">
        <f>AF131+Sheet54!AG131</f>
        <v>624.21834100000001</v>
      </c>
      <c r="AH131" s="4">
        <f>AG131+Sheet54!AH131</f>
        <v>624.21834100000001</v>
      </c>
      <c r="AI131" s="4">
        <f>AH131+Sheet54!AI131</f>
        <v>624.21834100000001</v>
      </c>
      <c r="AJ131" s="4">
        <f>AI131+Sheet54!AJ131</f>
        <v>624.21834100000001</v>
      </c>
      <c r="AK131" s="5"/>
    </row>
    <row r="132" spans="1:37" ht="21" customHeight="1">
      <c r="A132" s="12"/>
      <c r="B132" s="14"/>
      <c r="C132" s="15"/>
      <c r="D132" s="22" t="s">
        <v>50</v>
      </c>
      <c r="E132" s="4">
        <v>-53.403404999999999</v>
      </c>
      <c r="F132" s="4">
        <f>E132+Sheet54!F132</f>
        <v>-53.403404999999999</v>
      </c>
      <c r="G132" s="4">
        <f>F132+Sheet54!G132</f>
        <v>-53.403404999999999</v>
      </c>
      <c r="H132" s="4">
        <f>G132+Sheet54!H132</f>
        <v>-53.403404999999999</v>
      </c>
      <c r="I132" s="4">
        <f>H132+Sheet54!I132</f>
        <v>-53.403404999999999</v>
      </c>
      <c r="J132" s="4">
        <f>I132+Sheet54!J132</f>
        <v>-51.303404999999998</v>
      </c>
      <c r="K132" s="4">
        <f>J132+Sheet54!K132</f>
        <v>-52.803404999999998</v>
      </c>
      <c r="L132" s="4">
        <f>K132+Sheet54!L132</f>
        <v>-54.903404999999999</v>
      </c>
      <c r="M132" s="4">
        <f>L132+Sheet54!M132</f>
        <v>-55.203404999999997</v>
      </c>
      <c r="N132" s="4">
        <f>M132+Sheet54!N132</f>
        <v>-51.303404999999998</v>
      </c>
      <c r="O132" s="4">
        <f>N132+Sheet54!O132</f>
        <v>-51.303404999999998</v>
      </c>
      <c r="P132" s="4">
        <f>O132+Sheet54!P132</f>
        <v>-51.303404999999998</v>
      </c>
      <c r="Q132" s="4">
        <f>P132+Sheet54!Q132</f>
        <v>-40.503405000000001</v>
      </c>
      <c r="R132" s="4">
        <f>Q132+Sheet54!R132</f>
        <v>-46.218341000000002</v>
      </c>
      <c r="S132" s="4">
        <f>R132+Sheet54!S132</f>
        <v>-40.718341000000002</v>
      </c>
      <c r="T132" s="4">
        <f>S132+Sheet54!T132</f>
        <v>-47.718341000000002</v>
      </c>
      <c r="U132" s="4">
        <f>T132+Sheet54!U132</f>
        <v>-60.718341000000002</v>
      </c>
      <c r="V132" s="4">
        <f>U132+Sheet54!V132</f>
        <v>-60.718341000000002</v>
      </c>
      <c r="W132" s="4">
        <f>V132+Sheet54!W132</f>
        <v>-60.718341000000002</v>
      </c>
      <c r="X132" s="4">
        <f>W132+Sheet54!X132</f>
        <v>-61.218341000000002</v>
      </c>
      <c r="Y132" s="4">
        <f>X132+Sheet54!Y132</f>
        <v>-57.718341000000002</v>
      </c>
      <c r="Z132" s="4">
        <f>Y132+Sheet54!Z132</f>
        <v>-61.218341000000002</v>
      </c>
      <c r="AA132" s="4">
        <f>Z132+Sheet54!AA132</f>
        <v>-60.718341000000002</v>
      </c>
      <c r="AB132" s="4">
        <f>AA132+Sheet54!AB132</f>
        <v>-56.718341000000002</v>
      </c>
      <c r="AC132" s="4">
        <f>AB132+Sheet54!AC132</f>
        <v>-56.718341000000002</v>
      </c>
      <c r="AD132" s="4">
        <f>AC132+Sheet54!AD132</f>
        <v>-56.718341000000002</v>
      </c>
      <c r="AE132" s="4">
        <f>AD132+Sheet54!AE132</f>
        <v>-64.218341000000009</v>
      </c>
      <c r="AF132" s="4">
        <f>AE132+Sheet54!AF132</f>
        <v>-73.218341000000009</v>
      </c>
      <c r="AG132" s="4">
        <f>AF132+Sheet54!AG132</f>
        <v>-73.218341000000009</v>
      </c>
      <c r="AH132" s="4">
        <f>AG132+Sheet54!AH132</f>
        <v>-66.718341000000009</v>
      </c>
      <c r="AI132" s="4">
        <f>AH132+Sheet54!AI132</f>
        <v>-72.218341000000009</v>
      </c>
      <c r="AJ132" s="4">
        <f>AI132+Sheet54!AJ132</f>
        <v>-72.218341000000009</v>
      </c>
      <c r="AK132" s="5"/>
    </row>
    <row r="133" spans="1:37" ht="21" customHeight="1">
      <c r="A133" s="12"/>
      <c r="B133" s="14"/>
      <c r="C133" s="15"/>
      <c r="D133" s="21" t="s">
        <v>51</v>
      </c>
      <c r="E133" s="4">
        <v>0</v>
      </c>
      <c r="F133" s="4">
        <f>Sheet54!F133</f>
        <v>0</v>
      </c>
      <c r="G133" s="4">
        <f>Sheet54!G133</f>
        <v>0</v>
      </c>
      <c r="H133" s="4">
        <f>Sheet54!H133</f>
        <v>0</v>
      </c>
      <c r="I133" s="4">
        <f>Sheet54!I133</f>
        <v>0</v>
      </c>
      <c r="J133" s="4">
        <f>Sheet54!J133</f>
        <v>2.1</v>
      </c>
      <c r="K133" s="4">
        <f>Sheet54!K133</f>
        <v>-1.5</v>
      </c>
      <c r="L133" s="4">
        <f>Sheet54!L133</f>
        <v>-2.1</v>
      </c>
      <c r="M133" s="4">
        <f>Sheet54!M133</f>
        <v>-0.3</v>
      </c>
      <c r="N133" s="4">
        <f>Sheet54!N133</f>
        <v>3.9</v>
      </c>
      <c r="O133" s="4">
        <f>Sheet54!O133</f>
        <v>0</v>
      </c>
      <c r="P133" s="4">
        <f>Sheet54!P133</f>
        <v>0</v>
      </c>
      <c r="Q133" s="4">
        <f>Sheet54!Q133</f>
        <v>10.8</v>
      </c>
      <c r="R133" s="4">
        <f>Sheet54!R133</f>
        <v>-5.7149359999999998</v>
      </c>
      <c r="S133" s="4">
        <f>Sheet54!S133</f>
        <v>5.5</v>
      </c>
      <c r="T133" s="4">
        <f>Sheet54!T133</f>
        <v>-7</v>
      </c>
      <c r="U133" s="4">
        <f>Sheet54!U133</f>
        <v>-13</v>
      </c>
      <c r="V133" s="4">
        <f>Sheet54!V133</f>
        <v>0</v>
      </c>
      <c r="W133" s="4">
        <f>Sheet54!W133</f>
        <v>0</v>
      </c>
      <c r="X133" s="4">
        <f>Sheet54!X133</f>
        <v>-0.5</v>
      </c>
      <c r="Y133" s="4">
        <f>Sheet54!Y133</f>
        <v>3.5</v>
      </c>
      <c r="Z133" s="4">
        <f>Sheet54!Z133</f>
        <v>-3.5</v>
      </c>
      <c r="AA133" s="4">
        <f>Sheet54!AA133</f>
        <v>0.5</v>
      </c>
      <c r="AB133" s="4">
        <f>Sheet54!AB133</f>
        <v>4</v>
      </c>
      <c r="AC133" s="4">
        <f>Sheet54!AC133</f>
        <v>0</v>
      </c>
      <c r="AD133" s="4">
        <f>Sheet54!AD133</f>
        <v>0</v>
      </c>
      <c r="AE133" s="4">
        <f>Sheet54!AE133</f>
        <v>-7.5</v>
      </c>
      <c r="AF133" s="4">
        <f>Sheet54!AF133</f>
        <v>-9</v>
      </c>
      <c r="AG133" s="4">
        <f>Sheet54!AG133</f>
        <v>0</v>
      </c>
      <c r="AH133" s="4">
        <f>Sheet54!AH133</f>
        <v>6.5</v>
      </c>
      <c r="AI133" s="4">
        <f>Sheet54!AI133</f>
        <v>-5.5</v>
      </c>
      <c r="AJ133" s="4">
        <f>Sheet54!AJ133</f>
        <v>0</v>
      </c>
      <c r="AK133" s="5"/>
    </row>
    <row r="134" spans="1:37" ht="21" customHeight="1">
      <c r="A134" s="12"/>
      <c r="B134" s="14"/>
      <c r="C134" s="15" t="s">
        <v>95</v>
      </c>
      <c r="D134" s="22" t="s">
        <v>40</v>
      </c>
      <c r="E134" s="4">
        <v>867.29081099999996</v>
      </c>
      <c r="F134" s="4">
        <f>E134+Sheet54!F134</f>
        <v>867.29081099999996</v>
      </c>
      <c r="G134" s="4">
        <f>F134+Sheet54!G134</f>
        <v>867.29081099999996</v>
      </c>
      <c r="H134" s="4">
        <f>G134+Sheet54!H134</f>
        <v>867.29081099999996</v>
      </c>
      <c r="I134" s="4">
        <f>H134+Sheet54!I134</f>
        <v>867.29081099999996</v>
      </c>
      <c r="J134" s="4">
        <f>I134+Sheet54!J134</f>
        <v>867.29081099999996</v>
      </c>
      <c r="K134" s="4">
        <f>J134+Sheet54!K134</f>
        <v>867.29081099999996</v>
      </c>
      <c r="L134" s="4">
        <f>K134+Sheet54!L134</f>
        <v>867.29081099999996</v>
      </c>
      <c r="M134" s="4">
        <f>L134+Sheet54!M134</f>
        <v>867.29081099999996</v>
      </c>
      <c r="N134" s="4">
        <f>M134+Sheet54!N134</f>
        <v>867.29081099999996</v>
      </c>
      <c r="O134" s="4">
        <f>N134+Sheet54!O134</f>
        <v>867.29081099999996</v>
      </c>
      <c r="P134" s="4">
        <f>O134+Sheet54!P134</f>
        <v>867.29081099999996</v>
      </c>
      <c r="Q134" s="4">
        <f>P134+Sheet54!Q134</f>
        <v>867.29081099999996</v>
      </c>
      <c r="R134" s="4">
        <f>Q134+Sheet54!R134</f>
        <v>867.29081099999996</v>
      </c>
      <c r="S134" s="4">
        <f>R134+Sheet54!S134</f>
        <v>867.29081099999996</v>
      </c>
      <c r="T134" s="4">
        <f>S134+Sheet54!T134</f>
        <v>867.29081099999996</v>
      </c>
      <c r="U134" s="4">
        <f>T134+Sheet54!U134</f>
        <v>867.29081099999996</v>
      </c>
      <c r="V134" s="4">
        <f>U134+Sheet54!V134</f>
        <v>867.29081099999996</v>
      </c>
      <c r="W134" s="4">
        <f>V134+Sheet54!W134</f>
        <v>867.29081099999996</v>
      </c>
      <c r="X134" s="4">
        <f>W134+Sheet54!X134</f>
        <v>867.29081099999996</v>
      </c>
      <c r="Y134" s="4">
        <f>X134+Sheet54!Y134</f>
        <v>867.29081099999996</v>
      </c>
      <c r="Z134" s="4">
        <f>Y134+Sheet54!Z134</f>
        <v>867.29081099999996</v>
      </c>
      <c r="AA134" s="4">
        <f>Z134+Sheet54!AA134</f>
        <v>867.29081099999996</v>
      </c>
      <c r="AB134" s="4">
        <f>AA134+Sheet54!AB134</f>
        <v>867.29081099999996</v>
      </c>
      <c r="AC134" s="4">
        <f>AB134+Sheet54!AC134</f>
        <v>867.29081099999996</v>
      </c>
      <c r="AD134" s="4">
        <f>AC134+Sheet54!AD134</f>
        <v>867.29081099999996</v>
      </c>
      <c r="AE134" s="4">
        <f>AD134+Sheet54!AE134</f>
        <v>867.29081099999996</v>
      </c>
      <c r="AF134" s="4">
        <f>AE134+Sheet54!AF134</f>
        <v>867.29081099999996</v>
      </c>
      <c r="AG134" s="4">
        <f>AF134+Sheet54!AG134</f>
        <v>867.29081099999996</v>
      </c>
      <c r="AH134" s="4">
        <f>AG134+Sheet54!AH134</f>
        <v>867.29081099999996</v>
      </c>
      <c r="AI134" s="4">
        <f>AH134+Sheet54!AI134</f>
        <v>867.29081099999996</v>
      </c>
      <c r="AJ134" s="4">
        <f>AI134+Sheet54!AJ134</f>
        <v>867.29081099999996</v>
      </c>
      <c r="AK134" s="5"/>
    </row>
    <row r="135" spans="1:37" ht="21" customHeight="1">
      <c r="A135" s="12"/>
      <c r="B135" s="14"/>
      <c r="C135" s="15"/>
      <c r="D135" s="22" t="s">
        <v>50</v>
      </c>
      <c r="E135" s="4">
        <v>-57.656531000000001</v>
      </c>
      <c r="F135" s="4">
        <f>E135+Sheet54!F135</f>
        <v>-57.656531000000001</v>
      </c>
      <c r="G135" s="4">
        <f>F135+Sheet54!G135</f>
        <v>-57.656531000000001</v>
      </c>
      <c r="H135" s="4">
        <f>G135+Sheet54!H135</f>
        <v>-57.656531000000001</v>
      </c>
      <c r="I135" s="4">
        <f>H135+Sheet54!I135</f>
        <v>-57.656531000000001</v>
      </c>
      <c r="J135" s="4">
        <f>I135+Sheet54!J135</f>
        <v>-57.947211000000003</v>
      </c>
      <c r="K135" s="4">
        <f>J135+Sheet54!K135</f>
        <v>-55.606431000000001</v>
      </c>
      <c r="L135" s="4">
        <f>K135+Sheet54!L135</f>
        <v>-53.004741000000003</v>
      </c>
      <c r="M135" s="4">
        <f>L135+Sheet54!M135</f>
        <v>-64.566811000000001</v>
      </c>
      <c r="N135" s="4">
        <f>M135+Sheet54!N135</f>
        <v>-67.251830999999996</v>
      </c>
      <c r="O135" s="4">
        <f>N135+Sheet54!O135</f>
        <v>-67.251830999999996</v>
      </c>
      <c r="P135" s="4">
        <f>O135+Sheet54!P135</f>
        <v>-67.251830999999996</v>
      </c>
      <c r="Q135" s="4">
        <f>P135+Sheet54!Q135</f>
        <v>-65.101890999999995</v>
      </c>
      <c r="R135" s="4">
        <f>Q135+Sheet54!R135</f>
        <v>-37.387190999999994</v>
      </c>
      <c r="S135" s="4">
        <f>R135+Sheet54!S135</f>
        <v>-44.361170999999992</v>
      </c>
      <c r="T135" s="4">
        <f>S135+Sheet54!T135</f>
        <v>-33.806990999999989</v>
      </c>
      <c r="U135" s="4">
        <f>T135+Sheet54!U135</f>
        <v>-42.590310999999986</v>
      </c>
      <c r="V135" s="4">
        <f>U135+Sheet54!V135</f>
        <v>-42.590310999999986</v>
      </c>
      <c r="W135" s="4">
        <f>V135+Sheet54!W135</f>
        <v>-42.590310999999986</v>
      </c>
      <c r="X135" s="4">
        <f>W135+Sheet54!X135</f>
        <v>-42.867210999999983</v>
      </c>
      <c r="Y135" s="4">
        <f>X135+Sheet54!Y135</f>
        <v>-35.391560999999982</v>
      </c>
      <c r="Z135" s="4">
        <f>Y135+Sheet54!Z135</f>
        <v>-55.934810999999982</v>
      </c>
      <c r="AA135" s="4">
        <f>Z135+Sheet54!AA135</f>
        <v>-44.397050999999983</v>
      </c>
      <c r="AB135" s="4">
        <f>AA135+Sheet54!AB135</f>
        <v>-63.147470999999982</v>
      </c>
      <c r="AC135" s="4">
        <f>AB135+Sheet54!AC135</f>
        <v>-63.147470999999982</v>
      </c>
      <c r="AD135" s="4">
        <f>AC135+Sheet54!AD135</f>
        <v>-63.147470999999982</v>
      </c>
      <c r="AE135" s="4">
        <f>AD135+Sheet54!AE135</f>
        <v>-56.094320999999979</v>
      </c>
      <c r="AF135" s="4">
        <f>AE135+Sheet54!AF135</f>
        <v>-30.059610999999979</v>
      </c>
      <c r="AG135" s="4">
        <f>AF135+Sheet54!AG135</f>
        <v>-20.972610999999979</v>
      </c>
      <c r="AH135" s="4">
        <f>AG135+Sheet54!AH135</f>
        <v>-11.591810999999979</v>
      </c>
      <c r="AI135" s="4">
        <f>AH135+Sheet54!AI135</f>
        <v>-25.468010999999979</v>
      </c>
      <c r="AJ135" s="4">
        <f>AI135+Sheet54!AJ135</f>
        <v>-25.468010999999979</v>
      </c>
      <c r="AK135" s="5"/>
    </row>
    <row r="136" spans="1:37" ht="21" customHeight="1">
      <c r="A136" s="12"/>
      <c r="B136" s="14"/>
      <c r="C136" s="15"/>
      <c r="D136" s="21" t="s">
        <v>51</v>
      </c>
      <c r="E136" s="4">
        <v>0</v>
      </c>
      <c r="F136" s="4">
        <f>Sheet54!F136</f>
        <v>0</v>
      </c>
      <c r="G136" s="4">
        <f>Sheet54!G136</f>
        <v>0</v>
      </c>
      <c r="H136" s="4">
        <f>Sheet54!H136</f>
        <v>0</v>
      </c>
      <c r="I136" s="4">
        <f>Sheet54!I136</f>
        <v>0</v>
      </c>
      <c r="J136" s="4">
        <f>Sheet54!J136</f>
        <v>-0.29067999999999999</v>
      </c>
      <c r="K136" s="4">
        <f>Sheet54!K136</f>
        <v>2.3407800000000001</v>
      </c>
      <c r="L136" s="4">
        <f>Sheet54!L136</f>
        <v>2.6016900000000001</v>
      </c>
      <c r="M136" s="4">
        <f>Sheet54!M136</f>
        <v>-11.56207</v>
      </c>
      <c r="N136" s="4">
        <f>Sheet54!N136</f>
        <v>-2.6850200000000002</v>
      </c>
      <c r="O136" s="4">
        <f>Sheet54!O136</f>
        <v>0</v>
      </c>
      <c r="P136" s="4">
        <f>Sheet54!P136</f>
        <v>0</v>
      </c>
      <c r="Q136" s="4">
        <f>Sheet54!Q136</f>
        <v>2.14994</v>
      </c>
      <c r="R136" s="4">
        <f>Sheet54!R136</f>
        <v>27.714700000000001</v>
      </c>
      <c r="S136" s="4">
        <f>Sheet54!S136</f>
        <v>-6.9739800000000001</v>
      </c>
      <c r="T136" s="4">
        <f>Sheet54!T136</f>
        <v>10.554180000000001</v>
      </c>
      <c r="U136" s="4">
        <f>Sheet54!U136</f>
        <v>-8.7833199999999998</v>
      </c>
      <c r="V136" s="4">
        <f>Sheet54!V136</f>
        <v>0</v>
      </c>
      <c r="W136" s="4">
        <f>Sheet54!W136</f>
        <v>0</v>
      </c>
      <c r="X136" s="4">
        <f>Sheet54!X136</f>
        <v>-0.27689999999999998</v>
      </c>
      <c r="Y136" s="4">
        <f>Sheet54!Y136</f>
        <v>7.4756499999999999</v>
      </c>
      <c r="Z136" s="4">
        <f>Sheet54!Z136</f>
        <v>-20.54325</v>
      </c>
      <c r="AA136" s="4">
        <f>Sheet54!AA136</f>
        <v>11.53776</v>
      </c>
      <c r="AB136" s="4">
        <f>Sheet54!AB136</f>
        <v>-18.750419999999998</v>
      </c>
      <c r="AC136" s="4">
        <f>Sheet54!AC136</f>
        <v>0</v>
      </c>
      <c r="AD136" s="4">
        <f>Sheet54!AD136</f>
        <v>0</v>
      </c>
      <c r="AE136" s="4">
        <f>Sheet54!AE136</f>
        <v>7.0531499999999996</v>
      </c>
      <c r="AF136" s="4">
        <f>Sheet54!AF136</f>
        <v>26.03471</v>
      </c>
      <c r="AG136" s="4">
        <f>Sheet54!AG136</f>
        <v>9.0869999999999997</v>
      </c>
      <c r="AH136" s="4">
        <f>Sheet54!AH136</f>
        <v>9.3808000000000007</v>
      </c>
      <c r="AI136" s="4">
        <f>Sheet54!AI136</f>
        <v>-13.876200000000001</v>
      </c>
      <c r="AJ136" s="4">
        <f>Sheet54!AJ136</f>
        <v>0</v>
      </c>
      <c r="AK136" s="5"/>
    </row>
    <row r="137" spans="1:37" ht="21" customHeight="1">
      <c r="A137" s="12" t="s">
        <v>36</v>
      </c>
      <c r="B137" s="14" t="s">
        <v>38</v>
      </c>
      <c r="C137" s="6" t="s">
        <v>39</v>
      </c>
      <c r="D137" s="21" t="s">
        <v>41</v>
      </c>
      <c r="E137" s="4">
        <v>0</v>
      </c>
      <c r="F137" s="4">
        <f>Sheet54!F137</f>
        <v>5.0000000000000004E-6</v>
      </c>
      <c r="G137" s="4">
        <f>Sheet54!G137</f>
        <v>5.0000000000000004E-6</v>
      </c>
      <c r="H137" s="4">
        <f>Sheet54!H137</f>
        <v>5.0000000000000004E-6</v>
      </c>
      <c r="I137" s="4">
        <f>Sheet54!I137</f>
        <v>5.0000000000000004E-6</v>
      </c>
      <c r="J137" s="4">
        <f>Sheet54!J137</f>
        <v>5.0000000000000004E-6</v>
      </c>
      <c r="K137" s="4">
        <f>Sheet54!K137</f>
        <v>5.0000000000000004E-6</v>
      </c>
      <c r="L137" s="4">
        <f>Sheet54!L137</f>
        <v>1.1671000000000001E-2</v>
      </c>
      <c r="M137" s="4">
        <f>Sheet54!M137</f>
        <v>1.1671000000000001E-2</v>
      </c>
      <c r="N137" s="4">
        <f>Sheet54!N137</f>
        <v>3.8939999999999999E-3</v>
      </c>
      <c r="O137" s="4">
        <f>Sheet54!O137</f>
        <v>3.8939999999999999E-3</v>
      </c>
      <c r="P137" s="4">
        <f>Sheet54!P137</f>
        <v>3.8939999999999999E-3</v>
      </c>
      <c r="Q137" s="4">
        <f>Sheet54!Q137</f>
        <v>9.77E-4</v>
      </c>
      <c r="R137" s="4">
        <f>Sheet54!R137</f>
        <v>1.2644000000000001E-2</v>
      </c>
      <c r="S137" s="4">
        <f>Sheet54!S137</f>
        <v>5.0000000000000004E-6</v>
      </c>
      <c r="T137" s="4">
        <f>Sheet54!T137</f>
        <v>8.7550000000000006E-3</v>
      </c>
      <c r="U137" s="4">
        <f>Sheet54!U137</f>
        <v>5.0000000000000004E-6</v>
      </c>
      <c r="V137" s="4">
        <f>Sheet54!V137</f>
        <v>5.0000000000000004E-6</v>
      </c>
      <c r="W137" s="4">
        <f>Sheet54!W137</f>
        <v>5.0000000000000004E-6</v>
      </c>
      <c r="X137" s="4">
        <f>Sheet54!X137</f>
        <v>5.0000000000000004E-6</v>
      </c>
      <c r="Y137" s="4">
        <f>Sheet54!Y137</f>
        <v>1.7505E-2</v>
      </c>
      <c r="Z137" s="4">
        <f>Sheet54!Z137</f>
        <v>1.7505E-2</v>
      </c>
      <c r="AA137" s="4">
        <f>Sheet54!AA137</f>
        <v>2.9170999999999999E-2</v>
      </c>
      <c r="AB137" s="4">
        <f>Sheet54!AB137</f>
        <v>4.8659999999999997E-3</v>
      </c>
      <c r="AC137" s="4">
        <f>Sheet54!AC137</f>
        <v>4.8659999999999997E-3</v>
      </c>
      <c r="AD137" s="4">
        <f>Sheet54!AD137</f>
        <v>4.8659999999999997E-3</v>
      </c>
      <c r="AE137" s="4">
        <f>Sheet54!AE137</f>
        <v>4.8659999999999997E-3</v>
      </c>
      <c r="AF137" s="4">
        <f>Sheet54!AF137</f>
        <v>4.8659999999999997E-3</v>
      </c>
      <c r="AG137" s="4">
        <f>Sheet54!AG137</f>
        <v>4.8659999999999997E-3</v>
      </c>
      <c r="AH137" s="4">
        <f>Sheet54!AH137</f>
        <v>4.8659999999999997E-3</v>
      </c>
      <c r="AI137" s="4">
        <f>Sheet54!AI137</f>
        <v>4.8659999999999997E-3</v>
      </c>
      <c r="AJ137" s="4">
        <f>Sheet54!AJ137</f>
        <v>4.8659999999999997E-3</v>
      </c>
      <c r="AK137" s="5"/>
    </row>
    <row r="138" spans="1:37" ht="21" customHeight="1">
      <c r="A138" s="12"/>
      <c r="B138" s="14"/>
      <c r="C138" s="6" t="s">
        <v>42</v>
      </c>
      <c r="D138" s="21" t="s">
        <v>41</v>
      </c>
      <c r="E138" s="4">
        <v>0</v>
      </c>
      <c r="F138" s="4">
        <f>Sheet54!F138</f>
        <v>3.9999999999999998E-6</v>
      </c>
      <c r="G138" s="4">
        <f>Sheet54!G138</f>
        <v>3.9999999999999998E-6</v>
      </c>
      <c r="H138" s="4">
        <f>Sheet54!H138</f>
        <v>3.9999999999999998E-6</v>
      </c>
      <c r="I138" s="4">
        <f>Sheet54!I138</f>
        <v>3.9999999999999998E-6</v>
      </c>
      <c r="J138" s="4">
        <f>Sheet54!J138</f>
        <v>3.9999999999999998E-6</v>
      </c>
      <c r="K138" s="4">
        <f>Sheet54!K138</f>
        <v>3.9999999999999998E-6</v>
      </c>
      <c r="L138" s="4">
        <f>Sheet54!L138</f>
        <v>3.9999999999999998E-6</v>
      </c>
      <c r="M138" s="4">
        <f>Sheet54!M138</f>
        <v>3.9999999999999998E-6</v>
      </c>
      <c r="N138" s="4">
        <f>Sheet54!N138</f>
        <v>3.9999999999999998E-6</v>
      </c>
      <c r="O138" s="4">
        <f>Sheet54!O138</f>
        <v>3.9999999999999998E-6</v>
      </c>
      <c r="P138" s="4">
        <f>Sheet54!P138</f>
        <v>3.9999999999999998E-6</v>
      </c>
      <c r="Q138" s="4">
        <f>Sheet54!Q138</f>
        <v>3.9999999999999998E-6</v>
      </c>
      <c r="R138" s="4">
        <f>Sheet54!R138</f>
        <v>3.9999999999999998E-6</v>
      </c>
      <c r="S138" s="4">
        <f>Sheet54!S138</f>
        <v>3.9999999999999998E-6</v>
      </c>
      <c r="T138" s="4">
        <f>Sheet54!T138</f>
        <v>3.9999999999999998E-6</v>
      </c>
      <c r="U138" s="4">
        <f>Sheet54!U138</f>
        <v>3.9999999999999998E-6</v>
      </c>
      <c r="V138" s="4">
        <f>Sheet54!V138</f>
        <v>3.9999999999999998E-6</v>
      </c>
      <c r="W138" s="4">
        <f>Sheet54!W138</f>
        <v>3.9999999999999998E-6</v>
      </c>
      <c r="X138" s="4">
        <f>Sheet54!X138</f>
        <v>3.9999999999999998E-6</v>
      </c>
      <c r="Y138" s="4">
        <f>Sheet54!Y138</f>
        <v>3.9999999999999998E-6</v>
      </c>
      <c r="Z138" s="4">
        <f>Sheet54!Z138</f>
        <v>3.9999999999999998E-6</v>
      </c>
      <c r="AA138" s="4">
        <f>Sheet54!AA138</f>
        <v>3.9999999999999998E-6</v>
      </c>
      <c r="AB138" s="4">
        <f>Sheet54!AB138</f>
        <v>3.9999999999999998E-6</v>
      </c>
      <c r="AC138" s="4">
        <f>Sheet54!AC138</f>
        <v>3.9999999999999998E-6</v>
      </c>
      <c r="AD138" s="4">
        <f>Sheet54!AD138</f>
        <v>3.9999999999999998E-6</v>
      </c>
      <c r="AE138" s="4">
        <f>Sheet54!AE138</f>
        <v>3.9999999999999998E-6</v>
      </c>
      <c r="AF138" s="4">
        <f>Sheet54!AF138</f>
        <v>3.9999999999999998E-6</v>
      </c>
      <c r="AG138" s="4">
        <f>Sheet54!AG138</f>
        <v>3.9999999999999998E-6</v>
      </c>
      <c r="AH138" s="4">
        <f>Sheet54!AH138</f>
        <v>3.9999999999999998E-6</v>
      </c>
      <c r="AI138" s="4">
        <f>Sheet54!AI138</f>
        <v>3.9999999999999998E-6</v>
      </c>
      <c r="AJ138" s="4">
        <f>Sheet54!AJ138</f>
        <v>3.9999999999999998E-6</v>
      </c>
      <c r="AK138" s="5"/>
    </row>
    <row r="139" spans="1:37" ht="21" customHeight="1">
      <c r="A139" s="12"/>
      <c r="B139" s="14"/>
      <c r="C139" s="6" t="s">
        <v>43</v>
      </c>
      <c r="D139" s="21" t="s">
        <v>41</v>
      </c>
      <c r="E139" s="4">
        <v>0</v>
      </c>
      <c r="F139" s="4">
        <f>Sheet54!F139</f>
        <v>0</v>
      </c>
      <c r="G139" s="4">
        <f>Sheet54!G139</f>
        <v>0</v>
      </c>
      <c r="H139" s="4">
        <f>Sheet54!H139</f>
        <v>0</v>
      </c>
      <c r="I139" s="4">
        <f>Sheet54!I139</f>
        <v>0</v>
      </c>
      <c r="J139" s="4">
        <f>Sheet54!J139</f>
        <v>-1.17E-4</v>
      </c>
      <c r="K139" s="4">
        <f>Sheet54!K139</f>
        <v>-8.8669999999999999E-3</v>
      </c>
      <c r="L139" s="4">
        <f>Sheet54!L139</f>
        <v>-2.0532999999999999E-2</v>
      </c>
      <c r="M139" s="4">
        <f>Sheet54!M139</f>
        <v>-2.6367000000000002E-2</v>
      </c>
      <c r="N139" s="4">
        <f>Sheet54!N139</f>
        <v>-2.6367000000000002E-2</v>
      </c>
      <c r="O139" s="4">
        <f>Sheet54!O139</f>
        <v>-2.6367000000000002E-2</v>
      </c>
      <c r="P139" s="4">
        <f>Sheet54!P139</f>
        <v>-2.6367000000000002E-2</v>
      </c>
      <c r="Q139" s="4">
        <f>Sheet54!Q139</f>
        <v>-2.6367000000000002E-2</v>
      </c>
      <c r="R139" s="4">
        <f>Sheet54!R139</f>
        <v>-4.7756E-2</v>
      </c>
      <c r="S139" s="4">
        <f>Sheet54!S139</f>
        <v>-4.7759999999999997E-2</v>
      </c>
      <c r="T139" s="4">
        <f>Sheet54!T139</f>
        <v>-6.0399000000000001E-2</v>
      </c>
      <c r="U139" s="4">
        <f>Sheet54!U139</f>
        <v>-5.1646999999999998E-2</v>
      </c>
      <c r="V139" s="4">
        <f>Sheet54!V139</f>
        <v>-5.1646999999999998E-2</v>
      </c>
      <c r="W139" s="4">
        <f>Sheet54!W139</f>
        <v>-5.1646999999999998E-2</v>
      </c>
      <c r="X139" s="4">
        <f>Sheet54!X139</f>
        <v>-5.8938999999999998E-2</v>
      </c>
      <c r="Y139" s="4">
        <f>Sheet54!Y139</f>
        <v>-7.6439000000000007E-2</v>
      </c>
      <c r="Z139" s="4">
        <f>Sheet54!Z139</f>
        <v>-7.6439000000000007E-2</v>
      </c>
      <c r="AA139" s="4">
        <f>Sheet54!AA139</f>
        <v>-7.1636000000000005E-2</v>
      </c>
      <c r="AB139" s="4">
        <f>Sheet54!AB139</f>
        <v>-5.9970000000000002E-2</v>
      </c>
      <c r="AC139" s="4">
        <f>Sheet54!AC139</f>
        <v>-5.9970000000000002E-2</v>
      </c>
      <c r="AD139" s="4">
        <f>Sheet54!AD139</f>
        <v>-5.9970000000000002E-2</v>
      </c>
      <c r="AE139" s="4">
        <f>Sheet54!AE139</f>
        <v>-6.5609000000000001E-2</v>
      </c>
      <c r="AF139" s="4">
        <f>Sheet54!AF139</f>
        <v>-6.5603999999999996E-2</v>
      </c>
      <c r="AG139" s="4">
        <f>Sheet54!AG139</f>
        <v>-6.3659999999999994E-2</v>
      </c>
      <c r="AH139" s="4">
        <f>Sheet54!AH139</f>
        <v>-6.5609000000000001E-2</v>
      </c>
      <c r="AI139" s="4">
        <f>Sheet54!AI139</f>
        <v>-6.5609000000000001E-2</v>
      </c>
      <c r="AJ139" s="4">
        <f>Sheet54!AJ139</f>
        <v>-6.5609000000000001E-2</v>
      </c>
      <c r="AK139" s="5"/>
    </row>
    <row r="140" spans="1:37" ht="21" customHeight="1">
      <c r="A140" s="12"/>
      <c r="B140" s="14"/>
      <c r="C140" s="6" t="s">
        <v>44</v>
      </c>
      <c r="D140" s="21" t="s">
        <v>41</v>
      </c>
      <c r="E140" s="4">
        <v>0</v>
      </c>
      <c r="F140" s="4">
        <f>Sheet54!F140</f>
        <v>9.0000000000000002E-6</v>
      </c>
      <c r="G140" s="4">
        <f>Sheet54!G140</f>
        <v>9.0000000000000002E-6</v>
      </c>
      <c r="H140" s="4">
        <f>Sheet54!H140</f>
        <v>9.0000000000000002E-6</v>
      </c>
      <c r="I140" s="4">
        <f>Sheet54!I140</f>
        <v>9.0000000000000002E-6</v>
      </c>
      <c r="J140" s="4">
        <f>Sheet54!J140</f>
        <v>9.0000000000000002E-6</v>
      </c>
      <c r="K140" s="4">
        <f>Sheet54!K140</f>
        <v>9.0000000000000002E-6</v>
      </c>
      <c r="L140" s="4">
        <f>Sheet54!L140</f>
        <v>9.0000000000000002E-6</v>
      </c>
      <c r="M140" s="4">
        <f>Sheet54!M140</f>
        <v>9.0000000000000002E-6</v>
      </c>
      <c r="N140" s="4">
        <f>Sheet54!N140</f>
        <v>9.0000000000000002E-6</v>
      </c>
      <c r="O140" s="4">
        <f>Sheet54!O140</f>
        <v>9.0000000000000002E-6</v>
      </c>
      <c r="P140" s="4">
        <f>Sheet54!P140</f>
        <v>9.0000000000000002E-6</v>
      </c>
      <c r="Q140" s="4">
        <f>Sheet54!Q140</f>
        <v>9.0000000000000002E-6</v>
      </c>
      <c r="R140" s="4">
        <f>Sheet54!R140</f>
        <v>9.0000000000000002E-6</v>
      </c>
      <c r="S140" s="4">
        <f>Sheet54!S140</f>
        <v>9.0000000000000002E-6</v>
      </c>
      <c r="T140" s="4">
        <f>Sheet54!T140</f>
        <v>9.0000000000000002E-6</v>
      </c>
      <c r="U140" s="4">
        <f>Sheet54!U140</f>
        <v>9.0000000000000002E-6</v>
      </c>
      <c r="V140" s="4">
        <f>Sheet54!V140</f>
        <v>9.0000000000000002E-6</v>
      </c>
      <c r="W140" s="4">
        <f>Sheet54!W140</f>
        <v>9.0000000000000002E-6</v>
      </c>
      <c r="X140" s="4">
        <f>Sheet54!X140</f>
        <v>9.0000000000000002E-6</v>
      </c>
      <c r="Y140" s="4">
        <f>Sheet54!Y140</f>
        <v>9.0000000000000002E-6</v>
      </c>
      <c r="Z140" s="4">
        <f>Sheet54!Z140</f>
        <v>9.0000000000000002E-6</v>
      </c>
      <c r="AA140" s="4">
        <f>Sheet54!AA140</f>
        <v>3.0959999999999998E-3</v>
      </c>
      <c r="AB140" s="4">
        <f>Sheet54!AB140</f>
        <v>4.0489999999999996E-3</v>
      </c>
      <c r="AC140" s="4">
        <f>Sheet54!AC140</f>
        <v>4.0489999999999996E-3</v>
      </c>
      <c r="AD140" s="4">
        <f>Sheet54!AD140</f>
        <v>4.0489999999999996E-3</v>
      </c>
      <c r="AE140" s="4">
        <f>Sheet54!AE140</f>
        <v>1.0709999999999999E-3</v>
      </c>
      <c r="AF140" s="4">
        <f>Sheet54!AF140</f>
        <v>5.0000000000000004E-6</v>
      </c>
      <c r="AG140" s="4">
        <f>Sheet54!AG140</f>
        <v>5.4900000000000001E-4</v>
      </c>
      <c r="AH140" s="4">
        <f>Sheet54!AH140</f>
        <v>6.02E-4</v>
      </c>
      <c r="AI140" s="4">
        <f>Sheet54!AI140</f>
        <v>6.9999999999999999E-6</v>
      </c>
      <c r="AJ140" s="4">
        <f>Sheet54!AJ140</f>
        <v>6.9999999999999999E-6</v>
      </c>
      <c r="AK140" s="5"/>
    </row>
    <row r="141" spans="1:37" ht="21" customHeight="1">
      <c r="A141" s="12"/>
      <c r="B141" s="14"/>
      <c r="C141" s="6" t="s">
        <v>45</v>
      </c>
      <c r="D141" s="21" t="s">
        <v>41</v>
      </c>
      <c r="E141" s="4">
        <v>0</v>
      </c>
      <c r="F141" s="4">
        <f>Sheet54!F141</f>
        <v>1.18E-4</v>
      </c>
      <c r="G141" s="4">
        <f>Sheet54!G141</f>
        <v>1.18E-4</v>
      </c>
      <c r="H141" s="4">
        <f>Sheet54!H141</f>
        <v>1.18E-4</v>
      </c>
      <c r="I141" s="4">
        <f>Sheet54!I141</f>
        <v>1.18E-4</v>
      </c>
      <c r="J141" s="4">
        <f>Sheet54!J141</f>
        <v>1.18E-4</v>
      </c>
      <c r="K141" s="4">
        <f>Sheet54!K141</f>
        <v>8.8679999999999991E-3</v>
      </c>
      <c r="L141" s="4">
        <f>Sheet54!L141</f>
        <v>8.8679999999999991E-3</v>
      </c>
      <c r="M141" s="4">
        <f>Sheet54!M141</f>
        <v>1.4701000000000001E-2</v>
      </c>
      <c r="N141" s="4">
        <f>Sheet54!N141</f>
        <v>2.2478999999999999E-2</v>
      </c>
      <c r="O141" s="4">
        <f>Sheet54!O141</f>
        <v>2.2478999999999999E-2</v>
      </c>
      <c r="P141" s="4">
        <f>Sheet54!P141</f>
        <v>2.2478999999999999E-2</v>
      </c>
      <c r="Q141" s="4">
        <f>Sheet54!Q141</f>
        <v>2.5395000000000001E-2</v>
      </c>
      <c r="R141" s="4">
        <f>Sheet54!R141</f>
        <v>3.5118000000000003E-2</v>
      </c>
      <c r="S141" s="4">
        <f>Sheet54!S141</f>
        <v>4.7757000000000001E-2</v>
      </c>
      <c r="T141" s="4">
        <f>Sheet54!T141</f>
        <v>5.1645000000000003E-2</v>
      </c>
      <c r="U141" s="4">
        <f>Sheet54!U141</f>
        <v>5.1645000000000003E-2</v>
      </c>
      <c r="V141" s="4">
        <f>Sheet54!V141</f>
        <v>5.1645000000000003E-2</v>
      </c>
      <c r="W141" s="4">
        <f>Sheet54!W141</f>
        <v>5.1645000000000003E-2</v>
      </c>
      <c r="X141" s="4">
        <f>Sheet54!X141</f>
        <v>5.8937000000000003E-2</v>
      </c>
      <c r="Y141" s="4">
        <f>Sheet54!Y141</f>
        <v>5.8937000000000003E-2</v>
      </c>
      <c r="Z141" s="4">
        <f>Sheet54!Z141</f>
        <v>5.8937000000000003E-2</v>
      </c>
      <c r="AA141" s="4">
        <f>Sheet54!AA141</f>
        <v>4.2466999999999998E-2</v>
      </c>
      <c r="AB141" s="4">
        <f>Sheet54!AB141</f>
        <v>5.5106000000000002E-2</v>
      </c>
      <c r="AC141" s="4">
        <f>Sheet54!AC141</f>
        <v>5.5106000000000002E-2</v>
      </c>
      <c r="AD141" s="4">
        <f>Sheet54!AD141</f>
        <v>5.5106000000000002E-2</v>
      </c>
      <c r="AE141" s="4">
        <f>Sheet54!AE141</f>
        <v>6.0745E-2</v>
      </c>
      <c r="AF141" s="4">
        <f>Sheet54!AF141</f>
        <v>6.0745E-2</v>
      </c>
      <c r="AG141" s="4">
        <f>Sheet54!AG141</f>
        <v>6.0745E-2</v>
      </c>
      <c r="AH141" s="4">
        <f>Sheet54!AH141</f>
        <v>6.0745E-2</v>
      </c>
      <c r="AI141" s="4">
        <f>Sheet54!AI141</f>
        <v>6.0777999999999999E-2</v>
      </c>
      <c r="AJ141" s="4">
        <f>Sheet54!AJ141</f>
        <v>6.0777999999999999E-2</v>
      </c>
      <c r="AK141" s="5"/>
    </row>
    <row r="142" spans="1:37" ht="21" customHeight="1">
      <c r="A142" s="12"/>
      <c r="B142" s="14"/>
      <c r="C142" s="6" t="s">
        <v>46</v>
      </c>
      <c r="D142" s="21" t="s">
        <v>41</v>
      </c>
      <c r="E142" s="4">
        <v>0</v>
      </c>
      <c r="F142" s="4">
        <f>Sheet54!F142</f>
        <v>1.2999999999999999E-5</v>
      </c>
      <c r="G142" s="4">
        <f>Sheet54!G142</f>
        <v>1.2999999999999999E-5</v>
      </c>
      <c r="H142" s="4">
        <f>Sheet54!H142</f>
        <v>1.2999999999999999E-5</v>
      </c>
      <c r="I142" s="4">
        <f>Sheet54!I142</f>
        <v>1.2999999999999999E-5</v>
      </c>
      <c r="J142" s="4">
        <f>Sheet54!J142</f>
        <v>1.2999999999999999E-5</v>
      </c>
      <c r="K142" s="4">
        <f>Sheet54!K142</f>
        <v>1.2999999999999999E-5</v>
      </c>
      <c r="L142" s="4">
        <f>Sheet54!L142</f>
        <v>1.2999999999999999E-5</v>
      </c>
      <c r="M142" s="4">
        <f>Sheet54!M142</f>
        <v>1.2999999999999999E-5</v>
      </c>
      <c r="N142" s="4">
        <f>Sheet54!N142</f>
        <v>1.2999999999999999E-5</v>
      </c>
      <c r="O142" s="4">
        <f>Sheet54!O142</f>
        <v>1.2999999999999999E-5</v>
      </c>
      <c r="P142" s="4">
        <f>Sheet54!P142</f>
        <v>1.2999999999999999E-5</v>
      </c>
      <c r="Q142" s="4">
        <f>Sheet54!Q142</f>
        <v>1.2999999999999999E-5</v>
      </c>
      <c r="R142" s="4">
        <f>Sheet54!R142</f>
        <v>1.2999999999999999E-5</v>
      </c>
      <c r="S142" s="4">
        <f>Sheet54!S142</f>
        <v>1.2999999999999999E-5</v>
      </c>
      <c r="T142" s="4">
        <f>Sheet54!T142</f>
        <v>1.2999999999999999E-5</v>
      </c>
      <c r="U142" s="4">
        <f>Sheet54!U142</f>
        <v>1.2999999999999999E-5</v>
      </c>
      <c r="V142" s="4">
        <f>Sheet54!V142</f>
        <v>1.2999999999999999E-5</v>
      </c>
      <c r="W142" s="4">
        <f>Sheet54!W142</f>
        <v>1.2999999999999999E-5</v>
      </c>
      <c r="X142" s="4">
        <f>Sheet54!X142</f>
        <v>1.2999999999999999E-5</v>
      </c>
      <c r="Y142" s="4">
        <f>Sheet54!Y142</f>
        <v>1.2999999999999999E-5</v>
      </c>
      <c r="Z142" s="4">
        <f>Sheet54!Z142</f>
        <v>1.2999999999999999E-5</v>
      </c>
      <c r="AA142" s="4">
        <f>Sheet54!AA142</f>
        <v>1.2999999999999999E-5</v>
      </c>
      <c r="AB142" s="4">
        <f>Sheet54!AB142</f>
        <v>1.2999999999999999E-5</v>
      </c>
      <c r="AC142" s="4">
        <f>Sheet54!AC142</f>
        <v>1.2999999999999999E-5</v>
      </c>
      <c r="AD142" s="4">
        <f>Sheet54!AD142</f>
        <v>1.2999999999999999E-5</v>
      </c>
      <c r="AE142" s="4">
        <f>Sheet54!AE142</f>
        <v>1.2999999999999999E-5</v>
      </c>
      <c r="AF142" s="4">
        <f>Sheet54!AF142</f>
        <v>1.2999999999999999E-5</v>
      </c>
      <c r="AG142" s="4">
        <f>Sheet54!AG142</f>
        <v>1.2999999999999999E-5</v>
      </c>
      <c r="AH142" s="4">
        <f>Sheet54!AH142</f>
        <v>1.2999999999999999E-5</v>
      </c>
      <c r="AI142" s="4">
        <f>Sheet54!AI142</f>
        <v>1.2999999999999999E-5</v>
      </c>
      <c r="AJ142" s="4">
        <f>Sheet54!AJ142</f>
        <v>1.2999999999999999E-5</v>
      </c>
      <c r="AK142" s="5"/>
    </row>
    <row r="146" spans="1:1" ht="21" customHeight="1">
      <c r="A146" s="7"/>
    </row>
  </sheetData>
  <autoFilter ref="A1:AK142" xr:uid="{00000000-0009-0000-0000-000001000000}"/>
  <mergeCells count="44">
    <mergeCell ref="C127:C130"/>
    <mergeCell ref="C131:C133"/>
    <mergeCell ref="C134:C136"/>
    <mergeCell ref="C111:C113"/>
    <mergeCell ref="C114:C116"/>
    <mergeCell ref="C117:C120"/>
    <mergeCell ref="C121:C123"/>
    <mergeCell ref="C124:C126"/>
    <mergeCell ref="C95:C97"/>
    <mergeCell ref="C98:C100"/>
    <mergeCell ref="C101:C104"/>
    <mergeCell ref="C105:C107"/>
    <mergeCell ref="C108:C110"/>
    <mergeCell ref="C75:C77"/>
    <mergeCell ref="C78:C80"/>
    <mergeCell ref="C81:C85"/>
    <mergeCell ref="C87:C89"/>
    <mergeCell ref="C90:C93"/>
    <mergeCell ref="C58:C61"/>
    <mergeCell ref="C62:C64"/>
    <mergeCell ref="C65:C67"/>
    <mergeCell ref="C68:C71"/>
    <mergeCell ref="C72:C74"/>
    <mergeCell ref="C41:C43"/>
    <mergeCell ref="C44:C47"/>
    <mergeCell ref="C48:C51"/>
    <mergeCell ref="C52:C54"/>
    <mergeCell ref="C55:C57"/>
    <mergeCell ref="A2:A136"/>
    <mergeCell ref="A137:A142"/>
    <mergeCell ref="B2:B136"/>
    <mergeCell ref="B137:B142"/>
    <mergeCell ref="C2:C4"/>
    <mergeCell ref="C5:C7"/>
    <mergeCell ref="C8:C10"/>
    <mergeCell ref="C11:C13"/>
    <mergeCell ref="C14:C17"/>
    <mergeCell ref="C18:C20"/>
    <mergeCell ref="C21:C24"/>
    <mergeCell ref="C25:C27"/>
    <mergeCell ref="C28:C30"/>
    <mergeCell ref="C31:C33"/>
    <mergeCell ref="C34:C36"/>
    <mergeCell ref="C37:C40"/>
  </mergeCells>
  <pageMargins left="0.75" right="0.75" top="1" bottom="1" header="0.5" footer="0.5"/>
  <pageSetup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34AE-04BD-416E-BBAA-20C256331166}">
  <dimension ref="A2:B3"/>
  <sheetViews>
    <sheetView workbookViewId="0">
      <selection activeCell="D7" sqref="D7"/>
    </sheetView>
  </sheetViews>
  <sheetFormatPr defaultRowHeight="12"/>
  <sheetData>
    <row r="2" spans="1:2">
      <c r="A2" s="24"/>
      <c r="B2" t="s">
        <v>97</v>
      </c>
    </row>
    <row r="3" spans="1:2">
      <c r="A3" s="21"/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36</vt:i4>
      </vt:variant>
    </vt:vector>
  </HeadingPairs>
  <TitlesOfParts>
    <vt:vector size="39" baseType="lpstr">
      <vt:lpstr>Sheet54</vt:lpstr>
      <vt:lpstr>本年累计</vt:lpstr>
      <vt:lpstr>口径说明</vt:lpstr>
      <vt:lpstr>本年累计!biukkekl</vt:lpstr>
      <vt:lpstr>biukkekl</vt:lpstr>
      <vt:lpstr>本年累计!fzafntic</vt:lpstr>
      <vt:lpstr>fzafntic</vt:lpstr>
      <vt:lpstr>本年累计!hkkjzqai</vt:lpstr>
      <vt:lpstr>hkkjzqai</vt:lpstr>
      <vt:lpstr>本年累计!hlohimar</vt:lpstr>
      <vt:lpstr>hlohimar</vt:lpstr>
      <vt:lpstr>本年累计!hlsuriab</vt:lpstr>
      <vt:lpstr>hlsuriab</vt:lpstr>
      <vt:lpstr>本年累计!hrxxqgmf</vt:lpstr>
      <vt:lpstr>hrxxqgmf</vt:lpstr>
      <vt:lpstr>本年累计!hvtlaoaz</vt:lpstr>
      <vt:lpstr>hvtlaoaz</vt:lpstr>
      <vt:lpstr>本年累计!jerpcnaq</vt:lpstr>
      <vt:lpstr>jerpcnaq</vt:lpstr>
      <vt:lpstr>本年累计!jjpkrasx</vt:lpstr>
      <vt:lpstr>jjpkrasx</vt:lpstr>
      <vt:lpstr>本年累计!mojaqtiq</vt:lpstr>
      <vt:lpstr>mojaqtiq</vt:lpstr>
      <vt:lpstr>本年累计!mskvzvra</vt:lpstr>
      <vt:lpstr>mskvzvra</vt:lpstr>
      <vt:lpstr>本年累计!mznyiwne</vt:lpstr>
      <vt:lpstr>mznyiwne</vt:lpstr>
      <vt:lpstr>本年累计!nphdqhkq</vt:lpstr>
      <vt:lpstr>nphdqhkq</vt:lpstr>
      <vt:lpstr>本年累计!nutnngks</vt:lpstr>
      <vt:lpstr>nutnngks</vt:lpstr>
      <vt:lpstr>本年累计!qclzxjeg</vt:lpstr>
      <vt:lpstr>qclzxjeg</vt:lpstr>
      <vt:lpstr>本年累计!qnjpzzme</vt:lpstr>
      <vt:lpstr>qnjpzzme</vt:lpstr>
      <vt:lpstr>本年累计!rcdarujh</vt:lpstr>
      <vt:lpstr>rcdarujh</vt:lpstr>
      <vt:lpstr>本年累计!ssmekuwc</vt:lpstr>
      <vt:lpstr>ssmekuwc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苏鹏</cp:lastModifiedBy>
  <dcterms:created xsi:type="dcterms:W3CDTF">2026-06-12T06:59:00Z</dcterms:created>
  <dcterms:modified xsi:type="dcterms:W3CDTF">2026-06-12T07:22:00Z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70849EDBE86C4A9280EBE46809C97468</vt:lpwstr>
  </property>
  <property fmtid="{D5CDD505-2E9C-101B-9397-08002B2CF9AE}" pid="3" name="KSOProductBuildVer">
    <vt:lpwstr>2052-11.8.2.11739</vt:lpwstr>
  </property>
</Properties>
</file>