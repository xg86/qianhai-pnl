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_II_a_领导考核" sheetId="1" state="visible" r:id="rId1"/>
    <sheet xmlns:r="http://schemas.openxmlformats.org/officeDocument/2006/relationships" name="Part_II_a_运营财务" sheetId="2" state="visible" r:id="rId2"/>
    <sheet xmlns:r="http://schemas.openxmlformats.org/officeDocument/2006/relationships" name="Part_II_a_第三轨" sheetId="3" state="visible" r:id="rId3"/>
    <sheet xmlns:r="http://schemas.openxmlformats.org/officeDocument/2006/relationships" name="交易流水" sheetId="4" state="visible" r:id="rId4"/>
    <sheet xmlns:r="http://schemas.openxmlformats.org/officeDocument/2006/relationships" name="初始持仓" sheetId="5" state="visible" r:id="rId5"/>
    <sheet xmlns:r="http://schemas.openxmlformats.org/officeDocument/2006/relationships" name="初始资金" sheetId="6" state="visible" r:id="rId6"/>
    <sheet xmlns:r="http://schemas.openxmlformats.org/officeDocument/2006/relationships" name="映射" sheetId="7" state="visible" r:id="rId7"/>
    <sheet xmlns:r="http://schemas.openxmlformats.org/officeDocument/2006/relationships" name="期初批次" sheetId="8" state="visible" r:id="rId8"/>
    <sheet xmlns:r="http://schemas.openxmlformats.org/officeDocument/2006/relationships" name="FX_RATES_TO_CNY" sheetId="9" state="visible" r:id="rId9"/>
    <sheet xmlns:r="http://schemas.openxmlformats.org/officeDocument/2006/relationships" name="FX_RATES_TO_CNY_HIST" sheetId="10" state="visible" r:id="rId10"/>
    <sheet xmlns:r="http://schemas.openxmlformats.org/officeDocument/2006/relationships" name="估值日行情" sheetId="11" state="visible" r:id="rId11"/>
    <sheet xmlns:r="http://schemas.openxmlformats.org/officeDocument/2006/relationships" name="逐笔辅助" sheetId="12" state="visible" r:id="rId12"/>
    <sheet xmlns:r="http://schemas.openxmlformats.org/officeDocument/2006/relationships" name="期末持仓" sheetId="13" state="visible" r:id="rId13"/>
    <sheet xmlns:r="http://schemas.openxmlformats.org/officeDocument/2006/relationships" name="数据源说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&quot;万&quot;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Part II  投组 / 交易员考核</t>
        </is>
      </c>
    </row>
    <row r="2">
      <c r="A2" s="2" t="inlineStr">
        <is>
          <t>II-a.1 领导考核 · 全账 + FIFO + 估值日盯市。估值日 2026-06-01（行情见「估值日行情」B1）；RPNL=SUMIFS(逐笔辅助!U)；MTM=SUMIFS(期末持仓!S)=市值(CNY)−FIFO剩余成本(期末持仓!T·本币透传)；汇率见 FX_RATES_TO_CNY_HIST；与引擎 position_end MTM 同口径。</t>
        </is>
      </c>
    </row>
    <row r="4">
      <c r="A4" s="3" t="inlineStr">
        <is>
          <t>指标</t>
        </is>
      </c>
      <c r="B4" s="3" t="inlineStr">
        <is>
          <t>口径</t>
        </is>
      </c>
      <c r="C4" s="3" t="inlineStr">
        <is>
          <t>权益现货（场内）</t>
        </is>
      </c>
      <c r="D4" s="3" t="inlineStr">
        <is>
          <t>权益现货（深港）</t>
        </is>
      </c>
      <c r="E4" s="3" t="inlineStr">
        <is>
          <t>权益现货</t>
        </is>
      </c>
      <c r="F4" s="3" t="inlineStr">
        <is>
          <t>股指期货</t>
        </is>
      </c>
      <c r="G4" s="3" t="inlineStr">
        <is>
          <t>权益类基金</t>
        </is>
      </c>
      <c r="H4" s="3" t="inlineStr">
        <is>
          <t>合计</t>
        </is>
      </c>
    </row>
    <row r="5">
      <c r="A5" t="inlineStr">
        <is>
          <t>成交笔数</t>
        </is>
      </c>
      <c r="B5" t="inlineStr">
        <is>
          <t>成交回报</t>
        </is>
      </c>
      <c r="C5" s="4">
        <f>COUNTIFS('交易流水'!$X$2:$X$151,"*场内*")</f>
        <v/>
      </c>
      <c r="D5" s="4">
        <f>COUNTIFS('交易流水'!$X$2:$X$151,"*深港*")</f>
        <v/>
      </c>
      <c r="E5" s="4">
        <f>C5+D5</f>
        <v/>
      </c>
      <c r="F5" s="4" t="n">
        <v>0</v>
      </c>
      <c r="G5" s="4" t="n">
        <v>0</v>
      </c>
      <c r="H5" s="4">
        <f>C5+D5+F5+G5</f>
        <v/>
      </c>
    </row>
    <row r="6">
      <c r="A6" t="inlineStr">
        <is>
          <t>买入笔数</t>
        </is>
      </c>
      <c r="B6" t="inlineStr">
        <is>
          <t>成交回报</t>
        </is>
      </c>
      <c r="C6" s="4">
        <f>COUNTIFS('交易流水'!$X$2:$X$151,"*场内*",'交易流水'!$H$2:$H$151,"买入")</f>
        <v/>
      </c>
      <c r="D6" s="4">
        <f>COUNTIFS('交易流水'!$X$2:$X$151,"*深港*",'交易流水'!$H$2:$H$151,"买入")</f>
        <v/>
      </c>
      <c r="E6" s="4">
        <f>C6+D6</f>
        <v/>
      </c>
      <c r="F6" s="4" t="n">
        <v>0</v>
      </c>
      <c r="G6" s="4" t="n">
        <v>0</v>
      </c>
      <c r="H6" s="4">
        <f>C6+D6+F6+G6</f>
        <v/>
      </c>
    </row>
    <row r="7">
      <c r="A7" t="inlineStr">
        <is>
          <t>卖出笔数</t>
        </is>
      </c>
      <c r="B7" t="inlineStr">
        <is>
          <t>成交回报</t>
        </is>
      </c>
      <c r="C7" s="4">
        <f>COUNTIFS('交易流水'!$X$2:$X$151,"*场内*",'交易流水'!$H$2:$H$151,"卖出")</f>
        <v/>
      </c>
      <c r="D7" s="4">
        <f>COUNTIFS('交易流水'!$X$2:$X$151,"*深港*",'交易流水'!$H$2:$H$151,"卖出")</f>
        <v/>
      </c>
      <c r="E7" s="4">
        <f>C7+D7</f>
        <v/>
      </c>
      <c r="F7" s="4" t="n">
        <v>0</v>
      </c>
      <c r="G7" s="4" t="n">
        <v>0</v>
      </c>
      <c r="H7" s="4">
        <f>C7+D7+F7+G7</f>
        <v/>
      </c>
    </row>
    <row r="8">
      <c r="A8" t="inlineStr">
        <is>
          <t>买入数量合计</t>
        </is>
      </c>
      <c r="B8" t="inlineStr">
        <is>
          <t>成交回报</t>
        </is>
      </c>
      <c r="C8" s="4">
        <f>SUMIFS('交易流水'!$K$2:$K$151,'交易流水'!$X$2:$X$151,"*场内*",'交易流水'!$H$2:$H$151,"买入")/10000</f>
        <v/>
      </c>
      <c r="D8" s="4">
        <f>SUMIFS('交易流水'!$K$2:$K$151,'交易流水'!$X$2:$X$151,"*深港*",'交易流水'!$H$2:$H$151,"买入")/10000</f>
        <v/>
      </c>
      <c r="E8" s="4">
        <f>C8+D8</f>
        <v/>
      </c>
      <c r="F8" s="4" t="n">
        <v>0</v>
      </c>
      <c r="G8" s="4" t="n">
        <v>0</v>
      </c>
      <c r="H8" s="4">
        <f>C8+D8+F8+G8</f>
        <v/>
      </c>
    </row>
    <row r="9">
      <c r="A9" t="inlineStr">
        <is>
          <t>卖出数量合计</t>
        </is>
      </c>
      <c r="B9" t="inlineStr">
        <is>
          <t>成交回报</t>
        </is>
      </c>
      <c r="C9" s="4">
        <f>SUMIFS('交易流水'!$K$2:$K$151,'交易流水'!$X$2:$X$151,"*场内*",'交易流水'!$H$2:$H$151,"卖出")/10000</f>
        <v/>
      </c>
      <c r="D9" s="4">
        <f>SUMIFS('交易流水'!$K$2:$K$151,'交易流水'!$X$2:$X$151,"*深港*",'交易流水'!$H$2:$H$151,"卖出")/10000</f>
        <v/>
      </c>
      <c r="E9" s="4">
        <f>C9+D9</f>
        <v/>
      </c>
      <c r="F9" s="4" t="n">
        <v>0</v>
      </c>
      <c r="G9" s="4" t="n">
        <v>0</v>
      </c>
      <c r="H9" s="4">
        <f>C9+D9+F9+G9</f>
        <v/>
      </c>
    </row>
    <row r="10">
      <c r="A10" t="inlineStr">
        <is>
          <t>买入金额合计(本币)</t>
        </is>
      </c>
      <c r="B10" t="inlineStr">
        <is>
          <t>成交回报</t>
        </is>
      </c>
      <c r="C10" s="4">
        <f>SUMIFS('交易流水'!$AR$2:$AR$151,'交易流水'!$X$2:$X$151,"*场内*",'交易流水'!$H$2:$H$151,"买入")/10000</f>
        <v/>
      </c>
      <c r="D10" s="4">
        <f>SUMIFS('交易流水'!$AR$2:$AR$151,'交易流水'!$X$2:$X$151,"*深港*",'交易流水'!$H$2:$H$151,"买入")/10000</f>
        <v/>
      </c>
      <c r="E10" s="4">
        <f>C10+D10</f>
        <v/>
      </c>
      <c r="F10" s="4" t="n">
        <v>0</v>
      </c>
      <c r="G10" s="4" t="n">
        <v>0</v>
      </c>
      <c r="H10" s="4">
        <f>C10+D10+F10+G10</f>
        <v/>
      </c>
    </row>
    <row r="11">
      <c r="A11" t="inlineStr">
        <is>
          <t>卖出金额合计(本币)</t>
        </is>
      </c>
      <c r="B11" t="inlineStr">
        <is>
          <t>成交回报</t>
        </is>
      </c>
      <c r="C11" s="4">
        <f>SUMIFS('交易流水'!$AR$2:$AR$151,'交易流水'!$X$2:$X$151,"*场内*",'交易流水'!$H$2:$H$151,"卖出")/10000</f>
        <v/>
      </c>
      <c r="D11" s="4">
        <f>SUMIFS('交易流水'!$AR$2:$AR$151,'交易流水'!$X$2:$X$151,"*深港*",'交易流水'!$H$2:$H$151,"卖出")/10000</f>
        <v/>
      </c>
      <c r="E11" s="4">
        <f>C11+D11</f>
        <v/>
      </c>
      <c r="F11" s="4" t="n">
        <v>0</v>
      </c>
      <c r="G11" s="4" t="n">
        <v>0</v>
      </c>
      <c r="H11" s="4">
        <f>C11+D11+F11+G11</f>
        <v/>
      </c>
    </row>
    <row r="12">
      <c r="A12" t="inlineStr">
        <is>
          <t>已实现损益（先买先卖 · 开平匹配）</t>
        </is>
      </c>
      <c r="B12" t="inlineStr">
        <is>
          <t>全账考核</t>
        </is>
      </c>
      <c r="C12" s="5">
        <f>SUMIFS('逐笔辅助'!$U$2:$U$191,'逐笔辅助'!$A$2:$A$191,"流水",'逐笔辅助'!$D$2:$D$191,"场内")</f>
        <v/>
      </c>
      <c r="D12" s="5">
        <f>SUMIFS('逐笔辅助'!$U$2:$U$191,'逐笔辅助'!$A$2:$A$191,"流水",'逐笔辅助'!$D$2:$D$191,"深港")</f>
        <v/>
      </c>
      <c r="E12" s="5">
        <f>C12+D12</f>
        <v/>
      </c>
      <c r="F12" s="5" t="inlineStr">
        <is>
          <t>0</t>
        </is>
      </c>
      <c r="G12" s="5" t="inlineStr">
        <is>
          <t>0</t>
        </is>
      </c>
      <c r="H12" s="5">
        <f>C12+D12+F12+G12</f>
        <v/>
      </c>
    </row>
    <row r="13">
      <c r="A13" t="inlineStr">
        <is>
          <t>浮动盈亏（估值日盯市）</t>
        </is>
      </c>
      <c r="B13" t="inlineStr">
        <is>
          <t>全账考核</t>
        </is>
      </c>
      <c r="C13" s="5">
        <f>SUMIFS('期末持仓'!$S$2:$S$56,'期末持仓'!$A$2:$A$56,"场内")</f>
        <v/>
      </c>
      <c r="D13" s="5">
        <f>SUMIFS('期末持仓'!$S$2:$S$56,'期末持仓'!$A$2:$A$56,"深港")</f>
        <v/>
      </c>
      <c r="E13" s="5">
        <f>C13+D13</f>
        <v/>
      </c>
      <c r="F13" s="5" t="inlineStr">
        <is>
          <t>0</t>
        </is>
      </c>
      <c r="G13" s="5" t="inlineStr">
        <is>
          <t>0</t>
        </is>
      </c>
      <c r="H13" s="5">
        <f>C13+D13+F13+G13</f>
        <v/>
      </c>
    </row>
    <row r="14">
      <c r="A14" t="inlineStr">
        <is>
          <t>股息收入（引擎日计提）</t>
        </is>
      </c>
      <c r="B14" t="inlineStr">
        <is>
          <t>引擎</t>
        </is>
      </c>
      <c r="C14" s="5" t="n">
        <v>274119.67</v>
      </c>
      <c r="D14" s="5" t="n">
        <v>284981.16</v>
      </c>
      <c r="E14" s="5" t="n">
        <v>559100.83</v>
      </c>
      <c r="F14" s="5" t="inlineStr"/>
      <c r="G14" s="5" t="inlineStr"/>
      <c r="H14" s="5" t="n">
        <v>559100.83</v>
      </c>
    </row>
    <row r="15">
      <c r="A15" t="inlineStr">
        <is>
          <t>总损益（已实现 + 浮动 + 股息）</t>
        </is>
      </c>
      <c r="B15" t="inlineStr">
        <is>
          <t>全账考核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C15+D15+F15+G15</f>
        <v/>
      </c>
    </row>
    <row r="16">
      <c r="A16" t="inlineStr">
        <is>
          <t>择时损益（相对931357.SH）</t>
        </is>
      </c>
      <c r="B16" t="inlineStr">
        <is>
          <t>引擎/公式</t>
        </is>
      </c>
      <c r="C16" t="inlineStr"/>
      <c r="D16" t="inlineStr"/>
      <c r="E16" t="n">
        <v>29901670.01</v>
      </c>
      <c r="F16" t="inlineStr"/>
      <c r="G16" t="inlineStr"/>
      <c r="H16" t="n">
        <v>29901670.01</v>
      </c>
    </row>
    <row r="18">
      <c r="A18" s="6" t="inlineStr">
        <is>
          <t>期初投资（initial_capital）</t>
        </is>
      </c>
    </row>
    <row r="19">
      <c r="A19" t="inlineStr">
        <is>
          <t>自营权益4</t>
        </is>
      </c>
      <c r="B19" t="inlineStr">
        <is>
          <t>期初资金.xls</t>
        </is>
      </c>
      <c r="C19" t="n">
        <v>202510600</v>
      </c>
    </row>
    <row r="20">
      <c r="A20" t="inlineStr">
        <is>
          <t>期初持仓成本合计</t>
        </is>
      </c>
      <c r="C20">
        <f>SUM('期初批次'!$E$2:$E$41)</f>
        <v/>
      </c>
    </row>
    <row r="21">
      <c r="A21" t="inlineStr">
        <is>
          <t>期初持仓市值合计</t>
        </is>
      </c>
      <c r="C21">
        <f>SUM('期初批次'!$H$2:$H$41)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Part II  投组 / 交易员考核</t>
        </is>
      </c>
    </row>
    <row r="2">
      <c r="A2" s="2" t="inlineStr">
        <is>
          <t>II-a.2 运营 / 测试 / 财务 · 流水 + 加权均价。损益三行均为 Excel 公式：RPNL=SUMIFS(逐笔辅助!T 加权·CNY)；MTM=SUMIFS(期末持仓!W 流水净持仓盯市·CNY)；TOTAL=已实现+浮动；供运营手算对账，不与领导考核奖罚直接对比。</t>
        </is>
      </c>
    </row>
    <row r="4">
      <c r="A4" s="3" t="inlineStr">
        <is>
          <t>指标</t>
        </is>
      </c>
      <c r="B4" s="3" t="inlineStr">
        <is>
          <t>口径</t>
        </is>
      </c>
      <c r="C4" s="3" t="inlineStr">
        <is>
          <t>权益现货（场内）</t>
        </is>
      </c>
      <c r="D4" s="3" t="inlineStr">
        <is>
          <t>权益现货（深港）</t>
        </is>
      </c>
      <c r="E4" s="3" t="inlineStr">
        <is>
          <t>权益现货</t>
        </is>
      </c>
      <c r="F4" s="3" t="inlineStr">
        <is>
          <t>股指期货</t>
        </is>
      </c>
      <c r="G4" s="3" t="inlineStr">
        <is>
          <t>权益类基金</t>
        </is>
      </c>
      <c r="H4" s="3" t="inlineStr">
        <is>
          <t>合计</t>
        </is>
      </c>
    </row>
    <row r="5">
      <c r="A5" t="inlineStr">
        <is>
          <t>成交笔数</t>
        </is>
      </c>
      <c r="B5" t="inlineStr">
        <is>
          <t>成交回报</t>
        </is>
      </c>
      <c r="C5" s="4">
        <f>COUNTIFS('交易流水'!$X$2:$X$151,"*场内*")</f>
        <v/>
      </c>
      <c r="D5" s="4">
        <f>COUNTIFS('交易流水'!$X$2:$X$151,"*深港*")</f>
        <v/>
      </c>
      <c r="E5" s="4">
        <f>C5+D5</f>
        <v/>
      </c>
      <c r="F5" s="4" t="n">
        <v>0</v>
      </c>
      <c r="G5" s="4" t="n">
        <v>0</v>
      </c>
      <c r="H5" s="4">
        <f>C5+D5+F5+G5</f>
        <v/>
      </c>
    </row>
    <row r="6">
      <c r="A6" t="inlineStr">
        <is>
          <t>买入笔数</t>
        </is>
      </c>
      <c r="B6" t="inlineStr">
        <is>
          <t>成交回报</t>
        </is>
      </c>
      <c r="C6" s="4">
        <f>COUNTIFS('交易流水'!$X$2:$X$151,"*场内*",'交易流水'!$H$2:$H$151,"买入")</f>
        <v/>
      </c>
      <c r="D6" s="4">
        <f>COUNTIFS('交易流水'!$X$2:$X$151,"*深港*",'交易流水'!$H$2:$H$151,"买入")</f>
        <v/>
      </c>
      <c r="E6" s="4">
        <f>C6+D6</f>
        <v/>
      </c>
      <c r="F6" s="4" t="n">
        <v>0</v>
      </c>
      <c r="G6" s="4" t="n">
        <v>0</v>
      </c>
      <c r="H6" s="4">
        <f>C6+D6+F6+G6</f>
        <v/>
      </c>
    </row>
    <row r="7">
      <c r="A7" t="inlineStr">
        <is>
          <t>卖出笔数</t>
        </is>
      </c>
      <c r="B7" t="inlineStr">
        <is>
          <t>成交回报</t>
        </is>
      </c>
      <c r="C7" s="4">
        <f>COUNTIFS('交易流水'!$X$2:$X$151,"*场内*",'交易流水'!$H$2:$H$151,"卖出")</f>
        <v/>
      </c>
      <c r="D7" s="4">
        <f>COUNTIFS('交易流水'!$X$2:$X$151,"*深港*",'交易流水'!$H$2:$H$151,"卖出")</f>
        <v/>
      </c>
      <c r="E7" s="4">
        <f>C7+D7</f>
        <v/>
      </c>
      <c r="F7" s="4" t="n">
        <v>0</v>
      </c>
      <c r="G7" s="4" t="n">
        <v>0</v>
      </c>
      <c r="H7" s="4">
        <f>C7+D7+F7+G7</f>
        <v/>
      </c>
    </row>
    <row r="8">
      <c r="A8" t="inlineStr">
        <is>
          <t>买入数量合计</t>
        </is>
      </c>
      <c r="B8" t="inlineStr">
        <is>
          <t>成交回报</t>
        </is>
      </c>
      <c r="C8" s="4">
        <f>SUMIFS('交易流水'!$K$2:$K$151,'交易流水'!$X$2:$X$151,"*场内*",'交易流水'!$H$2:$H$151,"买入")/10000</f>
        <v/>
      </c>
      <c r="D8" s="4">
        <f>SUMIFS('交易流水'!$K$2:$K$151,'交易流水'!$X$2:$X$151,"*深港*",'交易流水'!$H$2:$H$151,"买入")/10000</f>
        <v/>
      </c>
      <c r="E8" s="4">
        <f>C8+D8</f>
        <v/>
      </c>
      <c r="F8" s="4" t="n">
        <v>0</v>
      </c>
      <c r="G8" s="4" t="n">
        <v>0</v>
      </c>
      <c r="H8" s="4">
        <f>C8+D8+F8+G8</f>
        <v/>
      </c>
    </row>
    <row r="9">
      <c r="A9" t="inlineStr">
        <is>
          <t>卖出数量合计</t>
        </is>
      </c>
      <c r="B9" t="inlineStr">
        <is>
          <t>成交回报</t>
        </is>
      </c>
      <c r="C9" s="4">
        <f>SUMIFS('交易流水'!$K$2:$K$151,'交易流水'!$X$2:$X$151,"*场内*",'交易流水'!$H$2:$H$151,"卖出")/10000</f>
        <v/>
      </c>
      <c r="D9" s="4">
        <f>SUMIFS('交易流水'!$K$2:$K$151,'交易流水'!$X$2:$X$151,"*深港*",'交易流水'!$H$2:$H$151,"卖出")/10000</f>
        <v/>
      </c>
      <c r="E9" s="4">
        <f>C9+D9</f>
        <v/>
      </c>
      <c r="F9" s="4" t="n">
        <v>0</v>
      </c>
      <c r="G9" s="4" t="n">
        <v>0</v>
      </c>
      <c r="H9" s="4">
        <f>C9+D9+F9+G9</f>
        <v/>
      </c>
    </row>
    <row r="10">
      <c r="A10" t="inlineStr">
        <is>
          <t>买入金额合计(本币)</t>
        </is>
      </c>
      <c r="B10" t="inlineStr">
        <is>
          <t>成交回报</t>
        </is>
      </c>
      <c r="C10" s="4">
        <f>SUMIFS('交易流水'!$AR$2:$AR$151,'交易流水'!$X$2:$X$151,"*场内*",'交易流水'!$H$2:$H$151,"买入")/10000</f>
        <v/>
      </c>
      <c r="D10" s="4">
        <f>SUMIFS('交易流水'!$AR$2:$AR$151,'交易流水'!$X$2:$X$151,"*深港*",'交易流水'!$H$2:$H$151,"买入")/10000</f>
        <v/>
      </c>
      <c r="E10" s="4">
        <f>C10+D10</f>
        <v/>
      </c>
      <c r="F10" s="4" t="n">
        <v>0</v>
      </c>
      <c r="G10" s="4" t="n">
        <v>0</v>
      </c>
      <c r="H10" s="4">
        <f>C10+D10+F10+G10</f>
        <v/>
      </c>
    </row>
    <row r="11">
      <c r="A11" t="inlineStr">
        <is>
          <t>卖出金额合计(本币)</t>
        </is>
      </c>
      <c r="B11" t="inlineStr">
        <is>
          <t>成交回报</t>
        </is>
      </c>
      <c r="C11" s="4">
        <f>SUMIFS('交易流水'!$AR$2:$AR$151,'交易流水'!$X$2:$X$151,"*场内*",'交易流水'!$H$2:$H$151,"卖出")/10000</f>
        <v/>
      </c>
      <c r="D11" s="4">
        <f>SUMIFS('交易流水'!$AR$2:$AR$151,'交易流水'!$X$2:$X$151,"*深港*",'交易流水'!$H$2:$H$151,"卖出")/10000</f>
        <v/>
      </c>
      <c r="E11" s="4">
        <f>C11+D11</f>
        <v/>
      </c>
      <c r="F11" s="4" t="n">
        <v>0</v>
      </c>
      <c r="G11" s="4" t="n">
        <v>0</v>
      </c>
      <c r="H11" s="4">
        <f>C11+D11+F11+G11</f>
        <v/>
      </c>
    </row>
    <row r="12">
      <c r="A12" t="inlineStr">
        <is>
          <t>已实现损益（加权均价）</t>
        </is>
      </c>
      <c r="B12" t="inlineStr">
        <is>
          <t>流水对账</t>
        </is>
      </c>
      <c r="C12" s="5">
        <f>SUMIFS('逐笔辅助'!$T$2:$T$191,'逐笔辅助'!$A$2:$A$191,"流水",'逐笔辅助'!$D$2:$D$191,"场内")</f>
        <v/>
      </c>
      <c r="D12" s="5">
        <f>SUMIFS('逐笔辅助'!$T$2:$T$191,'逐笔辅助'!$A$2:$A$191,"流水",'逐笔辅助'!$D$2:$D$191,"深港")</f>
        <v/>
      </c>
      <c r="E12" s="5">
        <f>C12+D12</f>
        <v/>
      </c>
      <c r="F12" s="5" t="inlineStr">
        <is>
          <t>0</t>
        </is>
      </c>
      <c r="G12" s="5" t="inlineStr">
        <is>
          <t>0</t>
        </is>
      </c>
      <c r="H12" s="5">
        <f>C12+D12+F12+G12</f>
        <v/>
      </c>
    </row>
    <row r="13">
      <c r="A13" t="inlineStr">
        <is>
          <t>浮动盈亏（流水净持仓盯市）</t>
        </is>
      </c>
      <c r="B13" t="inlineStr">
        <is>
          <t>流水对账</t>
        </is>
      </c>
      <c r="C13" s="5">
        <f>SUMIFS('期末持仓'!$W$2:$W$56,'期末持仓'!$A$2:$A$56,"场内")</f>
        <v/>
      </c>
      <c r="D13" s="5">
        <f>SUMIFS('期末持仓'!$W$2:$W$56,'期末持仓'!$A$2:$A$56,"深港")</f>
        <v/>
      </c>
      <c r="E13" s="5">
        <f>C13+D13</f>
        <v/>
      </c>
      <c r="F13" s="5" t="inlineStr">
        <is>
          <t>0</t>
        </is>
      </c>
      <c r="G13" s="5" t="inlineStr">
        <is>
          <t>0</t>
        </is>
      </c>
      <c r="H13" s="5">
        <f>C13+D13+F13+G13</f>
        <v/>
      </c>
    </row>
    <row r="14">
      <c r="A14" t="inlineStr">
        <is>
          <t>总损益（加权 + 流水浮动）</t>
        </is>
      </c>
      <c r="B14" t="inlineStr">
        <is>
          <t>流水对账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C14+D14+F14+G14</f>
        <v/>
      </c>
    </row>
    <row r="16">
      <c r="A16" s="6" t="inlineStr">
        <is>
          <t>期初投资（initial_capital）</t>
        </is>
      </c>
    </row>
    <row r="17">
      <c r="A17" t="inlineStr">
        <is>
          <t>自营权益4</t>
        </is>
      </c>
      <c r="B17" t="inlineStr">
        <is>
          <t>期初资金.xls</t>
        </is>
      </c>
      <c r="C17" t="n">
        <v>202510600</v>
      </c>
    </row>
    <row r="18">
      <c r="A18" t="inlineStr">
        <is>
          <t>期初持仓成本合计</t>
        </is>
      </c>
      <c r="C18">
        <f>SUM('期初批次'!$E$2:$E$41)</f>
        <v/>
      </c>
    </row>
    <row r="19">
      <c r="A19" t="inlineStr">
        <is>
          <t>期初持仓市值合计</t>
        </is>
      </c>
      <c r="C19">
        <f>SUM('期初批次'!$H$2:$H$41)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Part II  投组 / 交易员考核</t>
        </is>
      </c>
    </row>
    <row r="2">
      <c r="A2" s="2" t="inlineStr">
        <is>
          <t>II-a.3 第三轨试算 · 全账加权均价（期初纳入成本池）。RPNL=SUMIFS(逐笔辅助!AJ)；MTM=SUMIFS(期末持仓!Q−O)（全账净持仓×估值日市价−全账加权成本）；与运营轨(仅流水加权) / 考核轨(FIFO) 对比见下方。逐笔明细见逐笔辅助 AG–AL 列。</t>
        </is>
      </c>
    </row>
    <row r="4">
      <c r="A4" s="3" t="inlineStr">
        <is>
          <t>指标</t>
        </is>
      </c>
      <c r="B4" s="3" t="inlineStr">
        <is>
          <t>口径</t>
        </is>
      </c>
      <c r="C4" s="3" t="inlineStr">
        <is>
          <t>权益现货（场内）</t>
        </is>
      </c>
      <c r="D4" s="3" t="inlineStr">
        <is>
          <t>权益现货（深港）</t>
        </is>
      </c>
      <c r="E4" s="3" t="inlineStr">
        <is>
          <t>权益现货</t>
        </is>
      </c>
      <c r="F4" s="3" t="inlineStr">
        <is>
          <t>股指期货</t>
        </is>
      </c>
      <c r="G4" s="3" t="inlineStr">
        <is>
          <t>权益类基金</t>
        </is>
      </c>
      <c r="H4" s="3" t="inlineStr">
        <is>
          <t>合计</t>
        </is>
      </c>
    </row>
    <row r="5">
      <c r="A5" t="inlineStr">
        <is>
          <t>成交笔数</t>
        </is>
      </c>
      <c r="B5" t="inlineStr">
        <is>
          <t>成交回报</t>
        </is>
      </c>
      <c r="C5" s="4">
        <f>COUNTIFS('交易流水'!$X$2:$X$151,"*场内*")</f>
        <v/>
      </c>
      <c r="D5" s="4">
        <f>COUNTIFS('交易流水'!$X$2:$X$151,"*深港*")</f>
        <v/>
      </c>
      <c r="E5" s="4">
        <f>C5+D5</f>
        <v/>
      </c>
      <c r="F5" s="4" t="n">
        <v>0</v>
      </c>
      <c r="G5" s="4" t="n">
        <v>0</v>
      </c>
      <c r="H5" s="4">
        <f>C5+D5+F5+G5</f>
        <v/>
      </c>
    </row>
    <row r="6">
      <c r="A6" t="inlineStr">
        <is>
          <t>买入笔数</t>
        </is>
      </c>
      <c r="B6" t="inlineStr">
        <is>
          <t>成交回报</t>
        </is>
      </c>
      <c r="C6" s="4">
        <f>COUNTIFS('交易流水'!$X$2:$X$151,"*场内*",'交易流水'!$H$2:$H$151,"买入")</f>
        <v/>
      </c>
      <c r="D6" s="4">
        <f>COUNTIFS('交易流水'!$X$2:$X$151,"*深港*",'交易流水'!$H$2:$H$151,"买入")</f>
        <v/>
      </c>
      <c r="E6" s="4">
        <f>C6+D6</f>
        <v/>
      </c>
      <c r="F6" s="4" t="n">
        <v>0</v>
      </c>
      <c r="G6" s="4" t="n">
        <v>0</v>
      </c>
      <c r="H6" s="4">
        <f>C6+D6+F6+G6</f>
        <v/>
      </c>
    </row>
    <row r="7">
      <c r="A7" t="inlineStr">
        <is>
          <t>卖出笔数</t>
        </is>
      </c>
      <c r="B7" t="inlineStr">
        <is>
          <t>成交回报</t>
        </is>
      </c>
      <c r="C7" s="4">
        <f>COUNTIFS('交易流水'!$X$2:$X$151,"*场内*",'交易流水'!$H$2:$H$151,"卖出")</f>
        <v/>
      </c>
      <c r="D7" s="4">
        <f>COUNTIFS('交易流水'!$X$2:$X$151,"*深港*",'交易流水'!$H$2:$H$151,"卖出")</f>
        <v/>
      </c>
      <c r="E7" s="4">
        <f>C7+D7</f>
        <v/>
      </c>
      <c r="F7" s="4" t="n">
        <v>0</v>
      </c>
      <c r="G7" s="4" t="n">
        <v>0</v>
      </c>
      <c r="H7" s="4">
        <f>C7+D7+F7+G7</f>
        <v/>
      </c>
    </row>
    <row r="8">
      <c r="A8" t="inlineStr">
        <is>
          <t>买入数量合计</t>
        </is>
      </c>
      <c r="B8" t="inlineStr">
        <is>
          <t>成交回报</t>
        </is>
      </c>
      <c r="C8" s="4">
        <f>SUMIFS('交易流水'!$K$2:$K$151,'交易流水'!$X$2:$X$151,"*场内*",'交易流水'!$H$2:$H$151,"买入")/10000</f>
        <v/>
      </c>
      <c r="D8" s="4">
        <f>SUMIFS('交易流水'!$K$2:$K$151,'交易流水'!$X$2:$X$151,"*深港*",'交易流水'!$H$2:$H$151,"买入")/10000</f>
        <v/>
      </c>
      <c r="E8" s="4">
        <f>C8+D8</f>
        <v/>
      </c>
      <c r="F8" s="4" t="n">
        <v>0</v>
      </c>
      <c r="G8" s="4" t="n">
        <v>0</v>
      </c>
      <c r="H8" s="4">
        <f>C8+D8+F8+G8</f>
        <v/>
      </c>
    </row>
    <row r="9">
      <c r="A9" t="inlineStr">
        <is>
          <t>卖出数量合计</t>
        </is>
      </c>
      <c r="B9" t="inlineStr">
        <is>
          <t>成交回报</t>
        </is>
      </c>
      <c r="C9" s="4">
        <f>SUMIFS('交易流水'!$K$2:$K$151,'交易流水'!$X$2:$X$151,"*场内*",'交易流水'!$H$2:$H$151,"卖出")/10000</f>
        <v/>
      </c>
      <c r="D9" s="4">
        <f>SUMIFS('交易流水'!$K$2:$K$151,'交易流水'!$X$2:$X$151,"*深港*",'交易流水'!$H$2:$H$151,"卖出")/10000</f>
        <v/>
      </c>
      <c r="E9" s="4">
        <f>C9+D9</f>
        <v/>
      </c>
      <c r="F9" s="4" t="n">
        <v>0</v>
      </c>
      <c r="G9" s="4" t="n">
        <v>0</v>
      </c>
      <c r="H9" s="4">
        <f>C9+D9+F9+G9</f>
        <v/>
      </c>
    </row>
    <row r="10">
      <c r="A10" t="inlineStr">
        <is>
          <t>买入金额合计(本币)</t>
        </is>
      </c>
      <c r="B10" t="inlineStr">
        <is>
          <t>成交回报</t>
        </is>
      </c>
      <c r="C10" s="4">
        <f>SUMIFS('交易流水'!$AR$2:$AR$151,'交易流水'!$X$2:$X$151,"*场内*",'交易流水'!$H$2:$H$151,"买入")/10000</f>
        <v/>
      </c>
      <c r="D10" s="4">
        <f>SUMIFS('交易流水'!$AR$2:$AR$151,'交易流水'!$X$2:$X$151,"*深港*",'交易流水'!$H$2:$H$151,"买入")/10000</f>
        <v/>
      </c>
      <c r="E10" s="4">
        <f>C10+D10</f>
        <v/>
      </c>
      <c r="F10" s="4" t="n">
        <v>0</v>
      </c>
      <c r="G10" s="4" t="n">
        <v>0</v>
      </c>
      <c r="H10" s="4">
        <f>C10+D10+F10+G10</f>
        <v/>
      </c>
    </row>
    <row r="11">
      <c r="A11" t="inlineStr">
        <is>
          <t>卖出金额合计(本币)</t>
        </is>
      </c>
      <c r="B11" t="inlineStr">
        <is>
          <t>成交回报</t>
        </is>
      </c>
      <c r="C11" s="4">
        <f>SUMIFS('交易流水'!$AR$2:$AR$151,'交易流水'!$X$2:$X$151,"*场内*",'交易流水'!$H$2:$H$151,"卖出")/10000</f>
        <v/>
      </c>
      <c r="D11" s="4">
        <f>SUMIFS('交易流水'!$AR$2:$AR$151,'交易流水'!$X$2:$X$151,"*深港*",'交易流水'!$H$2:$H$151,"卖出")/10000</f>
        <v/>
      </c>
      <c r="E11" s="4">
        <f>C11+D11</f>
        <v/>
      </c>
      <c r="F11" s="4" t="n">
        <v>0</v>
      </c>
      <c r="G11" s="4" t="n">
        <v>0</v>
      </c>
      <c r="H11" s="4">
        <f>C11+D11+F11+G11</f>
        <v/>
      </c>
    </row>
    <row r="12">
      <c r="A12" t="inlineStr">
        <is>
          <t>已实现损益（全账加权均价·含期初）</t>
        </is>
      </c>
      <c r="B12" t="inlineStr">
        <is>
          <t>第三轨</t>
        </is>
      </c>
      <c r="C12" s="5">
        <f>SUMIFS('逐笔辅助'!$AJ$2:$AJ$191,'逐笔辅助'!$A$2:$A$191,"流水",'逐笔辅助'!$D$2:$D$191,"场内")</f>
        <v/>
      </c>
      <c r="D12" s="5">
        <f>SUMIFS('逐笔辅助'!$AJ$2:$AJ$191,'逐笔辅助'!$A$2:$A$191,"流水",'逐笔辅助'!$D$2:$D$191,"深港")</f>
        <v/>
      </c>
      <c r="E12" s="5">
        <f>C12+D12</f>
        <v/>
      </c>
      <c r="F12" s="5" t="inlineStr">
        <is>
          <t>0</t>
        </is>
      </c>
      <c r="G12" s="5" t="inlineStr">
        <is>
          <t>0</t>
        </is>
      </c>
      <c r="H12" s="5">
        <f>C12+D12+F12+G12</f>
        <v/>
      </c>
    </row>
    <row r="13">
      <c r="A13" t="inlineStr">
        <is>
          <t>浮动盈亏（全账净持仓·加权成本盯市）</t>
        </is>
      </c>
      <c r="B13" t="inlineStr">
        <is>
          <t>第三轨</t>
        </is>
      </c>
      <c r="C13" s="5">
        <f>SUMIFS('期末持仓'!$Q$2:$Q$56,'期末持仓'!$A$2:$A$56,"场内")-SUMIFS('期末持仓'!$O$2:$O$56,'期末持仓'!$A$2:$A$56,"场内")</f>
        <v/>
      </c>
      <c r="D13" s="5">
        <f>SUMIFS('期末持仓'!$Q$2:$Q$56,'期末持仓'!$A$2:$A$56,"深港")-SUMIFS('期末持仓'!$O$2:$O$56,'期末持仓'!$A$2:$A$56,"深港")</f>
        <v/>
      </c>
      <c r="E13" s="5">
        <f>C13+D13</f>
        <v/>
      </c>
      <c r="F13" s="5" t="inlineStr">
        <is>
          <t>0</t>
        </is>
      </c>
      <c r="G13" s="5" t="inlineStr">
        <is>
          <t>0</t>
        </is>
      </c>
      <c r="H13" s="5">
        <f>C13+D13+F13+G13</f>
        <v/>
      </c>
    </row>
    <row r="14">
      <c r="A14" t="inlineStr">
        <is>
          <t>总损益（全账加权 + 浮动）</t>
        </is>
      </c>
      <c r="B14" t="inlineStr">
        <is>
          <t>第三轨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C14+D14+F14+G14</f>
        <v/>
      </c>
    </row>
    <row r="15">
      <c r="C15" s="5" t="n"/>
      <c r="D15" s="5" t="n"/>
      <c r="E15" s="5" t="n"/>
      <c r="F15" s="5" t="n"/>
      <c r="G15" s="5" t="n"/>
      <c r="H15" s="5" t="n"/>
    </row>
    <row r="16">
      <c r="A16" s="6" t="inlineStr">
        <is>
          <t>▼ 三轨 RPNL 对比（仅已实现）</t>
        </is>
      </c>
      <c r="C16" s="5" t="n"/>
      <c r="D16" s="5" t="n"/>
      <c r="E16" s="5" t="n"/>
      <c r="F16" s="5" t="n"/>
      <c r="G16" s="5" t="n"/>
      <c r="H16" s="5" t="n"/>
    </row>
    <row r="17">
      <c r="A17" t="inlineStr">
        <is>
          <t>已实现损益（流水加权均价·运营轨）</t>
        </is>
      </c>
      <c r="B17" t="inlineStr">
        <is>
          <t>运营轨对比</t>
        </is>
      </c>
      <c r="C17" s="5">
        <f>SUMIFS('逐笔辅助'!$T$2:$T$191,'逐笔辅助'!$A$2:$A$191,"流水",'逐笔辅助'!$D$2:$D$191,"场内")</f>
        <v/>
      </c>
      <c r="D17" s="5">
        <f>SUMIFS('逐笔辅助'!$T$2:$T$191,'逐笔辅助'!$A$2:$A$191,"流水",'逐笔辅助'!$D$2:$D$191,"深港")</f>
        <v/>
      </c>
      <c r="E17" s="5">
        <f>C17+D17</f>
        <v/>
      </c>
      <c r="F17" s="5" t="inlineStr">
        <is>
          <t>0</t>
        </is>
      </c>
      <c r="G17" s="5" t="inlineStr">
        <is>
          <t>0</t>
        </is>
      </c>
      <c r="H17" s="5">
        <f>C17+D17+F17+G17</f>
        <v/>
      </c>
    </row>
    <row r="18">
      <c r="A18" t="inlineStr">
        <is>
          <t>第三轨 − 运营轨（RPNL）</t>
        </is>
      </c>
      <c r="B18" t="inlineStr">
        <is>
          <t>差额</t>
        </is>
      </c>
      <c r="C18" s="5">
        <f>C12-C17</f>
        <v/>
      </c>
      <c r="D18" s="5">
        <f>D12-D17</f>
        <v/>
      </c>
      <c r="E18" s="5">
        <f>C12-C17+D12-D17</f>
        <v/>
      </c>
      <c r="F18" s="5" t="inlineStr">
        <is>
          <t>0</t>
        </is>
      </c>
      <c r="G18" s="5" t="inlineStr">
        <is>
          <t>0</t>
        </is>
      </c>
      <c r="H18" s="5">
        <f>C12-C17+D12-D17</f>
        <v/>
      </c>
    </row>
    <row r="19">
      <c r="A19" t="inlineStr">
        <is>
          <t>已实现损益（FIFO·考核轨）</t>
        </is>
      </c>
      <c r="B19" t="inlineStr">
        <is>
          <t>考核轨对比</t>
        </is>
      </c>
      <c r="C19" s="5">
        <f>SUMIFS('逐笔辅助'!$U$2:$U$191,'逐笔辅助'!$A$2:$A$191,"流水",'逐笔辅助'!$D$2:$D$191,"场内")</f>
        <v/>
      </c>
      <c r="D19" s="5">
        <f>SUMIFS('逐笔辅助'!$U$2:$U$191,'逐笔辅助'!$A$2:$A$191,"流水",'逐笔辅助'!$D$2:$D$191,"深港")</f>
        <v/>
      </c>
      <c r="E19" s="5">
        <f>C19+D19</f>
        <v/>
      </c>
      <c r="F19" s="5" t="inlineStr">
        <is>
          <t>0</t>
        </is>
      </c>
      <c r="G19" s="5" t="inlineStr">
        <is>
          <t>0</t>
        </is>
      </c>
      <c r="H19" s="5">
        <f>C19+D19+F19+G19</f>
        <v/>
      </c>
    </row>
    <row r="21">
      <c r="A21" s="6" t="inlineStr">
        <is>
          <t>期初投资（initial_capital）</t>
        </is>
      </c>
    </row>
    <row r="22">
      <c r="A22" t="inlineStr">
        <is>
          <t>自营权益4</t>
        </is>
      </c>
      <c r="B22" t="inlineStr">
        <is>
          <t>期初资金.xls</t>
        </is>
      </c>
      <c r="C22" t="n">
        <v>202510600</v>
      </c>
    </row>
    <row r="23">
      <c r="A23" t="inlineStr">
        <is>
          <t>期初持仓成本合计</t>
        </is>
      </c>
      <c r="C23">
        <f>SUM('期初批次'!$E$2:$E$41)</f>
        <v/>
      </c>
    </row>
    <row r="24">
      <c r="A24" t="inlineStr">
        <is>
          <t>期初持仓市值合计</t>
        </is>
      </c>
      <c r="C24">
        <f>SUM('期初批次'!$H$2:$H$41)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1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发生日期</t>
        </is>
      </c>
      <c r="C1" s="3" t="inlineStr">
        <is>
          <t>账户编号</t>
        </is>
      </c>
      <c r="D1" s="3" t="inlineStr">
        <is>
          <t>账户名称</t>
        </is>
      </c>
      <c r="E1" s="3" t="inlineStr">
        <is>
          <t>账户代码</t>
        </is>
      </c>
      <c r="F1" s="3" t="inlineStr">
        <is>
          <t>证券代码</t>
        </is>
      </c>
      <c r="G1" s="3" t="inlineStr">
        <is>
          <t>证券名称</t>
        </is>
      </c>
      <c r="H1" s="3" t="inlineStr">
        <is>
          <t>委托方向</t>
        </is>
      </c>
      <c r="I1" s="3" t="inlineStr">
        <is>
          <t>最新价</t>
        </is>
      </c>
      <c r="J1" s="3" t="inlineStr">
        <is>
          <t>市场成交均价</t>
        </is>
      </c>
      <c r="K1" s="3" t="inlineStr">
        <is>
          <t>成交数量</t>
        </is>
      </c>
      <c r="L1" s="3" t="inlineStr">
        <is>
          <t>成交金额</t>
        </is>
      </c>
      <c r="M1" s="3" t="inlineStr">
        <is>
          <t>成交次数</t>
        </is>
      </c>
      <c r="N1" s="3" t="inlineStr">
        <is>
          <t>成交最低价</t>
        </is>
      </c>
      <c r="O1" s="3" t="inlineStr">
        <is>
          <t>成交最高价</t>
        </is>
      </c>
      <c r="P1" s="3" t="inlineStr">
        <is>
          <t>成交均价</t>
        </is>
      </c>
      <c r="Q1" s="3" t="inlineStr">
        <is>
          <t>成交均价(全价)</t>
        </is>
      </c>
      <c r="R1" s="3" t="inlineStr">
        <is>
          <t>成交均价(净价)</t>
        </is>
      </c>
      <c r="S1" s="3" t="inlineStr">
        <is>
          <t>交易市场</t>
        </is>
      </c>
      <c r="T1" s="3" t="inlineStr">
        <is>
          <t>市场成交数量</t>
        </is>
      </c>
      <c r="U1" s="3" t="inlineStr">
        <is>
          <t>数量成交比例(%)</t>
        </is>
      </c>
      <c r="V1" s="3" t="inlineStr">
        <is>
          <t>市场成交金额</t>
        </is>
      </c>
      <c r="W1" s="3" t="inlineStr">
        <is>
          <t>组合编号</t>
        </is>
      </c>
      <c r="X1" s="3" t="inlineStr">
        <is>
          <t>组合名称</t>
        </is>
      </c>
      <c r="Y1" s="3" t="inlineStr">
        <is>
          <t>委托数量</t>
        </is>
      </c>
      <c r="Z1" s="3" t="inlineStr">
        <is>
          <t>市场最高价</t>
        </is>
      </c>
      <c r="AA1" s="3" t="inlineStr">
        <is>
          <t>市场最低价</t>
        </is>
      </c>
      <c r="AB1" s="3" t="inlineStr">
        <is>
          <t>委托次数</t>
        </is>
      </c>
      <c r="AC1" s="3" t="inlineStr">
        <is>
          <t>操作员</t>
        </is>
      </c>
      <c r="AD1" s="3" t="inlineStr">
        <is>
          <t>资产类别</t>
        </is>
      </c>
      <c r="AE1" s="3" t="inlineStr">
        <is>
          <t>涨跌幅(%)</t>
        </is>
      </c>
      <c r="AF1" s="3" t="inlineStr">
        <is>
          <t>金额成交比例(%)</t>
        </is>
      </c>
      <c r="AG1" s="3" t="inlineStr">
        <is>
          <t>价格差额比例(%)</t>
        </is>
      </c>
      <c r="AH1" s="3" t="inlineStr">
        <is>
          <t>指令数量</t>
        </is>
      </c>
      <c r="AI1" s="3" t="inlineStr">
        <is>
          <t>资产单元序号</t>
        </is>
      </c>
      <c r="AJ1" s="3" t="inlineStr">
        <is>
          <t>资产单元名称</t>
        </is>
      </c>
      <c r="AK1" s="3" t="inlineStr">
        <is>
          <t>交易币种</t>
        </is>
      </c>
      <c r="AL1" s="3" t="inlineStr">
        <is>
          <t>交易席位</t>
        </is>
      </c>
      <c r="AM1" s="3" t="inlineStr">
        <is>
          <t>投资类型</t>
        </is>
      </c>
      <c r="AN1" s="3" t="inlineStr">
        <is>
          <t>资产单元编号</t>
        </is>
      </c>
      <c r="AO1" s="3" t="inlineStr">
        <is>
          <t>股东代码</t>
        </is>
      </c>
      <c r="AP1" s="3" t="inlineStr">
        <is>
          <t>指令下达人</t>
        </is>
      </c>
      <c r="AQ1" s="3" t="inlineStr">
        <is>
          <t>本币币种</t>
        </is>
      </c>
      <c r="AR1" s="3" t="inlineStr">
        <is>
          <t>本币成交金额</t>
        </is>
      </c>
      <c r="AS1" s="3" t="inlineStr">
        <is>
          <t>RIC</t>
        </is>
      </c>
      <c r="AT1" s="3" t="inlineStr">
        <is>
          <t>Bloomberg</t>
        </is>
      </c>
      <c r="AU1" s="3" t="inlineStr">
        <is>
          <t>CUSIP</t>
        </is>
      </c>
      <c r="AV1" s="3" t="inlineStr">
        <is>
          <t>SEDOL</t>
        </is>
      </c>
      <c r="AW1" s="3" t="inlineStr">
        <is>
          <t>ISIN</t>
        </is>
      </c>
      <c r="AX1" s="3" t="inlineStr">
        <is>
          <t>指令操作级别</t>
        </is>
      </c>
      <c r="AY1" s="3" t="inlineStr">
        <is>
          <t>账户组类型</t>
        </is>
      </c>
      <c r="AZ1" s="3" t="inlineStr">
        <is>
          <t>账户组</t>
        </is>
      </c>
      <c r="BA1" s="3" t="inlineStr">
        <is>
          <t>成交金额占净值(%)</t>
        </is>
      </c>
      <c r="BB1" s="3" t="inlineStr">
        <is>
          <t>券商编号</t>
        </is>
      </c>
      <c r="BC1" s="3" t="inlineStr">
        <is>
          <t>券商名称</t>
        </is>
      </c>
      <c r="BD1" s="3" t="inlineStr">
        <is>
          <t>业务分类</t>
        </is>
      </c>
      <c r="BE1" s="3" t="inlineStr">
        <is>
          <t>是否ETF补券</t>
        </is>
      </c>
      <c r="BF1" s="3" t="inlineStr">
        <is>
          <t>发生金额(全价)</t>
        </is>
      </c>
      <c r="BG1" s="3" t="inlineStr">
        <is>
          <t>今开盘价</t>
        </is>
      </c>
      <c r="BH1" s="3" t="inlineStr">
        <is>
          <t>是否强平委托</t>
        </is>
      </c>
      <c r="BI1" s="3" t="inlineStr">
        <is>
          <t>代下达人</t>
        </is>
      </c>
      <c r="BJ1" s="3" t="inlineStr">
        <is>
          <t>是否强平</t>
        </is>
      </c>
      <c r="BK1" s="3" t="inlineStr">
        <is>
          <t>价格类型</t>
        </is>
      </c>
      <c r="BL1" s="3" t="inlineStr">
        <is>
          <t>杂项分类</t>
        </is>
      </c>
      <c r="BM1" s="3" t="inlineStr">
        <is>
          <t>平仓盈亏</t>
        </is>
      </c>
      <c r="BN1" s="3" t="inlineStr">
        <is>
          <t>成交时间(分)</t>
        </is>
      </c>
      <c r="BO1" s="3" t="inlineStr">
        <is>
          <t>证券类别</t>
        </is>
      </c>
      <c r="BP1" s="3" t="inlineStr">
        <is>
          <t>交易对手</t>
        </is>
      </c>
      <c r="BQ1" s="3" t="inlineStr">
        <is>
          <t>对方席位号</t>
        </is>
      </c>
      <c r="BR1" s="3" t="inlineStr">
        <is>
          <t>交易实例序号</t>
        </is>
      </c>
      <c r="BS1" s="3" t="inlineStr">
        <is>
          <t>成交状态</t>
        </is>
      </c>
    </row>
    <row r="2">
      <c r="A2" t="n">
        <v>1</v>
      </c>
      <c r="B2" t="inlineStr">
        <is>
          <t>2026-01-13</t>
        </is>
      </c>
      <c r="C2" t="n">
        <v>3008</v>
      </c>
      <c r="D2" t="inlineStr">
        <is>
          <t>自营权益4</t>
        </is>
      </c>
      <c r="E2" t="n">
        <v>3008</v>
      </c>
      <c r="F2" t="n">
        <v>601098</v>
      </c>
      <c r="G2" t="inlineStr">
        <is>
          <t>中南传媒</t>
        </is>
      </c>
      <c r="H2" t="inlineStr">
        <is>
          <t>买入</t>
        </is>
      </c>
      <c r="I2" t="n">
        <v>11.56</v>
      </c>
      <c r="J2" t="n">
        <v>11.68</v>
      </c>
      <c r="K2" t="n">
        <v>200000</v>
      </c>
      <c r="L2" t="n">
        <v>2330000</v>
      </c>
      <c r="M2" t="n">
        <v>73</v>
      </c>
      <c r="N2" t="n">
        <v>11.65</v>
      </c>
      <c r="O2" t="n">
        <v>11.65</v>
      </c>
      <c r="P2" t="n">
        <v>11.65</v>
      </c>
      <c r="Q2" t="n">
        <v>11.65</v>
      </c>
      <c r="R2" t="n">
        <v>11.65</v>
      </c>
      <c r="S2" t="inlineStr">
        <is>
          <t>上交所A</t>
        </is>
      </c>
      <c r="T2" t="n">
        <v>25567700</v>
      </c>
      <c r="U2" t="n">
        <v>0.7822</v>
      </c>
      <c r="V2" t="n">
        <v>298680747</v>
      </c>
      <c r="W2" t="n">
        <v>300821</v>
      </c>
      <c r="X2" t="inlineStr">
        <is>
          <t>自营权益4（场内）</t>
        </is>
      </c>
      <c r="Y2" t="n">
        <v>200000</v>
      </c>
      <c r="Z2" t="n">
        <v>11.93</v>
      </c>
      <c r="AA2" t="n">
        <v>11.52</v>
      </c>
      <c r="AB2" t="n">
        <v>1</v>
      </c>
      <c r="AC2" t="inlineStr">
        <is>
          <t>叶盛</t>
        </is>
      </c>
      <c r="AD2" t="inlineStr">
        <is>
          <t>股票资产</t>
        </is>
      </c>
      <c r="AE2" t="n">
        <v>-1.1121</v>
      </c>
      <c r="AF2" t="n">
        <v>0.7801</v>
      </c>
      <c r="AG2" t="n">
        <v>0.2739</v>
      </c>
      <c r="AH2" t="n">
        <v>200000</v>
      </c>
      <c r="AI2" t="n">
        <v>46</v>
      </c>
      <c r="AJ2" t="inlineStr">
        <is>
          <t>自营权益4（场内）</t>
        </is>
      </c>
      <c r="AK2" t="inlineStr">
        <is>
          <t>人民币</t>
        </is>
      </c>
      <c r="AL2" t="n">
        <v>40878</v>
      </c>
      <c r="AM2" t="n">
        <v/>
      </c>
      <c r="AN2" t="n">
        <v>30082</v>
      </c>
      <c r="AO2" t="n">
        <v/>
      </c>
      <c r="AP2" t="inlineStr">
        <is>
          <t>顾吟湫</t>
        </is>
      </c>
      <c r="AQ2" t="inlineStr">
        <is>
          <t>人民币</t>
        </is>
      </c>
      <c r="AR2" t="n">
        <v>2330000</v>
      </c>
      <c r="AS2" t="n">
        <v>601098</v>
      </c>
      <c r="AT2" t="n">
        <v>601098</v>
      </c>
      <c r="AU2" t="n">
        <v>601098</v>
      </c>
      <c r="AV2" t="n">
        <v>601098</v>
      </c>
      <c r="AW2" t="inlineStr">
        <is>
          <t>601098</t>
        </is>
      </c>
      <c r="AX2" t="inlineStr">
        <is>
          <t>无</t>
        </is>
      </c>
      <c r="AY2" t="inlineStr">
        <is>
          <t xml:space="preserve"> </t>
        </is>
      </c>
      <c r="AZ2" t="inlineStr">
        <is>
          <t xml:space="preserve"> </t>
        </is>
      </c>
      <c r="BA2" t="n">
        <v>1.1409</v>
      </c>
      <c r="BB2" t="n">
        <v>0</v>
      </c>
      <c r="BC2" t="inlineStr">
        <is>
          <t>缺省券商</t>
        </is>
      </c>
      <c r="BD2" t="inlineStr">
        <is>
          <t>交易所业务</t>
        </is>
      </c>
      <c r="BE2" t="inlineStr">
        <is>
          <t>不是ETF补券指令</t>
        </is>
      </c>
      <c r="BF2" t="inlineStr">
        <is>
          <t>-2,330,000.00</t>
        </is>
      </c>
      <c r="BG2" t="n">
        <v>11.81</v>
      </c>
      <c r="BH2" t="inlineStr">
        <is>
          <t>非强平</t>
        </is>
      </c>
      <c r="BI2" t="inlineStr">
        <is>
          <t>顾吟湫</t>
        </is>
      </c>
      <c r="BJ2" t="inlineStr">
        <is>
          <t>否</t>
        </is>
      </c>
      <c r="BK2" t="inlineStr">
        <is>
          <t>限价</t>
        </is>
      </c>
      <c r="BL2" t="n">
        <v/>
      </c>
      <c r="BM2" t="n">
        <v>0</v>
      </c>
      <c r="BN2" t="n">
        <v>31.26666666666667</v>
      </c>
      <c r="BO2" t="inlineStr">
        <is>
          <t>股票</t>
        </is>
      </c>
      <c r="BP2" t="n">
        <v/>
      </c>
      <c r="BQ2" t="n">
        <v/>
      </c>
      <c r="BR2" t="n">
        <v>0</v>
      </c>
      <c r="BS2" t="inlineStr">
        <is>
          <t>已成交</t>
        </is>
      </c>
    </row>
    <row r="3">
      <c r="A3" t="n">
        <v>2</v>
      </c>
      <c r="B3" t="inlineStr">
        <is>
          <t>2026-01-13</t>
        </is>
      </c>
      <c r="C3" t="n">
        <v>3008</v>
      </c>
      <c r="D3" t="inlineStr">
        <is>
          <t>自营权益4</t>
        </is>
      </c>
      <c r="E3" t="n">
        <v>3008</v>
      </c>
      <c r="F3" t="n">
        <v>601900</v>
      </c>
      <c r="G3" t="inlineStr">
        <is>
          <t>南方传媒</t>
        </is>
      </c>
      <c r="H3" t="inlineStr">
        <is>
          <t>卖出</t>
        </is>
      </c>
      <c r="I3" t="n">
        <v>15.31</v>
      </c>
      <c r="J3" t="n">
        <v>16.03</v>
      </c>
      <c r="K3" t="n">
        <v>200000</v>
      </c>
      <c r="L3" t="n">
        <v>3267529</v>
      </c>
      <c r="M3" t="n">
        <v>64</v>
      </c>
      <c r="N3" t="n">
        <v>16.05</v>
      </c>
      <c r="O3" t="n">
        <v>16.58</v>
      </c>
      <c r="P3" t="n">
        <v>16.337645</v>
      </c>
      <c r="Q3" t="n">
        <v>16.337645</v>
      </c>
      <c r="R3" t="n">
        <v>16.337645</v>
      </c>
      <c r="S3" t="inlineStr">
        <is>
          <t>上交所A</t>
        </is>
      </c>
      <c r="T3" t="n">
        <v>86139472</v>
      </c>
      <c r="U3" t="n">
        <v>0.2322</v>
      </c>
      <c r="V3" t="n">
        <v>1380565150</v>
      </c>
      <c r="W3" t="n">
        <v>300821</v>
      </c>
      <c r="X3" t="inlineStr">
        <is>
          <t>自营权益4（场内）</t>
        </is>
      </c>
      <c r="Y3" t="n">
        <v>200000</v>
      </c>
      <c r="Z3" t="n">
        <v>16.58</v>
      </c>
      <c r="AA3" t="n">
        <v>15.3</v>
      </c>
      <c r="AB3" t="n">
        <v>4</v>
      </c>
      <c r="AC3" t="inlineStr">
        <is>
          <t>叶盛</t>
        </is>
      </c>
      <c r="AD3" t="inlineStr">
        <is>
          <t>股票资产</t>
        </is>
      </c>
      <c r="AE3" t="n">
        <v>1.5926</v>
      </c>
      <c r="AF3" t="n">
        <v>0.2367</v>
      </c>
      <c r="AG3" t="n">
        <v>1.9373</v>
      </c>
      <c r="AH3" t="n">
        <v>200000</v>
      </c>
      <c r="AI3" t="n">
        <v>46</v>
      </c>
      <c r="AJ3" t="inlineStr">
        <is>
          <t>自营权益4（场内）</t>
        </is>
      </c>
      <c r="AK3" t="inlineStr">
        <is>
          <t>人民币</t>
        </is>
      </c>
      <c r="AL3" t="n">
        <v>40878</v>
      </c>
      <c r="AM3" t="n">
        <v/>
      </c>
      <c r="AN3" t="n">
        <v>30082</v>
      </c>
      <c r="AO3" t="n">
        <v/>
      </c>
      <c r="AP3" t="inlineStr">
        <is>
          <t>顾吟湫</t>
        </is>
      </c>
      <c r="AQ3" t="inlineStr">
        <is>
          <t>人民币</t>
        </is>
      </c>
      <c r="AR3" t="n">
        <v>3267529</v>
      </c>
      <c r="AS3" t="n">
        <v/>
      </c>
      <c r="AT3" t="n">
        <v/>
      </c>
      <c r="AU3" t="n">
        <v/>
      </c>
      <c r="AV3" t="n">
        <v/>
      </c>
      <c r="AW3" t="n">
        <v/>
      </c>
      <c r="AX3" t="inlineStr">
        <is>
          <t>无</t>
        </is>
      </c>
      <c r="AY3" t="inlineStr">
        <is>
          <t xml:space="preserve"> </t>
        </is>
      </c>
      <c r="AZ3" t="inlineStr">
        <is>
          <t xml:space="preserve"> </t>
        </is>
      </c>
      <c r="BA3" t="n">
        <v>1.5999</v>
      </c>
      <c r="BB3" t="n">
        <v>0</v>
      </c>
      <c r="BC3" t="inlineStr">
        <is>
          <t>缺省券商</t>
        </is>
      </c>
      <c r="BD3" t="inlineStr">
        <is>
          <t>交易所业务</t>
        </is>
      </c>
      <c r="BE3" t="inlineStr">
        <is>
          <t>不是ETF补券指令</t>
        </is>
      </c>
      <c r="BF3" t="inlineStr">
        <is>
          <t>3,267,529.00</t>
        </is>
      </c>
      <c r="BG3" t="n">
        <v>16.58</v>
      </c>
      <c r="BH3" t="inlineStr">
        <is>
          <t>非强平</t>
        </is>
      </c>
      <c r="BI3" t="inlineStr">
        <is>
          <t>顾吟湫</t>
        </is>
      </c>
      <c r="BJ3" t="inlineStr">
        <is>
          <t>否</t>
        </is>
      </c>
      <c r="BK3" t="inlineStr">
        <is>
          <t>限价</t>
        </is>
      </c>
      <c r="BL3" t="n">
        <v/>
      </c>
      <c r="BM3" t="n">
        <v>0</v>
      </c>
      <c r="BN3" t="n">
        <v>2.7</v>
      </c>
      <c r="BO3" t="inlineStr">
        <is>
          <t>股票</t>
        </is>
      </c>
      <c r="BP3" t="n">
        <v/>
      </c>
      <c r="BQ3" t="n">
        <v/>
      </c>
      <c r="BR3" t="n">
        <v>0</v>
      </c>
      <c r="BS3" t="inlineStr">
        <is>
          <t>已成交</t>
        </is>
      </c>
    </row>
    <row r="4">
      <c r="A4" t="n">
        <v>3</v>
      </c>
      <c r="B4" t="inlineStr">
        <is>
          <t>2026-01-20</t>
        </is>
      </c>
      <c r="C4" t="n">
        <v>3008</v>
      </c>
      <c r="D4" t="inlineStr">
        <is>
          <t>自营权益4</t>
        </is>
      </c>
      <c r="E4" t="n">
        <v>3008</v>
      </c>
      <c r="F4" t="n">
        <v>2318</v>
      </c>
      <c r="G4" t="inlineStr">
        <is>
          <t>中国平安</t>
        </is>
      </c>
      <c r="H4" t="inlineStr">
        <is>
          <t>卖出</t>
        </is>
      </c>
      <c r="I4" t="n">
        <v>69</v>
      </c>
      <c r="J4" t="n">
        <v>68.84999999999999</v>
      </c>
      <c r="K4" t="n">
        <v>10000</v>
      </c>
      <c r="L4" t="n">
        <v>690500</v>
      </c>
      <c r="M4" t="n">
        <v>6</v>
      </c>
      <c r="N4" t="n">
        <v>69.05</v>
      </c>
      <c r="O4" t="n">
        <v>69.05</v>
      </c>
      <c r="P4" t="n">
        <v>69.05</v>
      </c>
      <c r="Q4" t="n">
        <v>69.05</v>
      </c>
      <c r="R4" t="n">
        <v>69.05</v>
      </c>
      <c r="S4" t="inlineStr">
        <is>
          <t>港股通（深）</t>
        </is>
      </c>
      <c r="T4" t="n">
        <v>30771432</v>
      </c>
      <c r="U4" t="n">
        <v>0.0325</v>
      </c>
      <c r="V4" t="n">
        <v>2118749477.2</v>
      </c>
      <c r="W4" t="n">
        <v>300841</v>
      </c>
      <c r="X4" t="inlineStr">
        <is>
          <t>自营权益4（深港）</t>
        </is>
      </c>
      <c r="Y4" t="n">
        <v>60000</v>
      </c>
      <c r="Z4" t="n">
        <v>69.65000000000001</v>
      </c>
      <c r="AA4" t="n">
        <v>68.09999999999999</v>
      </c>
      <c r="AB4" t="n">
        <v>6</v>
      </c>
      <c r="AC4" t="inlineStr">
        <is>
          <t>叶盛</t>
        </is>
      </c>
      <c r="AD4" t="inlineStr">
        <is>
          <t>股票资产</t>
        </is>
      </c>
      <c r="AE4" t="n">
        <v>0.8772</v>
      </c>
      <c r="AF4" t="n">
        <v>0.0326</v>
      </c>
      <c r="AG4" t="n">
        <v>0.2841</v>
      </c>
      <c r="AH4" t="n">
        <v>20000</v>
      </c>
      <c r="AI4" t="n">
        <v>53</v>
      </c>
      <c r="AJ4" t="inlineStr">
        <is>
          <t>自营权益4（深港）</t>
        </is>
      </c>
      <c r="AK4" t="inlineStr">
        <is>
          <t>人民币</t>
        </is>
      </c>
      <c r="AL4" t="n">
        <v>6111</v>
      </c>
      <c r="AM4" t="n">
        <v/>
      </c>
      <c r="AN4" t="n">
        <v>30084</v>
      </c>
      <c r="AO4" t="n">
        <v/>
      </c>
      <c r="AP4" t="inlineStr">
        <is>
          <t>顾吟湫</t>
        </is>
      </c>
      <c r="AQ4" t="inlineStr">
        <is>
          <t>人民币</t>
        </is>
      </c>
      <c r="AR4" t="n">
        <v>616271.25</v>
      </c>
      <c r="AS4" t="n">
        <v/>
      </c>
      <c r="AT4" t="n">
        <v/>
      </c>
      <c r="AU4" t="n">
        <v/>
      </c>
      <c r="AV4" t="n">
        <v/>
      </c>
      <c r="AW4" t="inlineStr">
        <is>
          <t>CNE1000003X6</t>
        </is>
      </c>
      <c r="AX4" t="inlineStr">
        <is>
          <t>无</t>
        </is>
      </c>
      <c r="AY4" t="inlineStr">
        <is>
          <t xml:space="preserve"> </t>
        </is>
      </c>
      <c r="AZ4" t="inlineStr">
        <is>
          <t xml:space="preserve"> </t>
        </is>
      </c>
      <c r="BA4" t="n">
        <v>0.3063</v>
      </c>
      <c r="BB4" t="n">
        <v>0</v>
      </c>
      <c r="BC4" t="inlineStr">
        <is>
          <t>缺省券商</t>
        </is>
      </c>
      <c r="BD4" t="inlineStr">
        <is>
          <t>交易所业务</t>
        </is>
      </c>
      <c r="BE4" t="inlineStr">
        <is>
          <t>不是ETF补券指令</t>
        </is>
      </c>
      <c r="BF4" t="inlineStr">
        <is>
          <t>690,500.00</t>
        </is>
      </c>
      <c r="BG4" t="n">
        <v>0</v>
      </c>
      <c r="BH4" t="inlineStr">
        <is>
          <t>非强平</t>
        </is>
      </c>
      <c r="BI4" t="inlineStr">
        <is>
          <t>顾吟湫</t>
        </is>
      </c>
      <c r="BJ4" t="inlineStr">
        <is>
          <t>否</t>
        </is>
      </c>
      <c r="BK4" t="inlineStr">
        <is>
          <t>增强限价盘</t>
        </is>
      </c>
      <c r="BL4" t="n">
        <v/>
      </c>
      <c r="BM4" t="n">
        <v>0</v>
      </c>
      <c r="BN4" t="n">
        <v>7.833333333333333</v>
      </c>
      <c r="BO4" t="inlineStr">
        <is>
          <t>股票</t>
        </is>
      </c>
      <c r="BP4" t="n">
        <v/>
      </c>
      <c r="BQ4" t="n">
        <v/>
      </c>
      <c r="BR4" t="n">
        <v>0</v>
      </c>
      <c r="BS4" t="inlineStr">
        <is>
          <t>已成交</t>
        </is>
      </c>
    </row>
    <row r="5">
      <c r="A5" t="n">
        <v>4</v>
      </c>
      <c r="B5" t="inlineStr">
        <is>
          <t>2026-01-21</t>
        </is>
      </c>
      <c r="C5" t="n">
        <v>3008</v>
      </c>
      <c r="D5" t="inlineStr">
        <is>
          <t>自营权益4</t>
        </is>
      </c>
      <c r="E5" t="n">
        <v>3008</v>
      </c>
      <c r="F5" t="n">
        <v>858</v>
      </c>
      <c r="G5" t="inlineStr">
        <is>
          <t>五 粮 液</t>
        </is>
      </c>
      <c r="H5" t="inlineStr">
        <is>
          <t>卖出</t>
        </is>
      </c>
      <c r="I5" t="n">
        <v>103.05</v>
      </c>
      <c r="J5" t="n">
        <v>103.4</v>
      </c>
      <c r="K5" t="n">
        <v>20000</v>
      </c>
      <c r="L5" t="n">
        <v>2060319</v>
      </c>
      <c r="M5" t="n">
        <v>20</v>
      </c>
      <c r="N5" t="n">
        <v>103</v>
      </c>
      <c r="O5" t="n">
        <v>103.02</v>
      </c>
      <c r="P5" t="n">
        <v>103.01595</v>
      </c>
      <c r="Q5" t="n">
        <v>103.01595</v>
      </c>
      <c r="R5" t="n">
        <v>103.01595</v>
      </c>
      <c r="S5" t="inlineStr">
        <is>
          <t>深交所A</t>
        </is>
      </c>
      <c r="T5" t="n">
        <v>26228280</v>
      </c>
      <c r="U5" t="n">
        <v>0.07630000000000001</v>
      </c>
      <c r="V5" t="n">
        <v>2711884886.18</v>
      </c>
      <c r="W5" t="n">
        <v>300821</v>
      </c>
      <c r="X5" t="inlineStr">
        <is>
          <t>自营权益4（场内）</t>
        </is>
      </c>
      <c r="Y5" t="n">
        <v>20000</v>
      </c>
      <c r="Z5" t="n">
        <v>104.7</v>
      </c>
      <c r="AA5" t="n">
        <v>103</v>
      </c>
      <c r="AB5" t="n">
        <v>1</v>
      </c>
      <c r="AC5" t="inlineStr">
        <is>
          <t>叶盛</t>
        </is>
      </c>
      <c r="AD5" t="inlineStr">
        <is>
          <t>股票资产</t>
        </is>
      </c>
      <c r="AE5" t="n">
        <v>-1.7729</v>
      </c>
      <c r="AF5" t="n">
        <v>0.076</v>
      </c>
      <c r="AG5" t="n">
        <v>-0.367</v>
      </c>
      <c r="AH5" t="n">
        <v>20000</v>
      </c>
      <c r="AI5" t="n">
        <v>46</v>
      </c>
      <c r="AJ5" t="inlineStr">
        <is>
          <t>自营权益4（场内）</t>
        </is>
      </c>
      <c r="AK5" t="inlineStr">
        <is>
          <t>人民币</t>
        </is>
      </c>
      <c r="AL5" t="n">
        <v>6111</v>
      </c>
      <c r="AM5" t="n">
        <v/>
      </c>
      <c r="AN5" t="n">
        <v>30082</v>
      </c>
      <c r="AO5" t="n">
        <v/>
      </c>
      <c r="AP5" t="inlineStr">
        <is>
          <t>顾吟湫</t>
        </is>
      </c>
      <c r="AQ5" t="inlineStr">
        <is>
          <t>人民币</t>
        </is>
      </c>
      <c r="AR5" t="n">
        <v>2060319</v>
      </c>
      <c r="AS5" t="n">
        <v>858</v>
      </c>
      <c r="AT5" t="n">
        <v>858</v>
      </c>
      <c r="AU5" t="n">
        <v>858</v>
      </c>
      <c r="AV5" t="n">
        <v>858</v>
      </c>
      <c r="AW5" t="inlineStr">
        <is>
          <t>000858</t>
        </is>
      </c>
      <c r="AX5" t="inlineStr">
        <is>
          <t>无</t>
        </is>
      </c>
      <c r="AY5" t="inlineStr">
        <is>
          <t xml:space="preserve"> </t>
        </is>
      </c>
      <c r="AZ5" t="inlineStr">
        <is>
          <t xml:space="preserve"> </t>
        </is>
      </c>
      <c r="BA5" t="n">
        <v>1.0334</v>
      </c>
      <c r="BB5" t="n">
        <v>0</v>
      </c>
      <c r="BC5" t="inlineStr">
        <is>
          <t>缺省券商</t>
        </is>
      </c>
      <c r="BD5" t="inlineStr">
        <is>
          <t>交易所业务</t>
        </is>
      </c>
      <c r="BE5" t="inlineStr">
        <is>
          <t>不是ETF补券指令</t>
        </is>
      </c>
      <c r="BF5" t="inlineStr">
        <is>
          <t>2,060,319.00</t>
        </is>
      </c>
      <c r="BG5" t="n">
        <v>104.62</v>
      </c>
      <c r="BH5" t="inlineStr">
        <is>
          <t>非强平</t>
        </is>
      </c>
      <c r="BI5" t="inlineStr">
        <is>
          <t>顾吟湫</t>
        </is>
      </c>
      <c r="BJ5" t="inlineStr">
        <is>
          <t>否</t>
        </is>
      </c>
      <c r="BK5" t="inlineStr">
        <is>
          <t>限价</t>
        </is>
      </c>
      <c r="BL5" t="n">
        <v/>
      </c>
      <c r="BM5" t="n">
        <v>0</v>
      </c>
      <c r="BN5" t="n">
        <v>0</v>
      </c>
      <c r="BO5" t="inlineStr">
        <is>
          <t>股票</t>
        </is>
      </c>
      <c r="BP5" t="n">
        <v/>
      </c>
      <c r="BQ5" t="n">
        <v/>
      </c>
      <c r="BR5" t="n">
        <v>0</v>
      </c>
      <c r="BS5" t="inlineStr">
        <is>
          <t>已成交</t>
        </is>
      </c>
    </row>
    <row r="6">
      <c r="A6" t="n">
        <v>5</v>
      </c>
      <c r="B6" t="inlineStr">
        <is>
          <t>2026-01-22</t>
        </is>
      </c>
      <c r="C6" t="n">
        <v>3008</v>
      </c>
      <c r="D6" t="inlineStr">
        <is>
          <t>自营权益4</t>
        </is>
      </c>
      <c r="E6" t="n">
        <v>3008</v>
      </c>
      <c r="F6" t="n">
        <v>603198</v>
      </c>
      <c r="G6" t="inlineStr">
        <is>
          <t>迎驾贡酒</t>
        </is>
      </c>
      <c r="H6" t="inlineStr">
        <is>
          <t>卖出</t>
        </is>
      </c>
      <c r="I6" t="n">
        <v>38.84</v>
      </c>
      <c r="J6" t="n">
        <v>38.85</v>
      </c>
      <c r="K6" t="n">
        <v>60000</v>
      </c>
      <c r="L6" t="n">
        <v>2329000</v>
      </c>
      <c r="M6" t="n">
        <v>93</v>
      </c>
      <c r="N6" t="n">
        <v>38.79</v>
      </c>
      <c r="O6" t="n">
        <v>38.95</v>
      </c>
      <c r="P6" t="n">
        <v>38.81666666666667</v>
      </c>
      <c r="Q6" t="n">
        <v>38.81666666666667</v>
      </c>
      <c r="R6" t="n">
        <v>38.81666666666667</v>
      </c>
      <c r="S6" t="inlineStr">
        <is>
          <t>上交所A</t>
        </is>
      </c>
      <c r="T6" t="n">
        <v>3329948</v>
      </c>
      <c r="U6" t="n">
        <v>1.8018</v>
      </c>
      <c r="V6" t="n">
        <v>129356872</v>
      </c>
      <c r="W6" t="n">
        <v>300821</v>
      </c>
      <c r="X6" t="inlineStr">
        <is>
          <t>自营权益4（场内）</t>
        </is>
      </c>
      <c r="Y6" t="n">
        <v>60000</v>
      </c>
      <c r="Z6" t="n">
        <v>39.05</v>
      </c>
      <c r="AA6" t="n">
        <v>38.7</v>
      </c>
      <c r="AB6" t="n">
        <v>18</v>
      </c>
      <c r="AC6" t="inlineStr">
        <is>
          <t>叶盛</t>
        </is>
      </c>
      <c r="AD6" t="inlineStr">
        <is>
          <t>股票资产</t>
        </is>
      </c>
      <c r="AE6" t="n">
        <v>-0.308</v>
      </c>
      <c r="AF6" t="n">
        <v>1.8004</v>
      </c>
      <c r="AG6" t="n">
        <v>-0.0767</v>
      </c>
      <c r="AH6" t="n">
        <v>60000</v>
      </c>
      <c r="AI6" t="n">
        <v>46</v>
      </c>
      <c r="AJ6" t="inlineStr">
        <is>
          <t>自营权益4（场内）</t>
        </is>
      </c>
      <c r="AK6" t="inlineStr">
        <is>
          <t>人民币</t>
        </is>
      </c>
      <c r="AL6" t="n">
        <v>40878</v>
      </c>
      <c r="AM6" t="n">
        <v/>
      </c>
      <c r="AN6" t="n">
        <v>30082</v>
      </c>
      <c r="AO6" t="n">
        <v/>
      </c>
      <c r="AP6" t="inlineStr">
        <is>
          <t>顾吟湫</t>
        </is>
      </c>
      <c r="AQ6" t="inlineStr">
        <is>
          <t>人民币</t>
        </is>
      </c>
      <c r="AR6" t="n">
        <v>2329000</v>
      </c>
      <c r="AS6" t="n">
        <v>603198</v>
      </c>
      <c r="AT6" t="n">
        <v>603198</v>
      </c>
      <c r="AU6" t="n">
        <v>603198</v>
      </c>
      <c r="AV6" t="n">
        <v>603198</v>
      </c>
      <c r="AW6" t="inlineStr">
        <is>
          <t>603198</t>
        </is>
      </c>
      <c r="AX6" t="inlineStr">
        <is>
          <t>无</t>
        </is>
      </c>
      <c r="AY6" t="inlineStr">
        <is>
          <t xml:space="preserve"> </t>
        </is>
      </c>
      <c r="AZ6" t="inlineStr">
        <is>
          <t xml:space="preserve"> </t>
        </is>
      </c>
      <c r="BA6" t="n">
        <v>1.1648</v>
      </c>
      <c r="BB6" t="n">
        <v>0</v>
      </c>
      <c r="BC6" t="inlineStr">
        <is>
          <t>缺省券商</t>
        </is>
      </c>
      <c r="BD6" t="inlineStr">
        <is>
          <t>交易所业务</t>
        </is>
      </c>
      <c r="BE6" t="inlineStr">
        <is>
          <t>不是ETF补券指令</t>
        </is>
      </c>
      <c r="BF6" t="inlineStr">
        <is>
          <t>2,329,000.00</t>
        </is>
      </c>
      <c r="BG6" t="n">
        <v>38.94</v>
      </c>
      <c r="BH6" t="inlineStr">
        <is>
          <t>非强平</t>
        </is>
      </c>
      <c r="BI6" t="inlineStr">
        <is>
          <t>顾吟湫</t>
        </is>
      </c>
      <c r="BJ6" t="inlineStr">
        <is>
          <t>否</t>
        </is>
      </c>
      <c r="BK6" t="inlineStr">
        <is>
          <t>限价</t>
        </is>
      </c>
      <c r="BL6" t="n">
        <v/>
      </c>
      <c r="BM6" t="n">
        <v>0</v>
      </c>
      <c r="BN6" t="n">
        <v>46.25</v>
      </c>
      <c r="BO6" t="inlineStr">
        <is>
          <t>股票</t>
        </is>
      </c>
      <c r="BP6" t="n">
        <v/>
      </c>
      <c r="BQ6" t="n">
        <v/>
      </c>
      <c r="BR6" t="n">
        <v>0</v>
      </c>
      <c r="BS6" t="inlineStr">
        <is>
          <t>已成交</t>
        </is>
      </c>
    </row>
    <row r="7">
      <c r="A7" t="n">
        <v>6</v>
      </c>
      <c r="B7" t="inlineStr">
        <is>
          <t>2026-01-22</t>
        </is>
      </c>
      <c r="C7" t="n">
        <v>3008</v>
      </c>
      <c r="D7" t="inlineStr">
        <is>
          <t>自营权益4</t>
        </is>
      </c>
      <c r="E7" t="n">
        <v>3008</v>
      </c>
      <c r="F7" t="n">
        <v>603369</v>
      </c>
      <c r="G7" t="inlineStr">
        <is>
          <t>今世缘</t>
        </is>
      </c>
      <c r="H7" t="inlineStr">
        <is>
          <t>卖出</t>
        </is>
      </c>
      <c r="I7" t="n">
        <v>33.91</v>
      </c>
      <c r="J7" t="n">
        <v>34.06</v>
      </c>
      <c r="K7" t="n">
        <v>60000</v>
      </c>
      <c r="L7" t="n">
        <v>2042778</v>
      </c>
      <c r="M7" t="n">
        <v>110</v>
      </c>
      <c r="N7" t="n">
        <v>34.04</v>
      </c>
      <c r="O7" t="n">
        <v>34.06</v>
      </c>
      <c r="P7" t="n">
        <v>34.0463</v>
      </c>
      <c r="Q7" t="n">
        <v>34.0463</v>
      </c>
      <c r="R7" t="n">
        <v>34.0463</v>
      </c>
      <c r="S7" t="inlineStr">
        <is>
          <t>上交所A</t>
        </is>
      </c>
      <c r="T7" t="n">
        <v>7359607</v>
      </c>
      <c r="U7" t="n">
        <v>0.8153</v>
      </c>
      <c r="V7" t="n">
        <v>250690671</v>
      </c>
      <c r="W7" t="n">
        <v>300821</v>
      </c>
      <c r="X7" t="inlineStr">
        <is>
          <t>自营权益4（场内）</t>
        </is>
      </c>
      <c r="Y7" t="n">
        <v>60000</v>
      </c>
      <c r="Z7" t="n">
        <v>34.31</v>
      </c>
      <c r="AA7" t="n">
        <v>33.88</v>
      </c>
      <c r="AB7" t="n">
        <v>7</v>
      </c>
      <c r="AC7" t="inlineStr">
        <is>
          <t>叶盛</t>
        </is>
      </c>
      <c r="AD7" t="inlineStr">
        <is>
          <t>股票资产</t>
        </is>
      </c>
      <c r="AE7" t="n">
        <v>-0.9059</v>
      </c>
      <c r="AF7" t="n">
        <v>0.8149</v>
      </c>
      <c r="AG7" t="n">
        <v>-0.0493</v>
      </c>
      <c r="AH7" t="n">
        <v>60000</v>
      </c>
      <c r="AI7" t="n">
        <v>46</v>
      </c>
      <c r="AJ7" t="inlineStr">
        <is>
          <t>自营权益4（场内）</t>
        </is>
      </c>
      <c r="AK7" t="inlineStr">
        <is>
          <t>人民币</t>
        </is>
      </c>
      <c r="AL7" t="n">
        <v>40878</v>
      </c>
      <c r="AM7" t="n">
        <v/>
      </c>
      <c r="AN7" t="n">
        <v>30082</v>
      </c>
      <c r="AO7" t="n">
        <v/>
      </c>
      <c r="AP7" t="inlineStr">
        <is>
          <t>顾吟湫</t>
        </is>
      </c>
      <c r="AQ7" t="inlineStr">
        <is>
          <t>人民币</t>
        </is>
      </c>
      <c r="AR7" t="n">
        <v>2042778</v>
      </c>
      <c r="AS7" t="n">
        <v>603369</v>
      </c>
      <c r="AT7" t="n">
        <v>603369</v>
      </c>
      <c r="AU7" t="n">
        <v>603369</v>
      </c>
      <c r="AV7" t="n">
        <v>603369</v>
      </c>
      <c r="AW7" t="inlineStr">
        <is>
          <t>603369</t>
        </is>
      </c>
      <c r="AX7" t="inlineStr">
        <is>
          <t>无</t>
        </is>
      </c>
      <c r="AY7" t="inlineStr">
        <is>
          <t xml:space="preserve"> </t>
        </is>
      </c>
      <c r="AZ7" t="inlineStr">
        <is>
          <t xml:space="preserve"> </t>
        </is>
      </c>
      <c r="BA7" t="n">
        <v>1.0217</v>
      </c>
      <c r="BB7" t="n">
        <v>0</v>
      </c>
      <c r="BC7" t="inlineStr">
        <is>
          <t>缺省券商</t>
        </is>
      </c>
      <c r="BD7" t="inlineStr">
        <is>
          <t>交易所业务</t>
        </is>
      </c>
      <c r="BE7" t="inlineStr">
        <is>
          <t>不是ETF补券指令</t>
        </is>
      </c>
      <c r="BF7" t="inlineStr">
        <is>
          <t>2,042,778.00</t>
        </is>
      </c>
      <c r="BG7" t="n">
        <v>34.2</v>
      </c>
      <c r="BH7" t="inlineStr">
        <is>
          <t>非强平</t>
        </is>
      </c>
      <c r="BI7" t="inlineStr">
        <is>
          <t>顾吟湫</t>
        </is>
      </c>
      <c r="BJ7" t="inlineStr">
        <is>
          <t>否</t>
        </is>
      </c>
      <c r="BK7" t="inlineStr">
        <is>
          <t>限价</t>
        </is>
      </c>
      <c r="BL7" t="n">
        <v/>
      </c>
      <c r="BM7" t="n">
        <v>0</v>
      </c>
      <c r="BN7" t="n">
        <v>26.61666666666667</v>
      </c>
      <c r="BO7" t="inlineStr">
        <is>
          <t>股票</t>
        </is>
      </c>
      <c r="BP7" t="n">
        <v/>
      </c>
      <c r="BQ7" t="n">
        <v/>
      </c>
      <c r="BR7" t="n">
        <v>0</v>
      </c>
      <c r="BS7" t="inlineStr">
        <is>
          <t>已成交</t>
        </is>
      </c>
    </row>
    <row r="8">
      <c r="A8" t="n">
        <v>7</v>
      </c>
      <c r="B8" t="inlineStr">
        <is>
          <t>2026-01-22</t>
        </is>
      </c>
      <c r="C8" t="n">
        <v>3008</v>
      </c>
      <c r="D8" t="inlineStr">
        <is>
          <t>自营权益4</t>
        </is>
      </c>
      <c r="E8" t="n">
        <v>3008</v>
      </c>
      <c r="F8" t="n">
        <v>788</v>
      </c>
      <c r="G8" t="inlineStr">
        <is>
          <t>中国铁塔</t>
        </is>
      </c>
      <c r="H8" t="inlineStr">
        <is>
          <t>买入</t>
        </is>
      </c>
      <c r="I8" t="n">
        <v>11.46</v>
      </c>
      <c r="J8" t="n">
        <v>11.42</v>
      </c>
      <c r="K8" t="n">
        <v>300000</v>
      </c>
      <c r="L8" t="n">
        <v>3426200</v>
      </c>
      <c r="M8" t="n">
        <v>65</v>
      </c>
      <c r="N8" t="n">
        <v>11.4</v>
      </c>
      <c r="O8" t="n">
        <v>11.44</v>
      </c>
      <c r="P8" t="n">
        <v>11.42066666666667</v>
      </c>
      <c r="Q8" t="n">
        <v>11.42066666666667</v>
      </c>
      <c r="R8" t="n">
        <v>11.42066666666667</v>
      </c>
      <c r="S8" t="inlineStr">
        <is>
          <t>港股通（深）</t>
        </is>
      </c>
      <c r="T8" t="n">
        <v>11116072</v>
      </c>
      <c r="U8" t="n">
        <v>2.6988</v>
      </c>
      <c r="V8" t="n">
        <v>126907137.4</v>
      </c>
      <c r="W8" t="n">
        <v>300841</v>
      </c>
      <c r="X8" t="inlineStr">
        <is>
          <t>自营权益4（深港）</t>
        </is>
      </c>
      <c r="Y8" t="n">
        <v>300000</v>
      </c>
      <c r="Z8" t="n">
        <v>11.46</v>
      </c>
      <c r="AA8" t="n">
        <v>11.35</v>
      </c>
      <c r="AB8" t="n">
        <v>9</v>
      </c>
      <c r="AC8" t="inlineStr">
        <is>
          <t>叶盛</t>
        </is>
      </c>
      <c r="AD8" t="inlineStr">
        <is>
          <t>股票资产</t>
        </is>
      </c>
      <c r="AE8" t="n">
        <v>0.5263</v>
      </c>
      <c r="AF8" t="n">
        <v>2.6998</v>
      </c>
      <c r="AG8" t="n">
        <v>-0.0368</v>
      </c>
      <c r="AH8" t="n">
        <v>300000</v>
      </c>
      <c r="AI8" t="n">
        <v>53</v>
      </c>
      <c r="AJ8" t="inlineStr">
        <is>
          <t>自营权益4（深港）</t>
        </is>
      </c>
      <c r="AK8" t="inlineStr">
        <is>
          <t>人民币</t>
        </is>
      </c>
      <c r="AL8" t="n">
        <v>6111</v>
      </c>
      <c r="AM8" t="n">
        <v/>
      </c>
      <c r="AN8" t="n">
        <v>30084</v>
      </c>
      <c r="AO8" t="n">
        <v/>
      </c>
      <c r="AP8" t="inlineStr">
        <is>
          <t>顾吟湫</t>
        </is>
      </c>
      <c r="AQ8" t="inlineStr">
        <is>
          <t>人民币</t>
        </is>
      </c>
      <c r="AR8" t="n">
        <v>3058945.64</v>
      </c>
      <c r="AS8" t="n">
        <v/>
      </c>
      <c r="AT8" t="n">
        <v/>
      </c>
      <c r="AU8" t="n">
        <v/>
      </c>
      <c r="AV8" t="n">
        <v/>
      </c>
      <c r="AW8" t="inlineStr">
        <is>
          <t>CNE100006V65</t>
        </is>
      </c>
      <c r="AX8" t="inlineStr">
        <is>
          <t>无</t>
        </is>
      </c>
      <c r="AY8" t="inlineStr">
        <is>
          <t xml:space="preserve"> </t>
        </is>
      </c>
      <c r="AZ8" t="inlineStr">
        <is>
          <t xml:space="preserve"> </t>
        </is>
      </c>
      <c r="BA8" t="n">
        <v>1.5299</v>
      </c>
      <c r="BB8" t="n">
        <v>0</v>
      </c>
      <c r="BC8" t="inlineStr">
        <is>
          <t>缺省券商</t>
        </is>
      </c>
      <c r="BD8" t="inlineStr">
        <is>
          <t>交易所业务</t>
        </is>
      </c>
      <c r="BE8" t="inlineStr">
        <is>
          <t>不是ETF补券指令</t>
        </is>
      </c>
      <c r="BF8" t="inlineStr">
        <is>
          <t>-3,426,200.00</t>
        </is>
      </c>
      <c r="BG8" t="n">
        <v>0</v>
      </c>
      <c r="BH8" t="inlineStr">
        <is>
          <t>非强平</t>
        </is>
      </c>
      <c r="BI8" t="inlineStr">
        <is>
          <t>顾吟湫</t>
        </is>
      </c>
      <c r="BJ8" t="inlineStr">
        <is>
          <t>否</t>
        </is>
      </c>
      <c r="BK8" t="inlineStr">
        <is>
          <t>增强限价盘</t>
        </is>
      </c>
      <c r="BL8" t="n">
        <v/>
      </c>
      <c r="BM8" t="n">
        <v>0</v>
      </c>
      <c r="BN8" t="n">
        <v>61.38333333333333</v>
      </c>
      <c r="BO8" t="inlineStr">
        <is>
          <t>股票</t>
        </is>
      </c>
      <c r="BP8" t="n">
        <v/>
      </c>
      <c r="BQ8" t="n">
        <v/>
      </c>
      <c r="BR8" t="n">
        <v>0</v>
      </c>
      <c r="BS8" t="inlineStr">
        <is>
          <t>已成交</t>
        </is>
      </c>
    </row>
    <row r="9">
      <c r="A9" t="n">
        <v>8</v>
      </c>
      <c r="B9" t="inlineStr">
        <is>
          <t>2026-01-23</t>
        </is>
      </c>
      <c r="C9" t="n">
        <v>3008</v>
      </c>
      <c r="D9" t="inlineStr">
        <is>
          <t>自营权益4</t>
        </is>
      </c>
      <c r="E9" t="n">
        <v>3008</v>
      </c>
      <c r="F9" t="n">
        <v>788</v>
      </c>
      <c r="G9" t="inlineStr">
        <is>
          <t>中国铁塔</t>
        </is>
      </c>
      <c r="H9" t="inlineStr">
        <is>
          <t>买入</t>
        </is>
      </c>
      <c r="I9" t="n">
        <v>11.38</v>
      </c>
      <c r="J9" t="n">
        <v>11.38</v>
      </c>
      <c r="K9" t="n">
        <v>100000</v>
      </c>
      <c r="L9" t="n">
        <v>1137000</v>
      </c>
      <c r="M9" t="n">
        <v>26</v>
      </c>
      <c r="N9" t="n">
        <v>11.37</v>
      </c>
      <c r="O9" t="n">
        <v>11.37</v>
      </c>
      <c r="P9" t="n">
        <v>11.37</v>
      </c>
      <c r="Q9" t="n">
        <v>11.37</v>
      </c>
      <c r="R9" t="n">
        <v>11.37</v>
      </c>
      <c r="S9" t="inlineStr">
        <is>
          <t>港股通（深）</t>
        </is>
      </c>
      <c r="T9" t="n">
        <v>9203678</v>
      </c>
      <c r="U9" t="n">
        <v>1.0865</v>
      </c>
      <c r="V9" t="n">
        <v>104767682.69</v>
      </c>
      <c r="W9" t="n">
        <v>300841</v>
      </c>
      <c r="X9" t="inlineStr">
        <is>
          <t>自营权益4（深港）</t>
        </is>
      </c>
      <c r="Y9" t="n">
        <v>100000</v>
      </c>
      <c r="Z9" t="n">
        <v>11.46</v>
      </c>
      <c r="AA9" t="n">
        <v>11.35</v>
      </c>
      <c r="AB9" t="n">
        <v>1</v>
      </c>
      <c r="AC9" t="inlineStr">
        <is>
          <t>叶盛</t>
        </is>
      </c>
      <c r="AD9" t="inlineStr">
        <is>
          <t>股票资产</t>
        </is>
      </c>
      <c r="AE9" t="n">
        <v>-0.6981000000000001</v>
      </c>
      <c r="AF9" t="n">
        <v>1.0853</v>
      </c>
      <c r="AG9" t="n">
        <v>0.116</v>
      </c>
      <c r="AH9" t="n">
        <v>100000</v>
      </c>
      <c r="AI9" t="n">
        <v>53</v>
      </c>
      <c r="AJ9" t="inlineStr">
        <is>
          <t>自营权益4（深港）</t>
        </is>
      </c>
      <c r="AK9" t="inlineStr">
        <is>
          <t>人民币</t>
        </is>
      </c>
      <c r="AL9" t="n">
        <v>6111</v>
      </c>
      <c r="AM9" t="n">
        <v/>
      </c>
      <c r="AN9" t="n">
        <v>30084</v>
      </c>
      <c r="AO9" t="n">
        <v/>
      </c>
      <c r="AP9" t="inlineStr">
        <is>
          <t>顾吟湫</t>
        </is>
      </c>
      <c r="AQ9" t="inlineStr">
        <is>
          <t>人民币</t>
        </is>
      </c>
      <c r="AR9" t="n">
        <v>1014897.59</v>
      </c>
      <c r="AS9" t="n">
        <v/>
      </c>
      <c r="AT9" t="n">
        <v/>
      </c>
      <c r="AU9" t="n">
        <v/>
      </c>
      <c r="AV9" t="n">
        <v/>
      </c>
      <c r="AW9" t="inlineStr">
        <is>
          <t>CNE100006V65</t>
        </is>
      </c>
      <c r="AX9" t="inlineStr">
        <is>
          <t>无</t>
        </is>
      </c>
      <c r="AY9" t="inlineStr">
        <is>
          <t xml:space="preserve"> </t>
        </is>
      </c>
      <c r="AZ9" t="inlineStr">
        <is>
          <t xml:space="preserve"> </t>
        </is>
      </c>
      <c r="BA9" t="n">
        <v>0.5178</v>
      </c>
      <c r="BB9" t="n">
        <v>0</v>
      </c>
      <c r="BC9" t="inlineStr">
        <is>
          <t>缺省券商</t>
        </is>
      </c>
      <c r="BD9" t="inlineStr">
        <is>
          <t>交易所业务</t>
        </is>
      </c>
      <c r="BE9" t="inlineStr">
        <is>
          <t>不是ETF补券指令</t>
        </is>
      </c>
      <c r="BF9" t="inlineStr">
        <is>
          <t>-1,137,000.00</t>
        </is>
      </c>
      <c r="BG9" t="n">
        <v>0</v>
      </c>
      <c r="BH9" t="inlineStr">
        <is>
          <t>非强平</t>
        </is>
      </c>
      <c r="BI9" t="inlineStr">
        <is>
          <t>顾吟湫</t>
        </is>
      </c>
      <c r="BJ9" t="inlineStr">
        <is>
          <t>否</t>
        </is>
      </c>
      <c r="BK9" t="inlineStr">
        <is>
          <t>增强限价盘</t>
        </is>
      </c>
      <c r="BL9" t="n">
        <v/>
      </c>
      <c r="BM9" t="n">
        <v>0</v>
      </c>
      <c r="BN9" t="n">
        <v>0</v>
      </c>
      <c r="BO9" t="inlineStr">
        <is>
          <t>股票</t>
        </is>
      </c>
      <c r="BP9" t="n">
        <v/>
      </c>
      <c r="BQ9" t="n">
        <v/>
      </c>
      <c r="BR9" t="n">
        <v>0</v>
      </c>
      <c r="BS9" t="inlineStr">
        <is>
          <t>已成交</t>
        </is>
      </c>
    </row>
    <row r="10">
      <c r="A10" t="n">
        <v>9</v>
      </c>
      <c r="B10" t="inlineStr">
        <is>
          <t>2026-01-26</t>
        </is>
      </c>
      <c r="C10" t="n">
        <v>3008</v>
      </c>
      <c r="D10" t="inlineStr">
        <is>
          <t>自营权益4</t>
        </is>
      </c>
      <c r="E10" t="n">
        <v>3008</v>
      </c>
      <c r="F10" t="n">
        <v>600519</v>
      </c>
      <c r="G10" t="inlineStr">
        <is>
          <t>贵州茅台</t>
        </is>
      </c>
      <c r="H10" t="inlineStr">
        <is>
          <t>卖出</t>
        </is>
      </c>
      <c r="I10" t="n">
        <v>1342</v>
      </c>
      <c r="J10" t="n">
        <v>1341.12</v>
      </c>
      <c r="K10" t="n">
        <v>100</v>
      </c>
      <c r="L10" t="n">
        <v>134750</v>
      </c>
      <c r="M10" t="n">
        <v>1</v>
      </c>
      <c r="N10" t="n">
        <v>1347.5</v>
      </c>
      <c r="O10" t="n">
        <v>1347.5</v>
      </c>
      <c r="P10" t="n">
        <v>1347.5</v>
      </c>
      <c r="Q10" t="n">
        <v>1347.5</v>
      </c>
      <c r="R10" t="n">
        <v>1347.5</v>
      </c>
      <c r="S10" t="inlineStr">
        <is>
          <t>上交所A</t>
        </is>
      </c>
      <c r="T10" t="n">
        <v>8016606</v>
      </c>
      <c r="U10" t="n">
        <v>0.0012</v>
      </c>
      <c r="V10" t="n">
        <v>10751225525</v>
      </c>
      <c r="W10" t="n">
        <v>300821</v>
      </c>
      <c r="X10" t="inlineStr">
        <is>
          <t>自营权益4（场内）</t>
        </is>
      </c>
      <c r="Y10" t="n">
        <v>100</v>
      </c>
      <c r="Z10" t="n">
        <v>1355</v>
      </c>
      <c r="AA10" t="n">
        <v>1325.12</v>
      </c>
      <c r="AB10" t="n">
        <v>1</v>
      </c>
      <c r="AC10" t="inlineStr">
        <is>
          <t>叶盛</t>
        </is>
      </c>
      <c r="AD10" t="inlineStr">
        <is>
          <t>股票资产</t>
        </is>
      </c>
      <c r="AE10" t="n">
        <v>0.374</v>
      </c>
      <c r="AF10" t="n">
        <v>0.0013</v>
      </c>
      <c r="AG10" t="n">
        <v>0.4758</v>
      </c>
      <c r="AH10" t="n">
        <v>100</v>
      </c>
      <c r="AI10" t="n">
        <v>46</v>
      </c>
      <c r="AJ10" t="inlineStr">
        <is>
          <t>自营权益4（场内）</t>
        </is>
      </c>
      <c r="AK10" t="inlineStr">
        <is>
          <t>人民币</t>
        </is>
      </c>
      <c r="AL10" t="n">
        <v>40878</v>
      </c>
      <c r="AM10" t="n">
        <v/>
      </c>
      <c r="AN10" t="n">
        <v>30082</v>
      </c>
      <c r="AO10" t="n">
        <v/>
      </c>
      <c r="AP10" t="inlineStr">
        <is>
          <t>顾吟湫</t>
        </is>
      </c>
      <c r="AQ10" t="inlineStr">
        <is>
          <t>人民币</t>
        </is>
      </c>
      <c r="AR10" t="n">
        <v>134750</v>
      </c>
      <c r="AS10" t="n">
        <v>600519</v>
      </c>
      <c r="AT10" t="n">
        <v>600519</v>
      </c>
      <c r="AU10" t="n">
        <v>600519</v>
      </c>
      <c r="AV10" t="n">
        <v>600519</v>
      </c>
      <c r="AW10" t="inlineStr">
        <is>
          <t>600519</t>
        </is>
      </c>
      <c r="AX10" t="inlineStr">
        <is>
          <t>无</t>
        </is>
      </c>
      <c r="AY10" t="inlineStr">
        <is>
          <t xml:space="preserve"> </t>
        </is>
      </c>
      <c r="AZ10" t="inlineStr">
        <is>
          <t xml:space="preserve"> </t>
        </is>
      </c>
      <c r="BA10" t="n">
        <v>0.0688</v>
      </c>
      <c r="BB10" t="n">
        <v>0</v>
      </c>
      <c r="BC10" t="inlineStr">
        <is>
          <t>缺省券商</t>
        </is>
      </c>
      <c r="BD10" t="inlineStr">
        <is>
          <t>交易所业务</t>
        </is>
      </c>
      <c r="BE10" t="inlineStr">
        <is>
          <t>不是ETF补券指令</t>
        </is>
      </c>
      <c r="BF10" t="inlineStr">
        <is>
          <t>134,750.00</t>
        </is>
      </c>
      <c r="BG10" t="n">
        <v>1340.51</v>
      </c>
      <c r="BH10" t="inlineStr">
        <is>
          <t>非强平</t>
        </is>
      </c>
      <c r="BI10" t="inlineStr">
        <is>
          <t>顾吟湫</t>
        </is>
      </c>
      <c r="BJ10" t="inlineStr">
        <is>
          <t>否</t>
        </is>
      </c>
      <c r="BK10" t="inlineStr">
        <is>
          <t>限价</t>
        </is>
      </c>
      <c r="BL10" t="n">
        <v/>
      </c>
      <c r="BM10" t="n">
        <v>0</v>
      </c>
      <c r="BN10" t="n">
        <v>0.01666666666666667</v>
      </c>
      <c r="BO10" t="inlineStr">
        <is>
          <t>股票</t>
        </is>
      </c>
      <c r="BP10" t="n">
        <v/>
      </c>
      <c r="BQ10" t="n">
        <v/>
      </c>
      <c r="BR10" t="n">
        <v>0</v>
      </c>
      <c r="BS10" t="inlineStr">
        <is>
          <t>已成交</t>
        </is>
      </c>
    </row>
    <row r="11">
      <c r="A11" t="n">
        <v>10</v>
      </c>
      <c r="B11" t="inlineStr">
        <is>
          <t>2026-01-26</t>
        </is>
      </c>
      <c r="C11" t="n">
        <v>3008</v>
      </c>
      <c r="D11" t="inlineStr">
        <is>
          <t>自营权益4</t>
        </is>
      </c>
      <c r="E11" t="n">
        <v>3008</v>
      </c>
      <c r="F11" t="n">
        <v>322</v>
      </c>
      <c r="G11" t="inlineStr">
        <is>
          <t>康师傅控股</t>
        </is>
      </c>
      <c r="H11" t="inlineStr">
        <is>
          <t>买入</t>
        </is>
      </c>
      <c r="I11" t="n">
        <v>11.64</v>
      </c>
      <c r="J11" t="n">
        <v>11.7</v>
      </c>
      <c r="K11" t="n">
        <v>50000</v>
      </c>
      <c r="L11" t="n">
        <v>577500</v>
      </c>
      <c r="M11" t="n">
        <v>19</v>
      </c>
      <c r="N11" t="n">
        <v>11.55</v>
      </c>
      <c r="O11" t="n">
        <v>11.55</v>
      </c>
      <c r="P11" t="n">
        <v>11.55</v>
      </c>
      <c r="Q11" t="n">
        <v>11.55</v>
      </c>
      <c r="R11" t="n">
        <v>11.55</v>
      </c>
      <c r="S11" t="inlineStr">
        <is>
          <t>港股通（深）</t>
        </is>
      </c>
      <c r="T11" t="n">
        <v>18004148</v>
      </c>
      <c r="U11" t="n">
        <v>0.2777</v>
      </c>
      <c r="V11" t="n">
        <v>210640936.92</v>
      </c>
      <c r="W11" t="n">
        <v>300841</v>
      </c>
      <c r="X11" t="inlineStr">
        <is>
          <t>自营权益4（深港）</t>
        </is>
      </c>
      <c r="Y11" t="n">
        <v>50000</v>
      </c>
      <c r="Z11" t="n">
        <v>12.4</v>
      </c>
      <c r="AA11" t="n">
        <v>11.5</v>
      </c>
      <c r="AB11" t="n">
        <v>1</v>
      </c>
      <c r="AC11" t="inlineStr">
        <is>
          <t>叶盛</t>
        </is>
      </c>
      <c r="AD11" t="inlineStr">
        <is>
          <t>股票资产</t>
        </is>
      </c>
      <c r="AE11" t="n">
        <v>-4.5902</v>
      </c>
      <c r="AF11" t="n">
        <v>0.2742</v>
      </c>
      <c r="AG11" t="n">
        <v>1.2787</v>
      </c>
      <c r="AH11" t="n">
        <v>50000</v>
      </c>
      <c r="AI11" t="n">
        <v>53</v>
      </c>
      <c r="AJ11" t="inlineStr">
        <is>
          <t>自营权益4（深港）</t>
        </is>
      </c>
      <c r="AK11" t="inlineStr">
        <is>
          <t>人民币</t>
        </is>
      </c>
      <c r="AL11" t="n">
        <v>6111</v>
      </c>
      <c r="AM11" t="n">
        <v/>
      </c>
      <c r="AN11" t="n">
        <v>30084</v>
      </c>
      <c r="AO11" t="n">
        <v/>
      </c>
      <c r="AP11" t="inlineStr">
        <is>
          <t>顾吟湫</t>
        </is>
      </c>
      <c r="AQ11" t="inlineStr">
        <is>
          <t>人民币</t>
        </is>
      </c>
      <c r="AR11" t="n">
        <v>515545.76</v>
      </c>
      <c r="AS11" t="n">
        <v/>
      </c>
      <c r="AT11" t="n">
        <v/>
      </c>
      <c r="AU11" t="n">
        <v/>
      </c>
      <c r="AV11" t="n">
        <v/>
      </c>
      <c r="AW11" t="inlineStr">
        <is>
          <t>KYG8878S1030</t>
        </is>
      </c>
      <c r="AX11" t="inlineStr">
        <is>
          <t>无</t>
        </is>
      </c>
      <c r="AY11" t="inlineStr">
        <is>
          <t xml:space="preserve"> </t>
        </is>
      </c>
      <c r="AZ11" t="inlineStr">
        <is>
          <t xml:space="preserve"> </t>
        </is>
      </c>
      <c r="BA11" t="n">
        <v>0.263</v>
      </c>
      <c r="BB11" t="n">
        <v>0</v>
      </c>
      <c r="BC11" t="inlineStr">
        <is>
          <t>缺省券商</t>
        </is>
      </c>
      <c r="BD11" t="inlineStr">
        <is>
          <t>交易所业务</t>
        </is>
      </c>
      <c r="BE11" t="inlineStr">
        <is>
          <t>不是ETF补券指令</t>
        </is>
      </c>
      <c r="BF11" t="inlineStr">
        <is>
          <t>-577,500.00</t>
        </is>
      </c>
      <c r="BG11" t="n">
        <v>0</v>
      </c>
      <c r="BH11" t="inlineStr">
        <is>
          <t>非强平</t>
        </is>
      </c>
      <c r="BI11" t="inlineStr">
        <is>
          <t>顾吟湫</t>
        </is>
      </c>
      <c r="BJ11" t="inlineStr">
        <is>
          <t>否</t>
        </is>
      </c>
      <c r="BK11" t="inlineStr">
        <is>
          <t>增强限价盘</t>
        </is>
      </c>
      <c r="BL11" t="n">
        <v/>
      </c>
      <c r="BM11" t="n">
        <v>0</v>
      </c>
      <c r="BN11" t="n">
        <v>4.416666666666667</v>
      </c>
      <c r="BO11" t="inlineStr">
        <is>
          <t>股票</t>
        </is>
      </c>
      <c r="BP11" t="n">
        <v/>
      </c>
      <c r="BQ11" t="n">
        <v/>
      </c>
      <c r="BR11" t="n">
        <v>0</v>
      </c>
      <c r="BS11" t="inlineStr">
        <is>
          <t>已成交</t>
        </is>
      </c>
    </row>
    <row r="12">
      <c r="A12" t="n">
        <v>11</v>
      </c>
      <c r="B12" t="inlineStr">
        <is>
          <t>2026-01-26</t>
        </is>
      </c>
      <c r="C12" t="n">
        <v>3008</v>
      </c>
      <c r="D12" t="inlineStr">
        <is>
          <t>自营权益4</t>
        </is>
      </c>
      <c r="E12" t="n">
        <v>3008</v>
      </c>
      <c r="F12" t="n">
        <v>2607</v>
      </c>
      <c r="G12" t="inlineStr">
        <is>
          <t>上海医药</t>
        </is>
      </c>
      <c r="H12" t="inlineStr">
        <is>
          <t>卖出</t>
        </is>
      </c>
      <c r="I12" t="n">
        <v>12.12</v>
      </c>
      <c r="J12" t="n">
        <v>12.06</v>
      </c>
      <c r="K12" t="n">
        <v>100000</v>
      </c>
      <c r="L12" t="n">
        <v>1206000</v>
      </c>
      <c r="M12" t="n">
        <v>13</v>
      </c>
      <c r="N12" t="n">
        <v>12.05</v>
      </c>
      <c r="O12" t="n">
        <v>12.07</v>
      </c>
      <c r="P12" t="n">
        <v>12.06</v>
      </c>
      <c r="Q12" t="n">
        <v>12.06</v>
      </c>
      <c r="R12" t="n">
        <v>12.06</v>
      </c>
      <c r="S12" t="inlineStr">
        <is>
          <t>港股通（深）</t>
        </is>
      </c>
      <c r="T12" t="n">
        <v>2259945</v>
      </c>
      <c r="U12" t="n">
        <v>4.4249</v>
      </c>
      <c r="V12" t="n">
        <v>27259165.7</v>
      </c>
      <c r="W12" t="n">
        <v>300841</v>
      </c>
      <c r="X12" t="inlineStr">
        <is>
          <t>自营权益4（深港）</t>
        </is>
      </c>
      <c r="Y12" t="n">
        <v>100000</v>
      </c>
      <c r="Z12" t="n">
        <v>12.12</v>
      </c>
      <c r="AA12" t="n">
        <v>11.94</v>
      </c>
      <c r="AB12" t="n">
        <v>3</v>
      </c>
      <c r="AC12" t="inlineStr">
        <is>
          <t>叶盛</t>
        </is>
      </c>
      <c r="AD12" t="inlineStr">
        <is>
          <t>股票资产</t>
        </is>
      </c>
      <c r="AE12" t="n">
        <v>1.1686</v>
      </c>
      <c r="AF12" t="n">
        <v>4.4242</v>
      </c>
      <c r="AG12" t="n">
        <v>-0.0158</v>
      </c>
      <c r="AH12" t="n">
        <v>100000</v>
      </c>
      <c r="AI12" t="n">
        <v>53</v>
      </c>
      <c r="AJ12" t="inlineStr">
        <is>
          <t>自营权益4（深港）</t>
        </is>
      </c>
      <c r="AK12" t="inlineStr">
        <is>
          <t>人民币</t>
        </is>
      </c>
      <c r="AL12" t="n">
        <v>6111</v>
      </c>
      <c r="AM12" t="n">
        <v/>
      </c>
      <c r="AN12" t="n">
        <v>30084</v>
      </c>
      <c r="AO12" t="n">
        <v/>
      </c>
      <c r="AP12" t="inlineStr">
        <is>
          <t>顾吟湫</t>
        </is>
      </c>
      <c r="AQ12" t="inlineStr">
        <is>
          <t>人民币</t>
        </is>
      </c>
      <c r="AR12" t="n">
        <v>1076572.05</v>
      </c>
      <c r="AS12" t="n">
        <v/>
      </c>
      <c r="AT12" t="n">
        <v/>
      </c>
      <c r="AU12" t="n">
        <v/>
      </c>
      <c r="AV12" t="n">
        <v/>
      </c>
      <c r="AW12" t="inlineStr">
        <is>
          <t>CNE1000012B3</t>
        </is>
      </c>
      <c r="AX12" t="inlineStr">
        <is>
          <t>无</t>
        </is>
      </c>
      <c r="AY12" t="inlineStr">
        <is>
          <t xml:space="preserve"> </t>
        </is>
      </c>
      <c r="AZ12" t="inlineStr">
        <is>
          <t xml:space="preserve"> </t>
        </is>
      </c>
      <c r="BA12" t="n">
        <v>0.5493</v>
      </c>
      <c r="BB12" t="n">
        <v>0</v>
      </c>
      <c r="BC12" t="inlineStr">
        <is>
          <t>缺省券商</t>
        </is>
      </c>
      <c r="BD12" t="inlineStr">
        <is>
          <t>交易所业务</t>
        </is>
      </c>
      <c r="BE12" t="inlineStr">
        <is>
          <t>不是ETF补券指令</t>
        </is>
      </c>
      <c r="BF12" t="inlineStr">
        <is>
          <t>1,206,000.00</t>
        </is>
      </c>
      <c r="BG12" t="n">
        <v>0</v>
      </c>
      <c r="BH12" t="inlineStr">
        <is>
          <t>非强平</t>
        </is>
      </c>
      <c r="BI12" t="inlineStr">
        <is>
          <t>顾吟湫</t>
        </is>
      </c>
      <c r="BJ12" t="inlineStr">
        <is>
          <t>否</t>
        </is>
      </c>
      <c r="BK12" t="inlineStr">
        <is>
          <t>增强限价盘</t>
        </is>
      </c>
      <c r="BL12" t="n">
        <v/>
      </c>
      <c r="BM12" t="n">
        <v>0</v>
      </c>
      <c r="BN12" t="n">
        <v>2.083333333333333</v>
      </c>
      <c r="BO12" t="inlineStr">
        <is>
          <t>股票</t>
        </is>
      </c>
      <c r="BP12" t="n">
        <v/>
      </c>
      <c r="BQ12" t="n">
        <v/>
      </c>
      <c r="BR12" t="n">
        <v>0</v>
      </c>
      <c r="BS12" t="inlineStr">
        <is>
          <t>已成交</t>
        </is>
      </c>
    </row>
    <row r="13">
      <c r="A13" t="n">
        <v>12</v>
      </c>
      <c r="B13" t="inlineStr">
        <is>
          <t>2026-01-27</t>
        </is>
      </c>
      <c r="C13" t="n">
        <v>3008</v>
      </c>
      <c r="D13" t="inlineStr">
        <is>
          <t>自营权益4</t>
        </is>
      </c>
      <c r="E13" t="n">
        <v>3008</v>
      </c>
      <c r="F13" t="n">
        <v>2318</v>
      </c>
      <c r="G13" t="inlineStr">
        <is>
          <t>中国平安</t>
        </is>
      </c>
      <c r="H13" t="inlineStr">
        <is>
          <t>卖出</t>
        </is>
      </c>
      <c r="I13" t="n">
        <v>69.7</v>
      </c>
      <c r="J13" t="n">
        <v>69.48</v>
      </c>
      <c r="K13" t="n">
        <v>10000</v>
      </c>
      <c r="L13" t="n">
        <v>689500</v>
      </c>
      <c r="M13" t="n">
        <v>4</v>
      </c>
      <c r="N13" t="n">
        <v>68.95</v>
      </c>
      <c r="O13" t="n">
        <v>68.95</v>
      </c>
      <c r="P13" t="n">
        <v>68.95</v>
      </c>
      <c r="Q13" t="n">
        <v>68.95</v>
      </c>
      <c r="R13" t="n">
        <v>68.95</v>
      </c>
      <c r="S13" t="inlineStr">
        <is>
          <t>港股通（深）</t>
        </is>
      </c>
      <c r="T13" t="n">
        <v>47392544</v>
      </c>
      <c r="U13" t="n">
        <v>0.0211</v>
      </c>
      <c r="V13" t="n">
        <v>3292829218.2</v>
      </c>
      <c r="W13" t="n">
        <v>300841</v>
      </c>
      <c r="X13" t="inlineStr">
        <is>
          <t>自营权益4（深港）</t>
        </is>
      </c>
      <c r="Y13" t="n">
        <v>10000</v>
      </c>
      <c r="Z13" t="n">
        <v>70.05</v>
      </c>
      <c r="AA13" t="n">
        <v>67.90000000000001</v>
      </c>
      <c r="AB13" t="n">
        <v>2</v>
      </c>
      <c r="AC13" t="inlineStr">
        <is>
          <t>叶盛</t>
        </is>
      </c>
      <c r="AD13" t="inlineStr">
        <is>
          <t>股票资产</t>
        </is>
      </c>
      <c r="AE13" t="n">
        <v>2.3495</v>
      </c>
      <c r="AF13" t="n">
        <v>0.0209</v>
      </c>
      <c r="AG13" t="n">
        <v>-0.7627</v>
      </c>
      <c r="AH13" t="n">
        <v>10000</v>
      </c>
      <c r="AI13" t="n">
        <v>53</v>
      </c>
      <c r="AJ13" t="inlineStr">
        <is>
          <t>自营权益4（深港）</t>
        </is>
      </c>
      <c r="AK13" t="inlineStr">
        <is>
          <t>人民币</t>
        </is>
      </c>
      <c r="AL13" t="n">
        <v>6111</v>
      </c>
      <c r="AM13" t="n">
        <v/>
      </c>
      <c r="AN13" t="n">
        <v>30084</v>
      </c>
      <c r="AO13" t="n">
        <v/>
      </c>
      <c r="AP13" t="inlineStr">
        <is>
          <t>顾吟湫</t>
        </is>
      </c>
      <c r="AQ13" t="inlineStr">
        <is>
          <t>人民币</t>
        </is>
      </c>
      <c r="AR13" t="n">
        <v>615034</v>
      </c>
      <c r="AS13" t="n">
        <v/>
      </c>
      <c r="AT13" t="n">
        <v/>
      </c>
      <c r="AU13" t="n">
        <v/>
      </c>
      <c r="AV13" t="n">
        <v/>
      </c>
      <c r="AW13" t="inlineStr">
        <is>
          <t>CNE1000003X6</t>
        </is>
      </c>
      <c r="AX13" t="inlineStr">
        <is>
          <t>无</t>
        </is>
      </c>
      <c r="AY13" t="inlineStr">
        <is>
          <t xml:space="preserve"> </t>
        </is>
      </c>
      <c r="AZ13" t="inlineStr">
        <is>
          <t xml:space="preserve"> </t>
        </is>
      </c>
      <c r="BA13" t="n">
        <v>0.3138</v>
      </c>
      <c r="BB13" t="n">
        <v>0</v>
      </c>
      <c r="BC13" t="inlineStr">
        <is>
          <t>缺省券商</t>
        </is>
      </c>
      <c r="BD13" t="inlineStr">
        <is>
          <t>交易所业务</t>
        </is>
      </c>
      <c r="BE13" t="inlineStr">
        <is>
          <t>不是ETF补券指令</t>
        </is>
      </c>
      <c r="BF13" t="inlineStr">
        <is>
          <t>689,500.00</t>
        </is>
      </c>
      <c r="BG13" t="n">
        <v>0</v>
      </c>
      <c r="BH13" t="inlineStr">
        <is>
          <t>非强平</t>
        </is>
      </c>
      <c r="BI13" t="inlineStr">
        <is>
          <t>顾吟湫</t>
        </is>
      </c>
      <c r="BJ13" t="inlineStr">
        <is>
          <t>否</t>
        </is>
      </c>
      <c r="BK13" t="inlineStr">
        <is>
          <t>增强限价盘</t>
        </is>
      </c>
      <c r="BL13" t="n">
        <v/>
      </c>
      <c r="BM13" t="n">
        <v>0</v>
      </c>
      <c r="BN13" t="n">
        <v>0.06666666666666667</v>
      </c>
      <c r="BO13" t="inlineStr">
        <is>
          <t>股票</t>
        </is>
      </c>
      <c r="BP13" t="n">
        <v/>
      </c>
      <c r="BQ13" t="n">
        <v/>
      </c>
      <c r="BR13" t="n">
        <v>0</v>
      </c>
      <c r="BS13" t="inlineStr">
        <is>
          <t>已成交</t>
        </is>
      </c>
    </row>
    <row r="14">
      <c r="A14" t="n">
        <v>13</v>
      </c>
      <c r="B14" t="inlineStr">
        <is>
          <t>2026-01-28</t>
        </is>
      </c>
      <c r="C14" t="n">
        <v>3008</v>
      </c>
      <c r="D14" t="inlineStr">
        <is>
          <t>自营权益4</t>
        </is>
      </c>
      <c r="E14" t="n">
        <v>3008</v>
      </c>
      <c r="F14" t="n">
        <v>600036</v>
      </c>
      <c r="G14" t="inlineStr">
        <is>
          <t>招商银行</t>
        </is>
      </c>
      <c r="H14" t="inlineStr">
        <is>
          <t>买入</t>
        </is>
      </c>
      <c r="I14" t="n">
        <v>37.8</v>
      </c>
      <c r="J14" t="n">
        <v>38</v>
      </c>
      <c r="K14" t="n">
        <v>28100</v>
      </c>
      <c r="L14" t="n">
        <v>1070084</v>
      </c>
      <c r="M14" t="n">
        <v>8</v>
      </c>
      <c r="N14" t="n">
        <v>38.03</v>
      </c>
      <c r="O14" t="n">
        <v>38.14</v>
      </c>
      <c r="P14" t="n">
        <v>38.08128113879003</v>
      </c>
      <c r="Q14" t="n">
        <v>38.08128113879003</v>
      </c>
      <c r="R14" t="n">
        <v>38.08128113879003</v>
      </c>
      <c r="S14" t="inlineStr">
        <is>
          <t>上交所A</t>
        </is>
      </c>
      <c r="T14" t="n">
        <v>204166688</v>
      </c>
      <c r="U14" t="n">
        <v>0.0138</v>
      </c>
      <c r="V14" t="n">
        <v>7757392685</v>
      </c>
      <c r="W14" t="n">
        <v>300821</v>
      </c>
      <c r="X14" t="inlineStr">
        <is>
          <t>自营权益4（场内）</t>
        </is>
      </c>
      <c r="Y14" t="n">
        <v>28100</v>
      </c>
      <c r="Z14" t="n">
        <v>38.44</v>
      </c>
      <c r="AA14" t="n">
        <v>37.7</v>
      </c>
      <c r="AB14" t="n">
        <v>2</v>
      </c>
      <c r="AC14" t="inlineStr">
        <is>
          <t>叶盛</t>
        </is>
      </c>
      <c r="AD14" t="inlineStr">
        <is>
          <t>股票资产</t>
        </is>
      </c>
      <c r="AE14" t="n">
        <v>-0.7874</v>
      </c>
      <c r="AF14" t="n">
        <v>0.0138</v>
      </c>
      <c r="AG14" t="n">
        <v>-0.2261</v>
      </c>
      <c r="AH14" t="n">
        <v>28100</v>
      </c>
      <c r="AI14" t="n">
        <v>46</v>
      </c>
      <c r="AJ14" t="inlineStr">
        <is>
          <t>自营权益4（场内）</t>
        </is>
      </c>
      <c r="AK14" t="inlineStr">
        <is>
          <t>人民币</t>
        </is>
      </c>
      <c r="AL14" t="n">
        <v>40878</v>
      </c>
      <c r="AM14" t="n">
        <v/>
      </c>
      <c r="AN14" t="n">
        <v>30082</v>
      </c>
      <c r="AO14" t="n">
        <v/>
      </c>
      <c r="AP14" t="inlineStr">
        <is>
          <t>顾吟湫</t>
        </is>
      </c>
      <c r="AQ14" t="inlineStr">
        <is>
          <t>人民币</t>
        </is>
      </c>
      <c r="AR14" t="n">
        <v>1070084</v>
      </c>
      <c r="AS14" t="n">
        <v>600036</v>
      </c>
      <c r="AT14" t="n">
        <v>600036</v>
      </c>
      <c r="AU14" t="n">
        <v>600036</v>
      </c>
      <c r="AV14" t="n">
        <v>600036</v>
      </c>
      <c r="AW14" t="inlineStr">
        <is>
          <t>600036</t>
        </is>
      </c>
      <c r="AX14" t="inlineStr">
        <is>
          <t>无</t>
        </is>
      </c>
      <c r="AY14" t="inlineStr">
        <is>
          <t xml:space="preserve"> </t>
        </is>
      </c>
      <c r="AZ14" t="inlineStr">
        <is>
          <t xml:space="preserve"> </t>
        </is>
      </c>
      <c r="BA14" t="n">
        <v>0.5342</v>
      </c>
      <c r="BB14" t="n">
        <v>0</v>
      </c>
      <c r="BC14" t="inlineStr">
        <is>
          <t>缺省券商</t>
        </is>
      </c>
      <c r="BD14" t="inlineStr">
        <is>
          <t>交易所业务</t>
        </is>
      </c>
      <c r="BE14" t="inlineStr">
        <is>
          <t>不是ETF补券指令</t>
        </is>
      </c>
      <c r="BF14" t="inlineStr">
        <is>
          <t>-1,070,084.00</t>
        </is>
      </c>
      <c r="BG14" t="n">
        <v>38.12</v>
      </c>
      <c r="BH14" t="inlineStr">
        <is>
          <t>非强平</t>
        </is>
      </c>
      <c r="BI14" t="inlineStr">
        <is>
          <t>顾吟湫</t>
        </is>
      </c>
      <c r="BJ14" t="inlineStr">
        <is>
          <t>否</t>
        </is>
      </c>
      <c r="BK14" t="inlineStr">
        <is>
          <t>限价</t>
        </is>
      </c>
      <c r="BL14" t="n">
        <v/>
      </c>
      <c r="BM14" t="n">
        <v>0</v>
      </c>
      <c r="BN14" t="n">
        <v>0.08333333333333333</v>
      </c>
      <c r="BO14" t="inlineStr">
        <is>
          <t>股票</t>
        </is>
      </c>
      <c r="BP14" t="n">
        <v/>
      </c>
      <c r="BQ14" t="n">
        <v/>
      </c>
      <c r="BR14" t="n">
        <v>0</v>
      </c>
      <c r="BS14" t="inlineStr">
        <is>
          <t>已成交</t>
        </is>
      </c>
    </row>
    <row r="15">
      <c r="A15" t="n">
        <v>14</v>
      </c>
      <c r="B15" t="inlineStr">
        <is>
          <t>2026-01-28</t>
        </is>
      </c>
      <c r="C15" t="n">
        <v>3008</v>
      </c>
      <c r="D15" t="inlineStr">
        <is>
          <t>自营权益4</t>
        </is>
      </c>
      <c r="E15" t="n">
        <v>3008</v>
      </c>
      <c r="F15" t="n">
        <v>601166</v>
      </c>
      <c r="G15" t="inlineStr">
        <is>
          <t>兴业银行</t>
        </is>
      </c>
      <c r="H15" t="inlineStr">
        <is>
          <t>买入</t>
        </is>
      </c>
      <c r="I15" t="n">
        <v>18.55</v>
      </c>
      <c r="J15" t="n">
        <v>18.67</v>
      </c>
      <c r="K15" t="n">
        <v>50100</v>
      </c>
      <c r="L15" t="n">
        <v>934330</v>
      </c>
      <c r="M15" t="n">
        <v>33</v>
      </c>
      <c r="N15" t="n">
        <v>18.64</v>
      </c>
      <c r="O15" t="n">
        <v>18.66</v>
      </c>
      <c r="P15" t="n">
        <v>18.64930139720559</v>
      </c>
      <c r="Q15" t="n">
        <v>18.64930139720559</v>
      </c>
      <c r="R15" t="n">
        <v>18.64930139720559</v>
      </c>
      <c r="S15" t="inlineStr">
        <is>
          <t>上交所A</t>
        </is>
      </c>
      <c r="T15" t="n">
        <v>204522726</v>
      </c>
      <c r="U15" t="n">
        <v>0.0245</v>
      </c>
      <c r="V15" t="n">
        <v>3817641687</v>
      </c>
      <c r="W15" t="n">
        <v>300821</v>
      </c>
      <c r="X15" t="inlineStr">
        <is>
          <t>自营权益4（场内）</t>
        </is>
      </c>
      <c r="Y15" t="n">
        <v>50100</v>
      </c>
      <c r="Z15" t="n">
        <v>18.89</v>
      </c>
      <c r="AA15" t="n">
        <v>18.51</v>
      </c>
      <c r="AB15" t="n">
        <v>3</v>
      </c>
      <c r="AC15" t="inlineStr">
        <is>
          <t>叶盛</t>
        </is>
      </c>
      <c r="AD15" t="inlineStr">
        <is>
          <t>股票资产</t>
        </is>
      </c>
      <c r="AE15" t="n">
        <v>-1.4346</v>
      </c>
      <c r="AF15" t="n">
        <v>0.0245</v>
      </c>
      <c r="AG15" t="n">
        <v>0.09</v>
      </c>
      <c r="AH15" t="n">
        <v>50100</v>
      </c>
      <c r="AI15" t="n">
        <v>46</v>
      </c>
      <c r="AJ15" t="inlineStr">
        <is>
          <t>自营权益4（场内）</t>
        </is>
      </c>
      <c r="AK15" t="inlineStr">
        <is>
          <t>人民币</t>
        </is>
      </c>
      <c r="AL15" t="n">
        <v>40878</v>
      </c>
      <c r="AM15" t="n">
        <v/>
      </c>
      <c r="AN15" t="n">
        <v>30082</v>
      </c>
      <c r="AO15" t="n">
        <v/>
      </c>
      <c r="AP15" t="inlineStr">
        <is>
          <t>顾吟湫</t>
        </is>
      </c>
      <c r="AQ15" t="inlineStr">
        <is>
          <t>人民币</t>
        </is>
      </c>
      <c r="AR15" t="n">
        <v>934330</v>
      </c>
      <c r="AS15" t="n">
        <v>601166</v>
      </c>
      <c r="AT15" t="n">
        <v>601166</v>
      </c>
      <c r="AU15" t="n">
        <v>601166</v>
      </c>
      <c r="AV15" t="n">
        <v>601166</v>
      </c>
      <c r="AW15" t="inlineStr">
        <is>
          <t>601166</t>
        </is>
      </c>
      <c r="AX15" t="inlineStr">
        <is>
          <t>无</t>
        </is>
      </c>
      <c r="AY15" t="inlineStr">
        <is>
          <t xml:space="preserve"> </t>
        </is>
      </c>
      <c r="AZ15" t="inlineStr">
        <is>
          <t xml:space="preserve"> </t>
        </is>
      </c>
      <c r="BA15" t="n">
        <v>0.4665</v>
      </c>
      <c r="BB15" t="n">
        <v>0</v>
      </c>
      <c r="BC15" t="inlineStr">
        <is>
          <t>缺省券商</t>
        </is>
      </c>
      <c r="BD15" t="inlineStr">
        <is>
          <t>交易所业务</t>
        </is>
      </c>
      <c r="BE15" t="inlineStr">
        <is>
          <t>不是ETF补券指令</t>
        </is>
      </c>
      <c r="BF15" t="inlineStr">
        <is>
          <t>-934,330.00</t>
        </is>
      </c>
      <c r="BG15" t="n">
        <v>18.81</v>
      </c>
      <c r="BH15" t="inlineStr">
        <is>
          <t>非强平</t>
        </is>
      </c>
      <c r="BI15" t="inlineStr">
        <is>
          <t>顾吟湫</t>
        </is>
      </c>
      <c r="BJ15" t="inlineStr">
        <is>
          <t>否</t>
        </is>
      </c>
      <c r="BK15" t="inlineStr">
        <is>
          <t>限价</t>
        </is>
      </c>
      <c r="BL15" t="n">
        <v/>
      </c>
      <c r="BM15" t="n">
        <v>0</v>
      </c>
      <c r="BN15" t="n">
        <v>2.033333333333333</v>
      </c>
      <c r="BO15" t="inlineStr">
        <is>
          <t>股票</t>
        </is>
      </c>
      <c r="BP15" t="n">
        <v/>
      </c>
      <c r="BQ15" t="n">
        <v/>
      </c>
      <c r="BR15" t="n">
        <v>0</v>
      </c>
      <c r="BS15" t="inlineStr">
        <is>
          <t>已成交</t>
        </is>
      </c>
    </row>
    <row r="16">
      <c r="A16" t="n">
        <v>15</v>
      </c>
      <c r="B16" t="inlineStr">
        <is>
          <t>2026-02-05</t>
        </is>
      </c>
      <c r="C16" t="n">
        <v>3008</v>
      </c>
      <c r="D16" t="inlineStr">
        <is>
          <t>自营权益4</t>
        </is>
      </c>
      <c r="E16" t="n">
        <v>3008</v>
      </c>
      <c r="F16" t="n">
        <v>600036</v>
      </c>
      <c r="G16" t="inlineStr">
        <is>
          <t>招商银行</t>
        </is>
      </c>
      <c r="H16" t="inlineStr">
        <is>
          <t>买入</t>
        </is>
      </c>
      <c r="I16" t="n">
        <v>39.71</v>
      </c>
      <c r="J16" t="n">
        <v>39.46</v>
      </c>
      <c r="K16" t="n">
        <v>21900</v>
      </c>
      <c r="L16" t="n">
        <v>860633</v>
      </c>
      <c r="M16" t="n">
        <v>34</v>
      </c>
      <c r="N16" t="n">
        <v>38.97</v>
      </c>
      <c r="O16" t="n">
        <v>39.33</v>
      </c>
      <c r="P16" t="n">
        <v>39.29831050228311</v>
      </c>
      <c r="Q16" t="n">
        <v>39.29831050228311</v>
      </c>
      <c r="R16" t="n">
        <v>39.29831050228311</v>
      </c>
      <c r="S16" t="inlineStr">
        <is>
          <t>上交所A</t>
        </is>
      </c>
      <c r="T16" t="n">
        <v>121889452</v>
      </c>
      <c r="U16" t="n">
        <v>0.018</v>
      </c>
      <c r="V16" t="n">
        <v>4810048757</v>
      </c>
      <c r="W16" t="n">
        <v>300821</v>
      </c>
      <c r="X16" t="inlineStr">
        <is>
          <t>自营权益4（场内）</t>
        </is>
      </c>
      <c r="Y16" t="n">
        <v>21900</v>
      </c>
      <c r="Z16" t="n">
        <v>39.92</v>
      </c>
      <c r="AA16" t="n">
        <v>38.91</v>
      </c>
      <c r="AB16" t="n">
        <v>3</v>
      </c>
      <c r="AC16" t="inlineStr">
        <is>
          <t>叶盛</t>
        </is>
      </c>
      <c r="AD16" t="inlineStr">
        <is>
          <t>股票资产</t>
        </is>
      </c>
      <c r="AE16" t="n">
        <v>1.7944</v>
      </c>
      <c r="AF16" t="n">
        <v>0.0179</v>
      </c>
      <c r="AG16" t="n">
        <v>0.4158</v>
      </c>
      <c r="AH16" t="n">
        <v>21900</v>
      </c>
      <c r="AI16" t="n">
        <v>46</v>
      </c>
      <c r="AJ16" t="inlineStr">
        <is>
          <t>自营权益4（场内）</t>
        </is>
      </c>
      <c r="AK16" t="inlineStr">
        <is>
          <t>人民币</t>
        </is>
      </c>
      <c r="AL16" t="n">
        <v>40878</v>
      </c>
      <c r="AM16" t="n">
        <v/>
      </c>
      <c r="AN16" t="n">
        <v>30082</v>
      </c>
      <c r="AO16" t="n">
        <v/>
      </c>
      <c r="AP16" t="inlineStr">
        <is>
          <t>顾吟湫</t>
        </is>
      </c>
      <c r="AQ16" t="inlineStr">
        <is>
          <t>人民币</t>
        </is>
      </c>
      <c r="AR16" t="n">
        <v>860633</v>
      </c>
      <c r="AS16" t="n">
        <v>600036</v>
      </c>
      <c r="AT16" t="n">
        <v>600036</v>
      </c>
      <c r="AU16" t="n">
        <v>600036</v>
      </c>
      <c r="AV16" t="n">
        <v>600036</v>
      </c>
      <c r="AW16" t="inlineStr">
        <is>
          <t>600036</t>
        </is>
      </c>
      <c r="AX16" t="inlineStr">
        <is>
          <t>无</t>
        </is>
      </c>
      <c r="AY16" t="inlineStr">
        <is>
          <t xml:space="preserve"> </t>
        </is>
      </c>
      <c r="AZ16" t="inlineStr">
        <is>
          <t xml:space="preserve"> </t>
        </is>
      </c>
      <c r="BA16" t="n">
        <v>0.4241</v>
      </c>
      <c r="BB16" t="n">
        <v>0</v>
      </c>
      <c r="BC16" t="inlineStr">
        <is>
          <t>缺省券商</t>
        </is>
      </c>
      <c r="BD16" t="inlineStr">
        <is>
          <t>交易所业务</t>
        </is>
      </c>
      <c r="BE16" t="inlineStr">
        <is>
          <t>不是ETF补券指令</t>
        </is>
      </c>
      <c r="BF16" t="inlineStr">
        <is>
          <t>-860,633.00</t>
        </is>
      </c>
      <c r="BG16" t="n">
        <v>38.94</v>
      </c>
      <c r="BH16" t="inlineStr">
        <is>
          <t>非强平</t>
        </is>
      </c>
      <c r="BI16" t="inlineStr">
        <is>
          <t>顾吟湫</t>
        </is>
      </c>
      <c r="BJ16" t="inlineStr">
        <is>
          <t>否</t>
        </is>
      </c>
      <c r="BK16" t="inlineStr">
        <is>
          <t>限价</t>
        </is>
      </c>
      <c r="BL16" t="n">
        <v/>
      </c>
      <c r="BM16" t="n">
        <v>0</v>
      </c>
      <c r="BN16" t="n">
        <v>11.76666666666667</v>
      </c>
      <c r="BO16" t="inlineStr">
        <is>
          <t>股票</t>
        </is>
      </c>
      <c r="BP16" t="n">
        <v/>
      </c>
      <c r="BQ16" t="n">
        <v/>
      </c>
      <c r="BR16" t="n">
        <v>0</v>
      </c>
      <c r="BS16" t="inlineStr">
        <is>
          <t>已成交</t>
        </is>
      </c>
    </row>
    <row r="17">
      <c r="A17" t="n">
        <v>16</v>
      </c>
      <c r="B17" t="inlineStr">
        <is>
          <t>2026-02-05</t>
        </is>
      </c>
      <c r="C17" t="n">
        <v>3008</v>
      </c>
      <c r="D17" t="inlineStr">
        <is>
          <t>自营权益4</t>
        </is>
      </c>
      <c r="E17" t="n">
        <v>3008</v>
      </c>
      <c r="F17" t="n">
        <v>601166</v>
      </c>
      <c r="G17" t="inlineStr">
        <is>
          <t>兴业银行</t>
        </is>
      </c>
      <c r="H17" t="inlineStr">
        <is>
          <t>买入</t>
        </is>
      </c>
      <c r="I17" t="n">
        <v>19.38</v>
      </c>
      <c r="J17" t="n">
        <v>19.34</v>
      </c>
      <c r="K17" t="n">
        <v>49900</v>
      </c>
      <c r="L17" t="n">
        <v>961478</v>
      </c>
      <c r="M17" t="n">
        <v>46</v>
      </c>
      <c r="N17" t="n">
        <v>19.22</v>
      </c>
      <c r="O17" t="n">
        <v>19.28</v>
      </c>
      <c r="P17" t="n">
        <v>19.26809619238477</v>
      </c>
      <c r="Q17" t="n">
        <v>19.26809619238477</v>
      </c>
      <c r="R17" t="n">
        <v>19.26809619238477</v>
      </c>
      <c r="S17" t="inlineStr">
        <is>
          <t>上交所A</t>
        </is>
      </c>
      <c r="T17" t="n">
        <v>119848229</v>
      </c>
      <c r="U17" t="n">
        <v>0.0416</v>
      </c>
      <c r="V17" t="n">
        <v>2318435836</v>
      </c>
      <c r="W17" t="n">
        <v>300821</v>
      </c>
      <c r="X17" t="inlineStr">
        <is>
          <t>自营权益4（场内）</t>
        </is>
      </c>
      <c r="Y17" t="n">
        <v>49900</v>
      </c>
      <c r="Z17" t="n">
        <v>19.49</v>
      </c>
      <c r="AA17" t="n">
        <v>19.2</v>
      </c>
      <c r="AB17" t="n">
        <v>2</v>
      </c>
      <c r="AC17" t="inlineStr">
        <is>
          <t>叶盛</t>
        </is>
      </c>
      <c r="AD17" t="inlineStr">
        <is>
          <t>股票资产</t>
        </is>
      </c>
      <c r="AE17" t="n">
        <v>1.0428</v>
      </c>
      <c r="AF17" t="n">
        <v>0.0415</v>
      </c>
      <c r="AG17" t="n">
        <v>0.3965</v>
      </c>
      <c r="AH17" t="n">
        <v>49900</v>
      </c>
      <c r="AI17" t="n">
        <v>46</v>
      </c>
      <c r="AJ17" t="inlineStr">
        <is>
          <t>自营权益4（场内）</t>
        </is>
      </c>
      <c r="AK17" t="inlineStr">
        <is>
          <t>人民币</t>
        </is>
      </c>
      <c r="AL17" t="n">
        <v>40878</v>
      </c>
      <c r="AM17" t="n">
        <v/>
      </c>
      <c r="AN17" t="n">
        <v>30082</v>
      </c>
      <c r="AO17" t="n">
        <v/>
      </c>
      <c r="AP17" t="inlineStr">
        <is>
          <t>顾吟湫</t>
        </is>
      </c>
      <c r="AQ17" t="inlineStr">
        <is>
          <t>人民币</t>
        </is>
      </c>
      <c r="AR17" t="n">
        <v>961478</v>
      </c>
      <c r="AS17" t="n">
        <v>601166</v>
      </c>
      <c r="AT17" t="n">
        <v>601166</v>
      </c>
      <c r="AU17" t="n">
        <v>601166</v>
      </c>
      <c r="AV17" t="n">
        <v>601166</v>
      </c>
      <c r="AW17" t="inlineStr">
        <is>
          <t>601166</t>
        </is>
      </c>
      <c r="AX17" t="inlineStr">
        <is>
          <t>无</t>
        </is>
      </c>
      <c r="AY17" t="inlineStr">
        <is>
          <t xml:space="preserve"> </t>
        </is>
      </c>
      <c r="AZ17" t="inlineStr">
        <is>
          <t xml:space="preserve"> </t>
        </is>
      </c>
      <c r="BA17" t="n">
        <v>0.4738</v>
      </c>
      <c r="BB17" t="n">
        <v>0</v>
      </c>
      <c r="BC17" t="inlineStr">
        <is>
          <t>缺省券商</t>
        </is>
      </c>
      <c r="BD17" t="inlineStr">
        <is>
          <t>交易所业务</t>
        </is>
      </c>
      <c r="BE17" t="inlineStr">
        <is>
          <t>不是ETF补券指令</t>
        </is>
      </c>
      <c r="BF17" t="inlineStr">
        <is>
          <t>-961,478.00</t>
        </is>
      </c>
      <c r="BG17" t="n">
        <v>19.2</v>
      </c>
      <c r="BH17" t="inlineStr">
        <is>
          <t>非强平</t>
        </is>
      </c>
      <c r="BI17" t="inlineStr">
        <is>
          <t>顾吟湫</t>
        </is>
      </c>
      <c r="BJ17" t="inlineStr">
        <is>
          <t>否</t>
        </is>
      </c>
      <c r="BK17" t="inlineStr">
        <is>
          <t>限价</t>
        </is>
      </c>
      <c r="BL17" t="n">
        <v/>
      </c>
      <c r="BM17" t="n">
        <v>0</v>
      </c>
      <c r="BN17" t="n">
        <v>2.1</v>
      </c>
      <c r="BO17" t="inlineStr">
        <is>
          <t>股票</t>
        </is>
      </c>
      <c r="BP17" t="n">
        <v/>
      </c>
      <c r="BQ17" t="n">
        <v/>
      </c>
      <c r="BR17" t="n">
        <v>0</v>
      </c>
      <c r="BS17" t="inlineStr">
        <is>
          <t>已成交</t>
        </is>
      </c>
    </row>
    <row r="18">
      <c r="A18" t="n">
        <v>17</v>
      </c>
      <c r="B18" t="inlineStr">
        <is>
          <t>2026-02-09</t>
        </is>
      </c>
      <c r="C18" t="n">
        <v>3008</v>
      </c>
      <c r="D18" t="inlineStr">
        <is>
          <t>自营权益4</t>
        </is>
      </c>
      <c r="E18" t="n">
        <v>3008</v>
      </c>
      <c r="F18" t="n">
        <v>600036</v>
      </c>
      <c r="G18" t="inlineStr">
        <is>
          <t>招商银行</t>
        </is>
      </c>
      <c r="H18" t="inlineStr">
        <is>
          <t>买入</t>
        </is>
      </c>
      <c r="I18" t="n">
        <v>39.48</v>
      </c>
      <c r="J18" t="n">
        <v>39.48</v>
      </c>
      <c r="K18" t="n">
        <v>40000</v>
      </c>
      <c r="L18" t="n">
        <v>1576800</v>
      </c>
      <c r="M18" t="n">
        <v>41</v>
      </c>
      <c r="N18" t="n">
        <v>39.42</v>
      </c>
      <c r="O18" t="n">
        <v>39.42</v>
      </c>
      <c r="P18" t="n">
        <v>39.42</v>
      </c>
      <c r="Q18" t="n">
        <v>39.42</v>
      </c>
      <c r="R18" t="n">
        <v>39.42</v>
      </c>
      <c r="S18" t="inlineStr">
        <is>
          <t>上交所A</t>
        </is>
      </c>
      <c r="T18" t="n">
        <v>65894891</v>
      </c>
      <c r="U18" t="n">
        <v>0.0607</v>
      </c>
      <c r="V18" t="n">
        <v>2601539089</v>
      </c>
      <c r="W18" t="n">
        <v>300821</v>
      </c>
      <c r="X18" t="inlineStr">
        <is>
          <t>自营权益4（场内）</t>
        </is>
      </c>
      <c r="Y18" t="n">
        <v>40000</v>
      </c>
      <c r="Z18" t="n">
        <v>39.74</v>
      </c>
      <c r="AA18" t="n">
        <v>39.33</v>
      </c>
      <c r="AB18" t="n">
        <v>1</v>
      </c>
      <c r="AC18" t="inlineStr">
        <is>
          <t>叶盛</t>
        </is>
      </c>
      <c r="AD18" t="inlineStr">
        <is>
          <t>股票资产</t>
        </is>
      </c>
      <c r="AE18" t="n">
        <v>-0.303</v>
      </c>
      <c r="AF18" t="n">
        <v>0.0606</v>
      </c>
      <c r="AG18" t="n">
        <v>0.1522</v>
      </c>
      <c r="AH18" t="n">
        <v>40000</v>
      </c>
      <c r="AI18" t="n">
        <v>46</v>
      </c>
      <c r="AJ18" t="inlineStr">
        <is>
          <t>自营权益4（场内）</t>
        </is>
      </c>
      <c r="AK18" t="inlineStr">
        <is>
          <t>人民币</t>
        </is>
      </c>
      <c r="AL18" t="n">
        <v>40878</v>
      </c>
      <c r="AM18" t="n">
        <v/>
      </c>
      <c r="AN18" t="n">
        <v>30082</v>
      </c>
      <c r="AO18" t="n">
        <v/>
      </c>
      <c r="AP18" t="inlineStr">
        <is>
          <t>顾吟湫</t>
        </is>
      </c>
      <c r="AQ18" t="inlineStr">
        <is>
          <t>人民币</t>
        </is>
      </c>
      <c r="AR18" t="n">
        <v>1576800</v>
      </c>
      <c r="AS18" t="n">
        <v>600036</v>
      </c>
      <c r="AT18" t="n">
        <v>600036</v>
      </c>
      <c r="AU18" t="n">
        <v>600036</v>
      </c>
      <c r="AV18" t="n">
        <v>600036</v>
      </c>
      <c r="AW18" t="inlineStr">
        <is>
          <t>600036</t>
        </is>
      </c>
      <c r="AX18" t="inlineStr">
        <is>
          <t>无</t>
        </is>
      </c>
      <c r="AY18" t="inlineStr">
        <is>
          <t xml:space="preserve"> </t>
        </is>
      </c>
      <c r="AZ18" t="inlineStr">
        <is>
          <t xml:space="preserve"> </t>
        </is>
      </c>
      <c r="BA18" t="n">
        <v>0.7781</v>
      </c>
      <c r="BB18" t="n">
        <v>0</v>
      </c>
      <c r="BC18" t="inlineStr">
        <is>
          <t>缺省券商</t>
        </is>
      </c>
      <c r="BD18" t="inlineStr">
        <is>
          <t>交易所业务</t>
        </is>
      </c>
      <c r="BE18" t="inlineStr">
        <is>
          <t>不是ETF补券指令</t>
        </is>
      </c>
      <c r="BF18" t="inlineStr">
        <is>
          <t>-1,576,800.00</t>
        </is>
      </c>
      <c r="BG18" t="n">
        <v>39.6</v>
      </c>
      <c r="BH18" t="inlineStr">
        <is>
          <t>非强平</t>
        </is>
      </c>
      <c r="BI18" t="inlineStr">
        <is>
          <t>顾吟湫</t>
        </is>
      </c>
      <c r="BJ18" t="inlineStr">
        <is>
          <t>否</t>
        </is>
      </c>
      <c r="BK18" t="inlineStr">
        <is>
          <t>限价</t>
        </is>
      </c>
      <c r="BL18" t="n">
        <v/>
      </c>
      <c r="BM18" t="n">
        <v>0</v>
      </c>
      <c r="BN18" t="n">
        <v>42.53333333333333</v>
      </c>
      <c r="BO18" t="inlineStr">
        <is>
          <t>股票</t>
        </is>
      </c>
      <c r="BP18" t="n">
        <v/>
      </c>
      <c r="BQ18" t="n">
        <v/>
      </c>
      <c r="BR18" t="n">
        <v>0</v>
      </c>
      <c r="BS18" t="inlineStr">
        <is>
          <t>已成交</t>
        </is>
      </c>
    </row>
    <row r="19">
      <c r="A19" t="n">
        <v>18</v>
      </c>
      <c r="B19" t="inlineStr">
        <is>
          <t>2026-02-09</t>
        </is>
      </c>
      <c r="C19" t="n">
        <v>3008</v>
      </c>
      <c r="D19" t="inlineStr">
        <is>
          <t>自营权益4</t>
        </is>
      </c>
      <c r="E19" t="n">
        <v>3008</v>
      </c>
      <c r="F19" t="n">
        <v>601009</v>
      </c>
      <c r="G19" t="inlineStr">
        <is>
          <t>南京银行</t>
        </is>
      </c>
      <c r="H19" t="inlineStr">
        <is>
          <t>卖出</t>
        </is>
      </c>
      <c r="I19" t="n">
        <v>11.26</v>
      </c>
      <c r="J19" t="n">
        <v>11.2</v>
      </c>
      <c r="K19" t="n">
        <v>300000</v>
      </c>
      <c r="L19" t="n">
        <v>3372000</v>
      </c>
      <c r="M19" t="n">
        <v>23</v>
      </c>
      <c r="N19" t="n">
        <v>11.24</v>
      </c>
      <c r="O19" t="n">
        <v>11.24</v>
      </c>
      <c r="P19" t="n">
        <v>11.24</v>
      </c>
      <c r="Q19" t="n">
        <v>11.24</v>
      </c>
      <c r="R19" t="n">
        <v>11.24</v>
      </c>
      <c r="S19" t="inlineStr">
        <is>
          <t>上交所A</t>
        </is>
      </c>
      <c r="T19" t="n">
        <v>52474996</v>
      </c>
      <c r="U19" t="n">
        <v>0.5717</v>
      </c>
      <c r="V19" t="n">
        <v>587653443</v>
      </c>
      <c r="W19" t="n">
        <v>300821</v>
      </c>
      <c r="X19" t="inlineStr">
        <is>
          <t>自营权益4（场内）</t>
        </is>
      </c>
      <c r="Y19" t="n">
        <v>300000</v>
      </c>
      <c r="Z19" t="n">
        <v>11.29</v>
      </c>
      <c r="AA19" t="n">
        <v>11.05</v>
      </c>
      <c r="AB19" t="n">
        <v>1</v>
      </c>
      <c r="AC19" t="inlineStr">
        <is>
          <t>叶盛</t>
        </is>
      </c>
      <c r="AD19" t="inlineStr">
        <is>
          <t>股票资产</t>
        </is>
      </c>
      <c r="AE19" t="n">
        <v>0.9865</v>
      </c>
      <c r="AF19" t="n">
        <v>0.5738</v>
      </c>
      <c r="AG19" t="n">
        <v>0.3688</v>
      </c>
      <c r="AH19" t="n">
        <v>300000</v>
      </c>
      <c r="AI19" t="n">
        <v>46</v>
      </c>
      <c r="AJ19" t="inlineStr">
        <is>
          <t>自营权益4（场内）</t>
        </is>
      </c>
      <c r="AK19" t="inlineStr">
        <is>
          <t>人民币</t>
        </is>
      </c>
      <c r="AL19" t="n">
        <v>40878</v>
      </c>
      <c r="AM19" t="n">
        <v/>
      </c>
      <c r="AN19" t="n">
        <v>30082</v>
      </c>
      <c r="AO19" t="n">
        <v/>
      </c>
      <c r="AP19" t="inlineStr">
        <is>
          <t>顾吟湫</t>
        </is>
      </c>
      <c r="AQ19" t="inlineStr">
        <is>
          <t>人民币</t>
        </is>
      </c>
      <c r="AR19" t="n">
        <v>3372000</v>
      </c>
      <c r="AS19" t="n">
        <v>601009</v>
      </c>
      <c r="AT19" t="n">
        <v>601009</v>
      </c>
      <c r="AU19" t="n">
        <v>601009</v>
      </c>
      <c r="AV19" t="n">
        <v>601009</v>
      </c>
      <c r="AW19" t="inlineStr">
        <is>
          <t>601009</t>
        </is>
      </c>
      <c r="AX19" t="inlineStr">
        <is>
          <t>无</t>
        </is>
      </c>
      <c r="AY19" t="inlineStr">
        <is>
          <t xml:space="preserve"> </t>
        </is>
      </c>
      <c r="AZ19" t="inlineStr">
        <is>
          <t xml:space="preserve"> </t>
        </is>
      </c>
      <c r="BA19" t="n">
        <v>1.6639</v>
      </c>
      <c r="BB19" t="n">
        <v>0</v>
      </c>
      <c r="BC19" t="inlineStr">
        <is>
          <t>缺省券商</t>
        </is>
      </c>
      <c r="BD19" t="inlineStr">
        <is>
          <t>交易所业务</t>
        </is>
      </c>
      <c r="BE19" t="inlineStr">
        <is>
          <t>不是ETF补券指令</t>
        </is>
      </c>
      <c r="BF19" t="inlineStr">
        <is>
          <t>3,372,000.00</t>
        </is>
      </c>
      <c r="BG19" t="n">
        <v>11.1</v>
      </c>
      <c r="BH19" t="inlineStr">
        <is>
          <t>非强平</t>
        </is>
      </c>
      <c r="BI19" t="inlineStr">
        <is>
          <t>顾吟湫</t>
        </is>
      </c>
      <c r="BJ19" t="inlineStr">
        <is>
          <t>否</t>
        </is>
      </c>
      <c r="BK19" t="inlineStr">
        <is>
          <t>限价</t>
        </is>
      </c>
      <c r="BL19" t="n">
        <v/>
      </c>
      <c r="BM19" t="n">
        <v>0</v>
      </c>
      <c r="BN19" t="n">
        <v>0.3833333333333334</v>
      </c>
      <c r="BO19" t="inlineStr">
        <is>
          <t>股票</t>
        </is>
      </c>
      <c r="BP19" t="n">
        <v/>
      </c>
      <c r="BQ19" t="n">
        <v/>
      </c>
      <c r="BR19" t="n">
        <v>0</v>
      </c>
      <c r="BS19" t="inlineStr">
        <is>
          <t>已成交</t>
        </is>
      </c>
    </row>
    <row r="20">
      <c r="A20" t="n">
        <v>19</v>
      </c>
      <c r="B20" t="inlineStr">
        <is>
          <t>2026-02-09</t>
        </is>
      </c>
      <c r="C20" t="n">
        <v>3008</v>
      </c>
      <c r="D20" t="inlineStr">
        <is>
          <t>自营权益4</t>
        </is>
      </c>
      <c r="E20" t="n">
        <v>3008</v>
      </c>
      <c r="F20" t="n">
        <v>601166</v>
      </c>
      <c r="G20" t="inlineStr">
        <is>
          <t>兴业银行</t>
        </is>
      </c>
      <c r="H20" t="inlineStr">
        <is>
          <t>买入</t>
        </is>
      </c>
      <c r="I20" t="n">
        <v>18.88</v>
      </c>
      <c r="J20" t="n">
        <v>18.86</v>
      </c>
      <c r="K20" t="n">
        <v>90000</v>
      </c>
      <c r="L20" t="n">
        <v>1699200</v>
      </c>
      <c r="M20" t="n">
        <v>149</v>
      </c>
      <c r="N20" t="n">
        <v>18.88</v>
      </c>
      <c r="O20" t="n">
        <v>18.88</v>
      </c>
      <c r="P20" t="n">
        <v>18.88</v>
      </c>
      <c r="Q20" t="n">
        <v>18.88</v>
      </c>
      <c r="R20" t="n">
        <v>18.88</v>
      </c>
      <c r="S20" t="inlineStr">
        <is>
          <t>上交所A</t>
        </is>
      </c>
      <c r="T20" t="n">
        <v>64439529</v>
      </c>
      <c r="U20" t="n">
        <v>0.1397</v>
      </c>
      <c r="V20" t="n">
        <v>1215569554</v>
      </c>
      <c r="W20" t="n">
        <v>300821</v>
      </c>
      <c r="X20" t="inlineStr">
        <is>
          <t>自营权益4（场内）</t>
        </is>
      </c>
      <c r="Y20" t="n">
        <v>90000</v>
      </c>
      <c r="Z20" t="n">
        <v>18.97</v>
      </c>
      <c r="AA20" t="n">
        <v>18.76</v>
      </c>
      <c r="AB20" t="n">
        <v>1</v>
      </c>
      <c r="AC20" t="inlineStr">
        <is>
          <t>叶盛</t>
        </is>
      </c>
      <c r="AD20" t="inlineStr">
        <is>
          <t>股票资产</t>
        </is>
      </c>
      <c r="AE20" t="n">
        <v>0.1592</v>
      </c>
      <c r="AF20" t="n">
        <v>0.1398</v>
      </c>
      <c r="AG20" t="n">
        <v>-0.0864</v>
      </c>
      <c r="AH20" t="n">
        <v>90000</v>
      </c>
      <c r="AI20" t="n">
        <v>46</v>
      </c>
      <c r="AJ20" t="inlineStr">
        <is>
          <t>自营权益4（场内）</t>
        </is>
      </c>
      <c r="AK20" t="inlineStr">
        <is>
          <t>人民币</t>
        </is>
      </c>
      <c r="AL20" t="n">
        <v>40878</v>
      </c>
      <c r="AM20" t="n">
        <v/>
      </c>
      <c r="AN20" t="n">
        <v>30082</v>
      </c>
      <c r="AO20" t="n">
        <v/>
      </c>
      <c r="AP20" t="inlineStr">
        <is>
          <t>顾吟湫</t>
        </is>
      </c>
      <c r="AQ20" t="inlineStr">
        <is>
          <t>人民币</t>
        </is>
      </c>
      <c r="AR20" t="n">
        <v>1699200</v>
      </c>
      <c r="AS20" t="n">
        <v>601166</v>
      </c>
      <c r="AT20" t="n">
        <v>601166</v>
      </c>
      <c r="AU20" t="n">
        <v>601166</v>
      </c>
      <c r="AV20" t="n">
        <v>601166</v>
      </c>
      <c r="AW20" t="inlineStr">
        <is>
          <t>601166</t>
        </is>
      </c>
      <c r="AX20" t="inlineStr">
        <is>
          <t>无</t>
        </is>
      </c>
      <c r="AY20" t="inlineStr">
        <is>
          <t xml:space="preserve"> </t>
        </is>
      </c>
      <c r="AZ20" t="inlineStr">
        <is>
          <t xml:space="preserve"> </t>
        </is>
      </c>
      <c r="BA20" t="n">
        <v>0.8385</v>
      </c>
      <c r="BB20" t="n">
        <v>0</v>
      </c>
      <c r="BC20" t="inlineStr">
        <is>
          <t>缺省券商</t>
        </is>
      </c>
      <c r="BD20" t="inlineStr">
        <is>
          <t>交易所业务</t>
        </is>
      </c>
      <c r="BE20" t="inlineStr">
        <is>
          <t>不是ETF补券指令</t>
        </is>
      </c>
      <c r="BF20" t="inlineStr">
        <is>
          <t>-1,699,200.00</t>
        </is>
      </c>
      <c r="BG20" t="n">
        <v>18.85</v>
      </c>
      <c r="BH20" t="inlineStr">
        <is>
          <t>非强平</t>
        </is>
      </c>
      <c r="BI20" t="inlineStr">
        <is>
          <t>顾吟湫</t>
        </is>
      </c>
      <c r="BJ20" t="inlineStr">
        <is>
          <t>否</t>
        </is>
      </c>
      <c r="BK20" t="inlineStr">
        <is>
          <t>限价</t>
        </is>
      </c>
      <c r="BL20" t="n">
        <v/>
      </c>
      <c r="BM20" t="n">
        <v>0</v>
      </c>
      <c r="BN20" t="n">
        <v>2.083333333333333</v>
      </c>
      <c r="BO20" t="inlineStr">
        <is>
          <t>股票</t>
        </is>
      </c>
      <c r="BP20" t="n">
        <v/>
      </c>
      <c r="BQ20" t="n">
        <v/>
      </c>
      <c r="BR20" t="n">
        <v>0</v>
      </c>
      <c r="BS20" t="inlineStr">
        <is>
          <t>已成交</t>
        </is>
      </c>
    </row>
    <row r="21">
      <c r="A21" t="n">
        <v>20</v>
      </c>
      <c r="B21" t="inlineStr">
        <is>
          <t>2026-02-09</t>
        </is>
      </c>
      <c r="C21" t="n">
        <v>3008</v>
      </c>
      <c r="D21" t="inlineStr">
        <is>
          <t>自营权益4</t>
        </is>
      </c>
      <c r="E21" t="n">
        <v>3008</v>
      </c>
      <c r="F21" t="n">
        <v>2319</v>
      </c>
      <c r="G21" t="inlineStr">
        <is>
          <t>蒙牛乳业</t>
        </is>
      </c>
      <c r="H21" t="inlineStr">
        <is>
          <t>卖出</t>
        </is>
      </c>
      <c r="I21" t="n">
        <v>17.47</v>
      </c>
      <c r="J21" t="n">
        <v>17.62</v>
      </c>
      <c r="K21" t="n">
        <v>10000</v>
      </c>
      <c r="L21" t="n">
        <v>175400</v>
      </c>
      <c r="M21" t="n">
        <v>1</v>
      </c>
      <c r="N21" t="n">
        <v>17.54</v>
      </c>
      <c r="O21" t="n">
        <v>17.54</v>
      </c>
      <c r="P21" t="n">
        <v>17.54</v>
      </c>
      <c r="Q21" t="n">
        <v>17.54</v>
      </c>
      <c r="R21" t="n">
        <v>17.54</v>
      </c>
      <c r="S21" t="inlineStr">
        <is>
          <t>港股通（深）</t>
        </is>
      </c>
      <c r="T21" t="n">
        <v>36756086</v>
      </c>
      <c r="U21" t="n">
        <v>0.0272</v>
      </c>
      <c r="V21" t="n">
        <v>647643286.13</v>
      </c>
      <c r="W21" t="n">
        <v>300841</v>
      </c>
      <c r="X21" t="inlineStr">
        <is>
          <t>自营权益4（深港）</t>
        </is>
      </c>
      <c r="Y21" t="n">
        <v>10000</v>
      </c>
      <c r="Z21" t="n">
        <v>17.88</v>
      </c>
      <c r="AA21" t="n">
        <v>17.45</v>
      </c>
      <c r="AB21" t="n">
        <v>1</v>
      </c>
      <c r="AC21" t="inlineStr">
        <is>
          <t>叶盛</t>
        </is>
      </c>
      <c r="AD21" t="inlineStr">
        <is>
          <t>股票资产</t>
        </is>
      </c>
      <c r="AE21" t="n">
        <v>-1.1319</v>
      </c>
      <c r="AF21" t="n">
        <v>0.0271</v>
      </c>
      <c r="AG21" t="n">
        <v>-0.454</v>
      </c>
      <c r="AH21" t="n">
        <v>10000</v>
      </c>
      <c r="AI21" t="n">
        <v>53</v>
      </c>
      <c r="AJ21" t="inlineStr">
        <is>
          <t>自营权益4（深港）</t>
        </is>
      </c>
      <c r="AK21" t="inlineStr">
        <is>
          <t>人民币</t>
        </is>
      </c>
      <c r="AL21" t="n">
        <v>6111</v>
      </c>
      <c r="AM21" t="n">
        <v/>
      </c>
      <c r="AN21" t="n">
        <v>30084</v>
      </c>
      <c r="AO21" t="n">
        <v/>
      </c>
      <c r="AP21" t="inlineStr">
        <is>
          <t>顾吟湫</t>
        </is>
      </c>
      <c r="AQ21" t="inlineStr">
        <is>
          <t>人民币</t>
        </is>
      </c>
      <c r="AR21" t="n">
        <v>155786.77</v>
      </c>
      <c r="AS21" t="n">
        <v/>
      </c>
      <c r="AT21" t="n">
        <v/>
      </c>
      <c r="AU21" t="n">
        <v/>
      </c>
      <c r="AV21" t="n">
        <v/>
      </c>
      <c r="AW21" t="inlineStr">
        <is>
          <t>KYG210961051</t>
        </is>
      </c>
      <c r="AX21" t="inlineStr">
        <is>
          <t>无</t>
        </is>
      </c>
      <c r="AY21" t="inlineStr">
        <is>
          <t xml:space="preserve"> </t>
        </is>
      </c>
      <c r="AZ21" t="inlineStr">
        <is>
          <t xml:space="preserve"> </t>
        </is>
      </c>
      <c r="BA21" t="n">
        <v>0.0769</v>
      </c>
      <c r="BB21" t="n">
        <v>0</v>
      </c>
      <c r="BC21" t="inlineStr">
        <is>
          <t>缺省券商</t>
        </is>
      </c>
      <c r="BD21" t="inlineStr">
        <is>
          <t>交易所业务</t>
        </is>
      </c>
      <c r="BE21" t="inlineStr">
        <is>
          <t>不是ETF补券指令</t>
        </is>
      </c>
      <c r="BF21" t="inlineStr">
        <is>
          <t>175,400.00</t>
        </is>
      </c>
      <c r="BG21" t="n">
        <v>0</v>
      </c>
      <c r="BH21" t="inlineStr">
        <is>
          <t>非强平</t>
        </is>
      </c>
      <c r="BI21" t="inlineStr">
        <is>
          <t>顾吟湫</t>
        </is>
      </c>
      <c r="BJ21" t="inlineStr">
        <is>
          <t>否</t>
        </is>
      </c>
      <c r="BK21" t="inlineStr">
        <is>
          <t>增强限价盘</t>
        </is>
      </c>
      <c r="BL21" t="n">
        <v/>
      </c>
      <c r="BM21" t="n">
        <v>0</v>
      </c>
      <c r="BN21" t="n">
        <v>0.7666666666666667</v>
      </c>
      <c r="BO21" t="inlineStr">
        <is>
          <t>股票</t>
        </is>
      </c>
      <c r="BP21" t="n">
        <v/>
      </c>
      <c r="BQ21" t="n">
        <v/>
      </c>
      <c r="BR21" t="n">
        <v>0</v>
      </c>
      <c r="BS21" t="inlineStr">
        <is>
          <t>已成交</t>
        </is>
      </c>
    </row>
    <row r="22">
      <c r="A22" t="n">
        <v>21</v>
      </c>
      <c r="B22" t="inlineStr">
        <is>
          <t>2026-02-09</t>
        </is>
      </c>
      <c r="C22" t="n">
        <v>3008</v>
      </c>
      <c r="D22" t="inlineStr">
        <is>
          <t>自营权益4</t>
        </is>
      </c>
      <c r="E22" t="n">
        <v>3008</v>
      </c>
      <c r="F22" t="n">
        <v>3988</v>
      </c>
      <c r="G22" t="inlineStr">
        <is>
          <t>中国银行</t>
        </is>
      </c>
      <c r="H22" t="inlineStr">
        <is>
          <t>卖出</t>
        </is>
      </c>
      <c r="I22" t="n">
        <v>4.7</v>
      </c>
      <c r="J22" t="n">
        <v>4.69</v>
      </c>
      <c r="K22" t="n">
        <v>100000</v>
      </c>
      <c r="L22" t="n">
        <v>469000</v>
      </c>
      <c r="M22" t="n">
        <v>2</v>
      </c>
      <c r="N22" t="n">
        <v>4.69</v>
      </c>
      <c r="O22" t="n">
        <v>4.69</v>
      </c>
      <c r="P22" t="n">
        <v>4.69</v>
      </c>
      <c r="Q22" t="n">
        <v>4.69</v>
      </c>
      <c r="R22" t="n">
        <v>4.69</v>
      </c>
      <c r="S22" t="inlineStr">
        <is>
          <t>港股通（深）</t>
        </is>
      </c>
      <c r="T22" t="n">
        <v>125338863</v>
      </c>
      <c r="U22" t="n">
        <v>0.0798</v>
      </c>
      <c r="V22" t="n">
        <v>587948721.45</v>
      </c>
      <c r="W22" t="n">
        <v>300841</v>
      </c>
      <c r="X22" t="inlineStr">
        <is>
          <t>自营权益4（深港）</t>
        </is>
      </c>
      <c r="Y22" t="n">
        <v>100000</v>
      </c>
      <c r="Z22" t="n">
        <v>4.73</v>
      </c>
      <c r="AA22" t="n">
        <v>4.66</v>
      </c>
      <c r="AB22" t="n">
        <v>1</v>
      </c>
      <c r="AC22" t="inlineStr">
        <is>
          <t>叶盛</t>
        </is>
      </c>
      <c r="AD22" t="inlineStr">
        <is>
          <t>股票资产</t>
        </is>
      </c>
      <c r="AE22" t="n">
        <v>0.8584000000000001</v>
      </c>
      <c r="AF22" t="n">
        <v>0.0798</v>
      </c>
      <c r="AG22" t="n">
        <v>-0.0192</v>
      </c>
      <c r="AH22" t="n">
        <v>100000</v>
      </c>
      <c r="AI22" t="n">
        <v>53</v>
      </c>
      <c r="AJ22" t="inlineStr">
        <is>
          <t>自营权益4（深港）</t>
        </is>
      </c>
      <c r="AK22" t="inlineStr">
        <is>
          <t>人民币</t>
        </is>
      </c>
      <c r="AL22" t="n">
        <v>6111</v>
      </c>
      <c r="AM22" t="n">
        <v/>
      </c>
      <c r="AN22" t="n">
        <v>30084</v>
      </c>
      <c r="AO22" t="n">
        <v/>
      </c>
      <c r="AP22" t="inlineStr">
        <is>
          <t>顾吟湫</t>
        </is>
      </c>
      <c r="AQ22" t="inlineStr">
        <is>
          <t>人民币</t>
        </is>
      </c>
      <c r="AR22" t="n">
        <v>416556.42</v>
      </c>
      <c r="AS22" t="n">
        <v/>
      </c>
      <c r="AT22" t="n">
        <v/>
      </c>
      <c r="AU22" t="n">
        <v/>
      </c>
      <c r="AV22" t="n">
        <v/>
      </c>
      <c r="AW22" t="inlineStr">
        <is>
          <t>CNE1000001Z5</t>
        </is>
      </c>
      <c r="AX22" t="inlineStr">
        <is>
          <t>无</t>
        </is>
      </c>
      <c r="AY22" t="inlineStr">
        <is>
          <t xml:space="preserve"> </t>
        </is>
      </c>
      <c r="AZ22" t="inlineStr">
        <is>
          <t xml:space="preserve"> </t>
        </is>
      </c>
      <c r="BA22" t="n">
        <v>0.2056</v>
      </c>
      <c r="BB22" t="n">
        <v>0</v>
      </c>
      <c r="BC22" t="inlineStr">
        <is>
          <t>缺省券商</t>
        </is>
      </c>
      <c r="BD22" t="inlineStr">
        <is>
          <t>交易所业务</t>
        </is>
      </c>
      <c r="BE22" t="inlineStr">
        <is>
          <t>不是ETF补券指令</t>
        </is>
      </c>
      <c r="BF22" t="inlineStr">
        <is>
          <t>469,000.00</t>
        </is>
      </c>
      <c r="BG22" t="n">
        <v>0</v>
      </c>
      <c r="BH22" t="inlineStr">
        <is>
          <t>非强平</t>
        </is>
      </c>
      <c r="BI22" t="inlineStr">
        <is>
          <t>顾吟湫</t>
        </is>
      </c>
      <c r="BJ22" t="inlineStr">
        <is>
          <t>否</t>
        </is>
      </c>
      <c r="BK22" t="inlineStr">
        <is>
          <t>增强限价盘</t>
        </is>
      </c>
      <c r="BL22" t="n">
        <v/>
      </c>
      <c r="BM22" t="n">
        <v>0</v>
      </c>
      <c r="BN22" t="n">
        <v>20.13333333333333</v>
      </c>
      <c r="BO22" t="inlineStr">
        <is>
          <t>股票</t>
        </is>
      </c>
      <c r="BP22" t="n">
        <v/>
      </c>
      <c r="BQ22" t="n">
        <v/>
      </c>
      <c r="BR22" t="n">
        <v>0</v>
      </c>
      <c r="BS22" t="inlineStr">
        <is>
          <t>已成交</t>
        </is>
      </c>
    </row>
    <row r="23">
      <c r="A23" t="n">
        <v>22</v>
      </c>
      <c r="B23" t="inlineStr">
        <is>
          <t>2026-02-10</t>
        </is>
      </c>
      <c r="C23" t="n">
        <v>3008</v>
      </c>
      <c r="D23" t="inlineStr">
        <is>
          <t>自营权益4</t>
        </is>
      </c>
      <c r="E23" t="n">
        <v>3008</v>
      </c>
      <c r="F23" t="n">
        <v>600809</v>
      </c>
      <c r="G23" t="inlineStr">
        <is>
          <t>山西汾酒</t>
        </is>
      </c>
      <c r="H23" t="inlineStr">
        <is>
          <t>卖出</t>
        </is>
      </c>
      <c r="I23" t="n">
        <v>170.28</v>
      </c>
      <c r="J23" t="n">
        <v>170.77</v>
      </c>
      <c r="K23" t="n">
        <v>9000</v>
      </c>
      <c r="L23" t="n">
        <v>1532820</v>
      </c>
      <c r="M23" t="n">
        <v>41</v>
      </c>
      <c r="N23" t="n">
        <v>170.3</v>
      </c>
      <c r="O23" t="n">
        <v>170.34</v>
      </c>
      <c r="P23" t="n">
        <v>170.3133333333333</v>
      </c>
      <c r="Q23" t="n">
        <v>170.3133333333333</v>
      </c>
      <c r="R23" t="n">
        <v>170.3133333333333</v>
      </c>
      <c r="S23" t="inlineStr">
        <is>
          <t>上交所A</t>
        </is>
      </c>
      <c r="T23" t="n">
        <v>6789052</v>
      </c>
      <c r="U23" t="n">
        <v>0.1326</v>
      </c>
      <c r="V23" t="n">
        <v>1159371222</v>
      </c>
      <c r="W23" t="n">
        <v>300821</v>
      </c>
      <c r="X23" t="inlineStr">
        <is>
          <t>自营权益4（场内）</t>
        </is>
      </c>
      <c r="Y23" t="n">
        <v>9000</v>
      </c>
      <c r="Z23" t="n">
        <v>174.12</v>
      </c>
      <c r="AA23" t="n">
        <v>169.61</v>
      </c>
      <c r="AB23" t="n">
        <v>2</v>
      </c>
      <c r="AC23" t="inlineStr">
        <is>
          <t>叶盛</t>
        </is>
      </c>
      <c r="AD23" t="inlineStr">
        <is>
          <t>股票资产</t>
        </is>
      </c>
      <c r="AE23" t="n">
        <v>-2.5301</v>
      </c>
      <c r="AF23" t="n">
        <v>0.1322</v>
      </c>
      <c r="AG23" t="n">
        <v>-0.2678</v>
      </c>
      <c r="AH23" t="n">
        <v>9000</v>
      </c>
      <c r="AI23" t="n">
        <v>46</v>
      </c>
      <c r="AJ23" t="inlineStr">
        <is>
          <t>自营权益4（场内）</t>
        </is>
      </c>
      <c r="AK23" t="inlineStr">
        <is>
          <t>人民币</t>
        </is>
      </c>
      <c r="AL23" t="n">
        <v>40878</v>
      </c>
      <c r="AM23" t="n">
        <v/>
      </c>
      <c r="AN23" t="n">
        <v>30082</v>
      </c>
      <c r="AO23" t="n">
        <v/>
      </c>
      <c r="AP23" t="inlineStr">
        <is>
          <t>顾吟湫</t>
        </is>
      </c>
      <c r="AQ23" t="inlineStr">
        <is>
          <t>人民币</t>
        </is>
      </c>
      <c r="AR23" t="n">
        <v>1532820</v>
      </c>
      <c r="AS23" t="n">
        <v>600809</v>
      </c>
      <c r="AT23" t="n">
        <v>600809</v>
      </c>
      <c r="AU23" t="n">
        <v>600809</v>
      </c>
      <c r="AV23" t="n">
        <v>600809</v>
      </c>
      <c r="AW23" t="inlineStr">
        <is>
          <t>600809</t>
        </is>
      </c>
      <c r="AX23" t="inlineStr">
        <is>
          <t>无</t>
        </is>
      </c>
      <c r="AY23" t="inlineStr">
        <is>
          <t xml:space="preserve"> </t>
        </is>
      </c>
      <c r="AZ23" t="inlineStr">
        <is>
          <t xml:space="preserve"> </t>
        </is>
      </c>
      <c r="BA23" t="n">
        <v>0.7542</v>
      </c>
      <c r="BB23" t="n">
        <v>0</v>
      </c>
      <c r="BC23" t="inlineStr">
        <is>
          <t>缺省券商</t>
        </is>
      </c>
      <c r="BD23" t="inlineStr">
        <is>
          <t>交易所业务</t>
        </is>
      </c>
      <c r="BE23" t="inlineStr">
        <is>
          <t>不是ETF补券指令</t>
        </is>
      </c>
      <c r="BF23" t="inlineStr">
        <is>
          <t>1,532,820.00</t>
        </is>
      </c>
      <c r="BG23" t="n">
        <v>174</v>
      </c>
      <c r="BH23" t="inlineStr">
        <is>
          <t>非强平</t>
        </is>
      </c>
      <c r="BI23" t="inlineStr">
        <is>
          <t>顾吟湫</t>
        </is>
      </c>
      <c r="BJ23" t="inlineStr">
        <is>
          <t>否</t>
        </is>
      </c>
      <c r="BK23" t="inlineStr">
        <is>
          <t>限价</t>
        </is>
      </c>
      <c r="BL23" t="n">
        <v/>
      </c>
      <c r="BM23" t="n">
        <v>0</v>
      </c>
      <c r="BN23" t="n">
        <v>8.633333333333333</v>
      </c>
      <c r="BO23" t="inlineStr">
        <is>
          <t>股票</t>
        </is>
      </c>
      <c r="BP23" t="n">
        <v/>
      </c>
      <c r="BQ23" t="n">
        <v/>
      </c>
      <c r="BR23" t="n">
        <v>0</v>
      </c>
      <c r="BS23" t="inlineStr">
        <is>
          <t>已成交</t>
        </is>
      </c>
    </row>
    <row r="24">
      <c r="A24" t="n">
        <v>23</v>
      </c>
      <c r="B24" t="inlineStr">
        <is>
          <t>2026-02-10</t>
        </is>
      </c>
      <c r="C24" t="n">
        <v>3008</v>
      </c>
      <c r="D24" t="inlineStr">
        <is>
          <t>自营权益4</t>
        </is>
      </c>
      <c r="E24" t="n">
        <v>3008</v>
      </c>
      <c r="F24" t="n">
        <v>600887</v>
      </c>
      <c r="G24" t="inlineStr">
        <is>
          <t>伊利股份</t>
        </is>
      </c>
      <c r="H24" t="inlineStr">
        <is>
          <t>买入</t>
        </is>
      </c>
      <c r="I24" t="n">
        <v>26.75</v>
      </c>
      <c r="J24" t="n">
        <v>26.75</v>
      </c>
      <c r="K24" t="n">
        <v>20000</v>
      </c>
      <c r="L24" t="n">
        <v>535200</v>
      </c>
      <c r="M24" t="n">
        <v>5</v>
      </c>
      <c r="N24" t="n">
        <v>26.76</v>
      </c>
      <c r="O24" t="n">
        <v>26.76</v>
      </c>
      <c r="P24" t="n">
        <v>26.76</v>
      </c>
      <c r="Q24" t="n">
        <v>26.76</v>
      </c>
      <c r="R24" t="n">
        <v>26.76</v>
      </c>
      <c r="S24" t="inlineStr">
        <is>
          <t>上交所A</t>
        </is>
      </c>
      <c r="T24" t="n">
        <v>56476485</v>
      </c>
      <c r="U24" t="n">
        <v>0.0354</v>
      </c>
      <c r="V24" t="n">
        <v>1510541822</v>
      </c>
      <c r="W24" t="n">
        <v>300821</v>
      </c>
      <c r="X24" t="inlineStr">
        <is>
          <t>自营权益4（场内）</t>
        </is>
      </c>
      <c r="Y24" t="n">
        <v>20000</v>
      </c>
      <c r="Z24" t="n">
        <v>27.03</v>
      </c>
      <c r="AA24" t="n">
        <v>26.64</v>
      </c>
      <c r="AB24" t="n">
        <v>1</v>
      </c>
      <c r="AC24" t="inlineStr">
        <is>
          <t>叶盛</t>
        </is>
      </c>
      <c r="AD24" t="inlineStr">
        <is>
          <t>股票资产</t>
        </is>
      </c>
      <c r="AE24" t="n">
        <v>-1.2186</v>
      </c>
      <c r="AF24" t="n">
        <v>0.0354</v>
      </c>
      <c r="AG24" t="n">
        <v>-0.0508</v>
      </c>
      <c r="AH24" t="n">
        <v>20000</v>
      </c>
      <c r="AI24" t="n">
        <v>46</v>
      </c>
      <c r="AJ24" t="inlineStr">
        <is>
          <t>自营权益4（场内）</t>
        </is>
      </c>
      <c r="AK24" t="inlineStr">
        <is>
          <t>人民币</t>
        </is>
      </c>
      <c r="AL24" t="n">
        <v>40878</v>
      </c>
      <c r="AM24" t="n">
        <v/>
      </c>
      <c r="AN24" t="n">
        <v>30082</v>
      </c>
      <c r="AO24" t="n">
        <v/>
      </c>
      <c r="AP24" t="inlineStr">
        <is>
          <t>顾吟湫</t>
        </is>
      </c>
      <c r="AQ24" t="inlineStr">
        <is>
          <t>人民币</t>
        </is>
      </c>
      <c r="AR24" t="n">
        <v>535200</v>
      </c>
      <c r="AS24" t="n">
        <v>600887</v>
      </c>
      <c r="AT24" t="n">
        <v>600887</v>
      </c>
      <c r="AU24" t="n">
        <v>600887</v>
      </c>
      <c r="AV24" t="n">
        <v>600887</v>
      </c>
      <c r="AW24" t="inlineStr">
        <is>
          <t>600887</t>
        </is>
      </c>
      <c r="AX24" t="inlineStr">
        <is>
          <t>无</t>
        </is>
      </c>
      <c r="AY24" t="inlineStr">
        <is>
          <t xml:space="preserve"> </t>
        </is>
      </c>
      <c r="AZ24" t="inlineStr">
        <is>
          <t xml:space="preserve"> </t>
        </is>
      </c>
      <c r="BA24" t="n">
        <v>0.2633</v>
      </c>
      <c r="BB24" t="n">
        <v>0</v>
      </c>
      <c r="BC24" t="inlineStr">
        <is>
          <t>缺省券商</t>
        </is>
      </c>
      <c r="BD24" t="inlineStr">
        <is>
          <t>交易所业务</t>
        </is>
      </c>
      <c r="BE24" t="inlineStr">
        <is>
          <t>不是ETF补券指令</t>
        </is>
      </c>
      <c r="BF24" t="inlineStr">
        <is>
          <t>-535,200.00</t>
        </is>
      </c>
      <c r="BG24" t="n">
        <v>27.03</v>
      </c>
      <c r="BH24" t="inlineStr">
        <is>
          <t>非强平</t>
        </is>
      </c>
      <c r="BI24" t="inlineStr">
        <is>
          <t>顾吟湫</t>
        </is>
      </c>
      <c r="BJ24" t="inlineStr">
        <is>
          <t>否</t>
        </is>
      </c>
      <c r="BK24" t="inlineStr">
        <is>
          <t>限价</t>
        </is>
      </c>
      <c r="BL24" t="n">
        <v/>
      </c>
      <c r="BM24" t="n">
        <v>0</v>
      </c>
      <c r="BN24" t="n">
        <v>0</v>
      </c>
      <c r="BO24" t="inlineStr">
        <is>
          <t>股票</t>
        </is>
      </c>
      <c r="BP24" t="n">
        <v/>
      </c>
      <c r="BQ24" t="n">
        <v/>
      </c>
      <c r="BR24" t="n">
        <v>0</v>
      </c>
      <c r="BS24" t="inlineStr">
        <is>
          <t>已成交</t>
        </is>
      </c>
    </row>
    <row r="25">
      <c r="A25" t="n">
        <v>24</v>
      </c>
      <c r="B25" t="inlineStr">
        <is>
          <t>2026-02-10</t>
        </is>
      </c>
      <c r="C25" t="n">
        <v>3008</v>
      </c>
      <c r="D25" t="inlineStr">
        <is>
          <t>自营权益4</t>
        </is>
      </c>
      <c r="E25" t="n">
        <v>3008</v>
      </c>
      <c r="F25" t="n">
        <v>600919</v>
      </c>
      <c r="G25" t="inlineStr">
        <is>
          <t>江苏银行</t>
        </is>
      </c>
      <c r="H25" t="inlineStr">
        <is>
          <t>买入</t>
        </is>
      </c>
      <c r="I25" t="n">
        <v>10.48</v>
      </c>
      <c r="J25" t="n">
        <v>10.48</v>
      </c>
      <c r="K25" t="n">
        <v>150000</v>
      </c>
      <c r="L25" t="n">
        <v>1572000</v>
      </c>
      <c r="M25" t="n">
        <v>108</v>
      </c>
      <c r="N25" t="n">
        <v>10.48</v>
      </c>
      <c r="O25" t="n">
        <v>10.48</v>
      </c>
      <c r="P25" t="n">
        <v>10.48</v>
      </c>
      <c r="Q25" t="n">
        <v>10.48</v>
      </c>
      <c r="R25" t="n">
        <v>10.48</v>
      </c>
      <c r="S25" t="inlineStr">
        <is>
          <t>上交所A</t>
        </is>
      </c>
      <c r="T25" t="n">
        <v>66595470</v>
      </c>
      <c r="U25" t="n">
        <v>0.2252</v>
      </c>
      <c r="V25" t="n">
        <v>698017694</v>
      </c>
      <c r="W25" t="n">
        <v>300821</v>
      </c>
      <c r="X25" t="inlineStr">
        <is>
          <t>自营权益4（场内）</t>
        </is>
      </c>
      <c r="Y25" t="n">
        <v>150000</v>
      </c>
      <c r="Z25" t="n">
        <v>10.54</v>
      </c>
      <c r="AA25" t="n">
        <v>10.43</v>
      </c>
      <c r="AB25" t="n">
        <v>2</v>
      </c>
      <c r="AC25" t="inlineStr">
        <is>
          <t>叶盛</t>
        </is>
      </c>
      <c r="AD25" t="inlineStr">
        <is>
          <t>股票资产</t>
        </is>
      </c>
      <c r="AE25" t="n">
        <v>0.4794</v>
      </c>
      <c r="AF25" t="n">
        <v>0.2252</v>
      </c>
      <c r="AG25" t="n">
        <v>0.0143</v>
      </c>
      <c r="AH25" t="n">
        <v>150000</v>
      </c>
      <c r="AI25" t="n">
        <v>46</v>
      </c>
      <c r="AJ25" t="inlineStr">
        <is>
          <t>自营权益4（场内）</t>
        </is>
      </c>
      <c r="AK25" t="inlineStr">
        <is>
          <t>人民币</t>
        </is>
      </c>
      <c r="AL25" t="n">
        <v>40878</v>
      </c>
      <c r="AM25" t="n">
        <v/>
      </c>
      <c r="AN25" t="n">
        <v>30082</v>
      </c>
      <c r="AO25" t="n">
        <v/>
      </c>
      <c r="AP25" t="inlineStr">
        <is>
          <t>顾吟湫</t>
        </is>
      </c>
      <c r="AQ25" t="inlineStr">
        <is>
          <t>人民币</t>
        </is>
      </c>
      <c r="AR25" t="n">
        <v>1572000</v>
      </c>
      <c r="AS25" t="n">
        <v/>
      </c>
      <c r="AT25" t="n">
        <v/>
      </c>
      <c r="AU25" t="n">
        <v/>
      </c>
      <c r="AV25" t="n">
        <v/>
      </c>
      <c r="AW25" t="n">
        <v/>
      </c>
      <c r="AX25" t="inlineStr">
        <is>
          <t>无</t>
        </is>
      </c>
      <c r="AY25" t="inlineStr">
        <is>
          <t xml:space="preserve"> </t>
        </is>
      </c>
      <c r="AZ25" t="inlineStr">
        <is>
          <t xml:space="preserve"> </t>
        </is>
      </c>
      <c r="BA25" t="n">
        <v>0.7734</v>
      </c>
      <c r="BB25" t="n">
        <v>0</v>
      </c>
      <c r="BC25" t="inlineStr">
        <is>
          <t>缺省券商</t>
        </is>
      </c>
      <c r="BD25" t="inlineStr">
        <is>
          <t>交易所业务</t>
        </is>
      </c>
      <c r="BE25" t="inlineStr">
        <is>
          <t>不是ETF补券指令</t>
        </is>
      </c>
      <c r="BF25" t="inlineStr">
        <is>
          <t>-1,572,000.00</t>
        </is>
      </c>
      <c r="BG25" t="n">
        <v>10.43</v>
      </c>
      <c r="BH25" t="inlineStr">
        <is>
          <t>非强平</t>
        </is>
      </c>
      <c r="BI25" t="inlineStr">
        <is>
          <t>顾吟湫</t>
        </is>
      </c>
      <c r="BJ25" t="inlineStr">
        <is>
          <t>否</t>
        </is>
      </c>
      <c r="BK25" t="inlineStr">
        <is>
          <t>限价</t>
        </is>
      </c>
      <c r="BL25" t="n">
        <v/>
      </c>
      <c r="BM25" t="n">
        <v>0</v>
      </c>
      <c r="BN25" t="n">
        <v>0</v>
      </c>
      <c r="BO25" t="inlineStr">
        <is>
          <t>股票</t>
        </is>
      </c>
      <c r="BP25" t="n">
        <v/>
      </c>
      <c r="BQ25" t="n">
        <v/>
      </c>
      <c r="BR25" t="n">
        <v>0</v>
      </c>
      <c r="BS25" t="inlineStr">
        <is>
          <t>已成交</t>
        </is>
      </c>
    </row>
    <row r="26">
      <c r="A26" t="n">
        <v>25</v>
      </c>
      <c r="B26" t="inlineStr">
        <is>
          <t>2026-02-10</t>
        </is>
      </c>
      <c r="C26" t="n">
        <v>3008</v>
      </c>
      <c r="D26" t="inlineStr">
        <is>
          <t>自营权益4</t>
        </is>
      </c>
      <c r="E26" t="n">
        <v>3008</v>
      </c>
      <c r="F26" t="n">
        <v>601166</v>
      </c>
      <c r="G26" t="inlineStr">
        <is>
          <t>兴业银行</t>
        </is>
      </c>
      <c r="H26" t="inlineStr">
        <is>
          <t>买入</t>
        </is>
      </c>
      <c r="I26" t="n">
        <v>18.82</v>
      </c>
      <c r="J26" t="n">
        <v>18.86</v>
      </c>
      <c r="K26" t="n">
        <v>10000</v>
      </c>
      <c r="L26" t="n">
        <v>188250</v>
      </c>
      <c r="M26" t="n">
        <v>2</v>
      </c>
      <c r="N26" t="n">
        <v>18.82</v>
      </c>
      <c r="O26" t="n">
        <v>18.83</v>
      </c>
      <c r="P26" t="n">
        <v>18.825</v>
      </c>
      <c r="Q26" t="n">
        <v>18.825</v>
      </c>
      <c r="R26" t="n">
        <v>18.825</v>
      </c>
      <c r="S26" t="inlineStr">
        <is>
          <t>上交所A</t>
        </is>
      </c>
      <c r="T26" t="n">
        <v>51870605</v>
      </c>
      <c r="U26" t="n">
        <v>0.0193</v>
      </c>
      <c r="V26" t="n">
        <v>978050860</v>
      </c>
      <c r="W26" t="n">
        <v>300821</v>
      </c>
      <c r="X26" t="inlineStr">
        <is>
          <t>自营权益4（场内）</t>
        </is>
      </c>
      <c r="Y26" t="n">
        <v>10000</v>
      </c>
      <c r="Z26" t="n">
        <v>18.96</v>
      </c>
      <c r="AA26" t="n">
        <v>18.8</v>
      </c>
      <c r="AB26" t="n">
        <v>2</v>
      </c>
      <c r="AC26" t="inlineStr">
        <is>
          <t>叶盛</t>
        </is>
      </c>
      <c r="AD26" t="inlineStr">
        <is>
          <t>股票资产</t>
        </is>
      </c>
      <c r="AE26" t="n">
        <v>-0.3178</v>
      </c>
      <c r="AF26" t="n">
        <v>0.0192</v>
      </c>
      <c r="AG26" t="n">
        <v>0.1623</v>
      </c>
      <c r="AH26" t="n">
        <v>10000</v>
      </c>
      <c r="AI26" t="n">
        <v>46</v>
      </c>
      <c r="AJ26" t="inlineStr">
        <is>
          <t>自营权益4（场内）</t>
        </is>
      </c>
      <c r="AK26" t="inlineStr">
        <is>
          <t>人民币</t>
        </is>
      </c>
      <c r="AL26" t="n">
        <v>40878</v>
      </c>
      <c r="AM26" t="n">
        <v/>
      </c>
      <c r="AN26" t="n">
        <v>30082</v>
      </c>
      <c r="AO26" t="n">
        <v/>
      </c>
      <c r="AP26" t="inlineStr">
        <is>
          <t>顾吟湫</t>
        </is>
      </c>
      <c r="AQ26" t="inlineStr">
        <is>
          <t>人民币</t>
        </is>
      </c>
      <c r="AR26" t="n">
        <v>188250</v>
      </c>
      <c r="AS26" t="n">
        <v>601166</v>
      </c>
      <c r="AT26" t="n">
        <v>601166</v>
      </c>
      <c r="AU26" t="n">
        <v>601166</v>
      </c>
      <c r="AV26" t="n">
        <v>601166</v>
      </c>
      <c r="AW26" t="inlineStr">
        <is>
          <t>601166</t>
        </is>
      </c>
      <c r="AX26" t="inlineStr">
        <is>
          <t>无</t>
        </is>
      </c>
      <c r="AY26" t="inlineStr">
        <is>
          <t xml:space="preserve"> </t>
        </is>
      </c>
      <c r="AZ26" t="inlineStr">
        <is>
          <t xml:space="preserve"> </t>
        </is>
      </c>
      <c r="BA26" t="n">
        <v>0.0926</v>
      </c>
      <c r="BB26" t="n">
        <v>0</v>
      </c>
      <c r="BC26" t="inlineStr">
        <is>
          <t>缺省券商</t>
        </is>
      </c>
      <c r="BD26" t="inlineStr">
        <is>
          <t>交易所业务</t>
        </is>
      </c>
      <c r="BE26" t="inlineStr">
        <is>
          <t>不是ETF补券指令</t>
        </is>
      </c>
      <c r="BF26" t="inlineStr">
        <is>
          <t>-188,250.00</t>
        </is>
      </c>
      <c r="BG26" t="n">
        <v>18.88</v>
      </c>
      <c r="BH26" t="inlineStr">
        <is>
          <t>非强平</t>
        </is>
      </c>
      <c r="BI26" t="inlineStr">
        <is>
          <t>顾吟湫</t>
        </is>
      </c>
      <c r="BJ26" t="inlineStr">
        <is>
          <t>否</t>
        </is>
      </c>
      <c r="BK26" t="inlineStr">
        <is>
          <t>限价</t>
        </is>
      </c>
      <c r="BL26" t="n">
        <v/>
      </c>
      <c r="BM26" t="n">
        <v>0</v>
      </c>
      <c r="BN26" t="n">
        <v>1.783333333333333</v>
      </c>
      <c r="BO26" t="inlineStr">
        <is>
          <t>股票</t>
        </is>
      </c>
      <c r="BP26" t="n">
        <v/>
      </c>
      <c r="BQ26" t="n">
        <v/>
      </c>
      <c r="BR26" t="n">
        <v>0</v>
      </c>
      <c r="BS26" t="inlineStr">
        <is>
          <t>已成交</t>
        </is>
      </c>
    </row>
    <row r="27">
      <c r="A27" t="n">
        <v>26</v>
      </c>
      <c r="B27" t="inlineStr">
        <is>
          <t>2026-02-10</t>
        </is>
      </c>
      <c r="C27" t="n">
        <v>3008</v>
      </c>
      <c r="D27" t="inlineStr">
        <is>
          <t>自营权益4</t>
        </is>
      </c>
      <c r="E27" t="n">
        <v>3008</v>
      </c>
      <c r="F27" t="n">
        <v>601825</v>
      </c>
      <c r="G27" t="inlineStr">
        <is>
          <t>沪农商行</t>
        </is>
      </c>
      <c r="H27" t="inlineStr">
        <is>
          <t>买入</t>
        </is>
      </c>
      <c r="I27" t="n">
        <v>8.640000000000001</v>
      </c>
      <c r="J27" t="n">
        <v>8.619999999999999</v>
      </c>
      <c r="K27" t="n">
        <v>120000</v>
      </c>
      <c r="L27" t="n">
        <v>1035600</v>
      </c>
      <c r="M27" t="n">
        <v>76</v>
      </c>
      <c r="N27" t="n">
        <v>8.630000000000001</v>
      </c>
      <c r="O27" t="n">
        <v>8.630000000000001</v>
      </c>
      <c r="P27" t="n">
        <v>8.630000000000001</v>
      </c>
      <c r="Q27" t="n">
        <v>8.630000000000001</v>
      </c>
      <c r="R27" t="n">
        <v>8.630000000000001</v>
      </c>
      <c r="S27" t="inlineStr">
        <is>
          <t>上交所A</t>
        </is>
      </c>
      <c r="T27" t="n">
        <v>15048230</v>
      </c>
      <c r="U27" t="n">
        <v>0.7974</v>
      </c>
      <c r="V27" t="n">
        <v>129756751</v>
      </c>
      <c r="W27" t="n">
        <v>300821</v>
      </c>
      <c r="X27" t="inlineStr">
        <is>
          <t>自营权益4（场内）</t>
        </is>
      </c>
      <c r="Y27" t="n">
        <v>120000</v>
      </c>
      <c r="Z27" t="n">
        <v>8.66</v>
      </c>
      <c r="AA27" t="n">
        <v>8.56</v>
      </c>
      <c r="AB27" t="n">
        <v>2</v>
      </c>
      <c r="AC27" t="inlineStr">
        <is>
          <t>叶盛</t>
        </is>
      </c>
      <c r="AD27" t="inlineStr">
        <is>
          <t>股票资产</t>
        </is>
      </c>
      <c r="AE27" t="n">
        <v>0.6993</v>
      </c>
      <c r="AF27" t="n">
        <v>0.7981</v>
      </c>
      <c r="AG27" t="n">
        <v>-0.0847</v>
      </c>
      <c r="AH27" t="n">
        <v>120000</v>
      </c>
      <c r="AI27" t="n">
        <v>46</v>
      </c>
      <c r="AJ27" t="inlineStr">
        <is>
          <t>自营权益4（场内）</t>
        </is>
      </c>
      <c r="AK27" t="inlineStr">
        <is>
          <t>人民币</t>
        </is>
      </c>
      <c r="AL27" t="n">
        <v>40878</v>
      </c>
      <c r="AM27" t="n">
        <v/>
      </c>
      <c r="AN27" t="n">
        <v>30082</v>
      </c>
      <c r="AO27" t="n">
        <v/>
      </c>
      <c r="AP27" t="inlineStr">
        <is>
          <t>顾吟湫</t>
        </is>
      </c>
      <c r="AQ27" t="inlineStr">
        <is>
          <t>人民币</t>
        </is>
      </c>
      <c r="AR27" t="n">
        <v>1035600</v>
      </c>
      <c r="AS27" t="n">
        <v/>
      </c>
      <c r="AT27" t="n">
        <v/>
      </c>
      <c r="AU27" t="n">
        <v/>
      </c>
      <c r="AV27" t="n">
        <v/>
      </c>
      <c r="AW27" t="n">
        <v/>
      </c>
      <c r="AX27" t="inlineStr">
        <is>
          <t>无</t>
        </is>
      </c>
      <c r="AY27" t="inlineStr">
        <is>
          <t xml:space="preserve"> </t>
        </is>
      </c>
      <c r="AZ27" t="inlineStr">
        <is>
          <t xml:space="preserve"> </t>
        </is>
      </c>
      <c r="BA27" t="n">
        <v>0.5095</v>
      </c>
      <c r="BB27" t="n">
        <v>0</v>
      </c>
      <c r="BC27" t="inlineStr">
        <is>
          <t>缺省券商</t>
        </is>
      </c>
      <c r="BD27" t="inlineStr">
        <is>
          <t>交易所业务</t>
        </is>
      </c>
      <c r="BE27" t="inlineStr">
        <is>
          <t>不是ETF补券指令</t>
        </is>
      </c>
      <c r="BF27" t="inlineStr">
        <is>
          <t>-1,035,600.00</t>
        </is>
      </c>
      <c r="BG27" t="n">
        <v>8.6</v>
      </c>
      <c r="BH27" t="inlineStr">
        <is>
          <t>非强平</t>
        </is>
      </c>
      <c r="BI27" t="inlineStr">
        <is>
          <t>顾吟湫</t>
        </is>
      </c>
      <c r="BJ27" t="inlineStr">
        <is>
          <t>否</t>
        </is>
      </c>
      <c r="BK27" t="inlineStr">
        <is>
          <t>限价</t>
        </is>
      </c>
      <c r="BL27" t="n">
        <v/>
      </c>
      <c r="BM27" t="n">
        <v>0</v>
      </c>
      <c r="BN27" t="n">
        <v>180.0833333333333</v>
      </c>
      <c r="BO27" t="inlineStr">
        <is>
          <t>股票</t>
        </is>
      </c>
      <c r="BP27" t="n">
        <v/>
      </c>
      <c r="BQ27" t="n">
        <v/>
      </c>
      <c r="BR27" t="n">
        <v>0</v>
      </c>
      <c r="BS27" t="inlineStr">
        <is>
          <t>已成交</t>
        </is>
      </c>
    </row>
    <row r="28">
      <c r="A28" t="n">
        <v>27</v>
      </c>
      <c r="B28" t="inlineStr">
        <is>
          <t>2026-02-10</t>
        </is>
      </c>
      <c r="C28" t="n">
        <v>3008</v>
      </c>
      <c r="D28" t="inlineStr">
        <is>
          <t>自营权益4</t>
        </is>
      </c>
      <c r="E28" t="n">
        <v>3008</v>
      </c>
      <c r="F28" t="n">
        <v>568</v>
      </c>
      <c r="G28" t="inlineStr">
        <is>
          <t>泸州老窖</t>
        </is>
      </c>
      <c r="H28" t="inlineStr">
        <is>
          <t>卖出</t>
        </is>
      </c>
      <c r="I28" t="n">
        <v>118.19</v>
      </c>
      <c r="J28" t="n">
        <v>118.35</v>
      </c>
      <c r="K28" t="n">
        <v>15000</v>
      </c>
      <c r="L28" t="n">
        <v>1769314</v>
      </c>
      <c r="M28" t="n">
        <v>38</v>
      </c>
      <c r="N28" t="n">
        <v>117.95</v>
      </c>
      <c r="O28" t="n">
        <v>118.03</v>
      </c>
      <c r="P28" t="n">
        <v>117.9542666666667</v>
      </c>
      <c r="Q28" t="n">
        <v>117.9542666666667</v>
      </c>
      <c r="R28" t="n">
        <v>117.9542666666667</v>
      </c>
      <c r="S28" t="inlineStr">
        <is>
          <t>深交所A</t>
        </is>
      </c>
      <c r="T28" t="n">
        <v>12866212</v>
      </c>
      <c r="U28" t="n">
        <v>0.1166</v>
      </c>
      <c r="V28" t="n">
        <v>1522683319.04</v>
      </c>
      <c r="W28" t="n">
        <v>300821</v>
      </c>
      <c r="X28" t="inlineStr">
        <is>
          <t>自营权益4（场内）</t>
        </is>
      </c>
      <c r="Y28" t="n">
        <v>15000</v>
      </c>
      <c r="Z28" t="n">
        <v>121</v>
      </c>
      <c r="AA28" t="n">
        <v>117.6</v>
      </c>
      <c r="AB28" t="n">
        <v>2</v>
      </c>
      <c r="AC28" t="inlineStr">
        <is>
          <t>叶盛</t>
        </is>
      </c>
      <c r="AD28" t="inlineStr">
        <is>
          <t>股票资产</t>
        </is>
      </c>
      <c r="AE28" t="n">
        <v>-2.5559</v>
      </c>
      <c r="AF28" t="n">
        <v>0.1162</v>
      </c>
      <c r="AG28" t="n">
        <v>-0.3322</v>
      </c>
      <c r="AH28" t="n">
        <v>15000</v>
      </c>
      <c r="AI28" t="n">
        <v>46</v>
      </c>
      <c r="AJ28" t="inlineStr">
        <is>
          <t>自营权益4（场内）</t>
        </is>
      </c>
      <c r="AK28" t="inlineStr">
        <is>
          <t>人民币</t>
        </is>
      </c>
      <c r="AL28" t="n">
        <v>6111</v>
      </c>
      <c r="AM28" t="n">
        <v/>
      </c>
      <c r="AN28" t="n">
        <v>30082</v>
      </c>
      <c r="AO28" t="n">
        <v/>
      </c>
      <c r="AP28" t="inlineStr">
        <is>
          <t>顾吟湫</t>
        </is>
      </c>
      <c r="AQ28" t="inlineStr">
        <is>
          <t>人民币</t>
        </is>
      </c>
      <c r="AR28" t="n">
        <v>1769314</v>
      </c>
      <c r="AS28" t="n">
        <v>568</v>
      </c>
      <c r="AT28" t="n">
        <v>568</v>
      </c>
      <c r="AU28" t="n">
        <v>568</v>
      </c>
      <c r="AV28" t="n">
        <v>568</v>
      </c>
      <c r="AW28" t="inlineStr">
        <is>
          <t>000568</t>
        </is>
      </c>
      <c r="AX28" t="inlineStr">
        <is>
          <t>无</t>
        </is>
      </c>
      <c r="AY28" t="inlineStr">
        <is>
          <t xml:space="preserve"> </t>
        </is>
      </c>
      <c r="AZ28" t="inlineStr">
        <is>
          <t xml:space="preserve"> </t>
        </is>
      </c>
      <c r="BA28" t="n">
        <v>0.8705000000000001</v>
      </c>
      <c r="BB28" t="n">
        <v>0</v>
      </c>
      <c r="BC28" t="inlineStr">
        <is>
          <t>缺省券商</t>
        </is>
      </c>
      <c r="BD28" t="inlineStr">
        <is>
          <t>交易所业务</t>
        </is>
      </c>
      <c r="BE28" t="inlineStr">
        <is>
          <t>不是ETF补券指令</t>
        </is>
      </c>
      <c r="BF28" t="inlineStr">
        <is>
          <t>1,769,314.00</t>
        </is>
      </c>
      <c r="BG28" t="n">
        <v>121</v>
      </c>
      <c r="BH28" t="inlineStr">
        <is>
          <t>非强平</t>
        </is>
      </c>
      <c r="BI28" t="inlineStr">
        <is>
          <t>顾吟湫</t>
        </is>
      </c>
      <c r="BJ28" t="inlineStr">
        <is>
          <t>否</t>
        </is>
      </c>
      <c r="BK28" t="inlineStr">
        <is>
          <t>限价</t>
        </is>
      </c>
      <c r="BL28" t="n">
        <v/>
      </c>
      <c r="BM28" t="n">
        <v>0</v>
      </c>
      <c r="BN28" t="n">
        <v>30.48333333333333</v>
      </c>
      <c r="BO28" t="inlineStr">
        <is>
          <t>股票</t>
        </is>
      </c>
      <c r="BP28" t="n">
        <v/>
      </c>
      <c r="BQ28" t="n">
        <v/>
      </c>
      <c r="BR28" t="n">
        <v>0</v>
      </c>
      <c r="BS28" t="inlineStr">
        <is>
          <t>已成交</t>
        </is>
      </c>
    </row>
    <row r="29">
      <c r="A29" t="n">
        <v>28</v>
      </c>
      <c r="B29" t="inlineStr">
        <is>
          <t>2026-02-11</t>
        </is>
      </c>
      <c r="C29" t="n">
        <v>3008</v>
      </c>
      <c r="D29" t="inlineStr">
        <is>
          <t>自营权益4</t>
        </is>
      </c>
      <c r="E29" t="n">
        <v>3008</v>
      </c>
      <c r="F29" t="n">
        <v>600036</v>
      </c>
      <c r="G29" t="inlineStr">
        <is>
          <t>招商银行</t>
        </is>
      </c>
      <c r="H29" t="inlineStr">
        <is>
          <t>买入</t>
        </is>
      </c>
      <c r="I29" t="n">
        <v>39.4</v>
      </c>
      <c r="J29" t="n">
        <v>39.34</v>
      </c>
      <c r="K29" t="n">
        <v>10000</v>
      </c>
      <c r="L29" t="n">
        <v>393353</v>
      </c>
      <c r="M29" t="n">
        <v>5</v>
      </c>
      <c r="N29" t="n">
        <v>39.33</v>
      </c>
      <c r="O29" t="n">
        <v>39.34</v>
      </c>
      <c r="P29" t="n">
        <v>39.3353</v>
      </c>
      <c r="Q29" t="n">
        <v>39.3353</v>
      </c>
      <c r="R29" t="n">
        <v>39.3353</v>
      </c>
      <c r="S29" t="inlineStr">
        <is>
          <t>上交所A</t>
        </is>
      </c>
      <c r="T29" t="n">
        <v>52881696</v>
      </c>
      <c r="U29" t="n">
        <v>0.0189</v>
      </c>
      <c r="V29" t="n">
        <v>2080370293</v>
      </c>
      <c r="W29" t="n">
        <v>300821</v>
      </c>
      <c r="X29" t="inlineStr">
        <is>
          <t>自营权益4（场内）</t>
        </is>
      </c>
      <c r="Y29" t="n">
        <v>10000</v>
      </c>
      <c r="Z29" t="n">
        <v>39.45</v>
      </c>
      <c r="AA29" t="n">
        <v>39.2</v>
      </c>
      <c r="AB29" t="n">
        <v>1</v>
      </c>
      <c r="AC29" t="inlineStr">
        <is>
          <t>叶盛</t>
        </is>
      </c>
      <c r="AD29" t="inlineStr">
        <is>
          <t>股票资产</t>
        </is>
      </c>
      <c r="AE29" t="n">
        <v>0.1525</v>
      </c>
      <c r="AF29" t="n">
        <v>0.0189</v>
      </c>
      <c r="AG29" t="n">
        <v>0.0122</v>
      </c>
      <c r="AH29" t="n">
        <v>10000</v>
      </c>
      <c r="AI29" t="n">
        <v>46</v>
      </c>
      <c r="AJ29" t="inlineStr">
        <is>
          <t>自营权益4（场内）</t>
        </is>
      </c>
      <c r="AK29" t="inlineStr">
        <is>
          <t>人民币</t>
        </is>
      </c>
      <c r="AL29" t="n">
        <v>40878</v>
      </c>
      <c r="AM29" t="n">
        <v/>
      </c>
      <c r="AN29" t="n">
        <v>30082</v>
      </c>
      <c r="AO29" t="n">
        <v/>
      </c>
      <c r="AP29" t="inlineStr">
        <is>
          <t>顾吟湫</t>
        </is>
      </c>
      <c r="AQ29" t="inlineStr">
        <is>
          <t>人民币</t>
        </is>
      </c>
      <c r="AR29" t="n">
        <v>393353</v>
      </c>
      <c r="AS29" t="n">
        <v>600036</v>
      </c>
      <c r="AT29" t="n">
        <v>600036</v>
      </c>
      <c r="AU29" t="n">
        <v>600036</v>
      </c>
      <c r="AV29" t="n">
        <v>600036</v>
      </c>
      <c r="AW29" t="inlineStr">
        <is>
          <t>600036</t>
        </is>
      </c>
      <c r="AX29" t="inlineStr">
        <is>
          <t>无</t>
        </is>
      </c>
      <c r="AY29" t="inlineStr">
        <is>
          <t xml:space="preserve"> </t>
        </is>
      </c>
      <c r="AZ29" t="inlineStr">
        <is>
          <t xml:space="preserve"> </t>
        </is>
      </c>
      <c r="BA29" t="n">
        <v>0.1927</v>
      </c>
      <c r="BB29" t="n">
        <v>0</v>
      </c>
      <c r="BC29" t="inlineStr">
        <is>
          <t>缺省券商</t>
        </is>
      </c>
      <c r="BD29" t="inlineStr">
        <is>
          <t>交易所业务</t>
        </is>
      </c>
      <c r="BE29" t="inlineStr">
        <is>
          <t>不是ETF补券指令</t>
        </is>
      </c>
      <c r="BF29" t="inlineStr">
        <is>
          <t>-393,353.00</t>
        </is>
      </c>
      <c r="BG29" t="n">
        <v>39.36</v>
      </c>
      <c r="BH29" t="inlineStr">
        <is>
          <t>非强平</t>
        </is>
      </c>
      <c r="BI29" t="inlineStr">
        <is>
          <t>顾吟湫</t>
        </is>
      </c>
      <c r="BJ29" t="inlineStr">
        <is>
          <t>否</t>
        </is>
      </c>
      <c r="BK29" t="inlineStr">
        <is>
          <t>限价</t>
        </is>
      </c>
      <c r="BL29" t="n">
        <v/>
      </c>
      <c r="BM29" t="n">
        <v>0</v>
      </c>
      <c r="BN29" t="n">
        <v>0</v>
      </c>
      <c r="BO29" t="inlineStr">
        <is>
          <t>股票</t>
        </is>
      </c>
      <c r="BP29" t="n">
        <v/>
      </c>
      <c r="BQ29" t="n">
        <v/>
      </c>
      <c r="BR29" t="n">
        <v>0</v>
      </c>
      <c r="BS29" t="inlineStr">
        <is>
          <t>已成交</t>
        </is>
      </c>
    </row>
    <row r="30">
      <c r="A30" t="n">
        <v>29</v>
      </c>
      <c r="B30" t="inlineStr">
        <is>
          <t>2026-02-12</t>
        </is>
      </c>
      <c r="C30" t="n">
        <v>3008</v>
      </c>
      <c r="D30" t="inlineStr">
        <is>
          <t>自营权益4</t>
        </is>
      </c>
      <c r="E30" t="n">
        <v>3008</v>
      </c>
      <c r="F30" t="n">
        <v>600809</v>
      </c>
      <c r="G30" t="inlineStr">
        <is>
          <t>山西汾酒</t>
        </is>
      </c>
      <c r="H30" t="inlineStr">
        <is>
          <t>卖出</t>
        </is>
      </c>
      <c r="I30" t="n">
        <v>166.31</v>
      </c>
      <c r="J30" t="n">
        <v>166.8</v>
      </c>
      <c r="K30" t="n">
        <v>7000</v>
      </c>
      <c r="L30" t="n">
        <v>1177820</v>
      </c>
      <c r="M30" t="n">
        <v>3</v>
      </c>
      <c r="N30" t="n">
        <v>168.26</v>
      </c>
      <c r="O30" t="n">
        <v>168.26</v>
      </c>
      <c r="P30" t="n">
        <v>168.26</v>
      </c>
      <c r="Q30" t="n">
        <v>168.26</v>
      </c>
      <c r="R30" t="n">
        <v>168.26</v>
      </c>
      <c r="S30" t="inlineStr">
        <is>
          <t>上交所A</t>
        </is>
      </c>
      <c r="T30" t="n">
        <v>5856835</v>
      </c>
      <c r="U30" t="n">
        <v>0.1195</v>
      </c>
      <c r="V30" t="n">
        <v>976918471</v>
      </c>
      <c r="W30" t="n">
        <v>300821</v>
      </c>
      <c r="X30" t="inlineStr">
        <is>
          <t>自营权益4（场内）</t>
        </is>
      </c>
      <c r="Y30" t="n">
        <v>7000</v>
      </c>
      <c r="Z30" t="n">
        <v>169.18</v>
      </c>
      <c r="AA30" t="n">
        <v>165.82</v>
      </c>
      <c r="AB30" t="n">
        <v>2</v>
      </c>
      <c r="AC30" t="inlineStr">
        <is>
          <t>叶盛</t>
        </is>
      </c>
      <c r="AD30" t="inlineStr">
        <is>
          <t>股票资产</t>
        </is>
      </c>
      <c r="AE30" t="n">
        <v>-1.9745</v>
      </c>
      <c r="AF30" t="n">
        <v>0.1206</v>
      </c>
      <c r="AG30" t="n">
        <v>0.8754999999999999</v>
      </c>
      <c r="AH30" t="n">
        <v>7000</v>
      </c>
      <c r="AI30" t="n">
        <v>46</v>
      </c>
      <c r="AJ30" t="inlineStr">
        <is>
          <t>自营权益4（场内）</t>
        </is>
      </c>
      <c r="AK30" t="inlineStr">
        <is>
          <t>人民币</t>
        </is>
      </c>
      <c r="AL30" t="n">
        <v>40878</v>
      </c>
      <c r="AM30" t="n">
        <v/>
      </c>
      <c r="AN30" t="n">
        <v>30082</v>
      </c>
      <c r="AO30" t="n">
        <v/>
      </c>
      <c r="AP30" t="inlineStr">
        <is>
          <t>顾吟湫</t>
        </is>
      </c>
      <c r="AQ30" t="inlineStr">
        <is>
          <t>人民币</t>
        </is>
      </c>
      <c r="AR30" t="n">
        <v>1177820</v>
      </c>
      <c r="AS30" t="n">
        <v>600809</v>
      </c>
      <c r="AT30" t="n">
        <v>600809</v>
      </c>
      <c r="AU30" t="n">
        <v>600809</v>
      </c>
      <c r="AV30" t="n">
        <v>600809</v>
      </c>
      <c r="AW30" t="inlineStr">
        <is>
          <t>600809</t>
        </is>
      </c>
      <c r="AX30" t="inlineStr">
        <is>
          <t>无</t>
        </is>
      </c>
      <c r="AY30" t="inlineStr">
        <is>
          <t xml:space="preserve"> </t>
        </is>
      </c>
      <c r="AZ30" t="inlineStr">
        <is>
          <t xml:space="preserve"> </t>
        </is>
      </c>
      <c r="BA30" t="n">
        <v>0.5844</v>
      </c>
      <c r="BB30" t="n">
        <v>0</v>
      </c>
      <c r="BC30" t="inlineStr">
        <is>
          <t>缺省券商</t>
        </is>
      </c>
      <c r="BD30" t="inlineStr">
        <is>
          <t>交易所业务</t>
        </is>
      </c>
      <c r="BE30" t="inlineStr">
        <is>
          <t>不是ETF补券指令</t>
        </is>
      </c>
      <c r="BF30" t="inlineStr">
        <is>
          <t>1,177,820.00</t>
        </is>
      </c>
      <c r="BG30" t="n">
        <v>168.5</v>
      </c>
      <c r="BH30" t="inlineStr">
        <is>
          <t>非强平</t>
        </is>
      </c>
      <c r="BI30" t="inlineStr">
        <is>
          <t>顾吟湫</t>
        </is>
      </c>
      <c r="BJ30" t="inlineStr">
        <is>
          <t>否</t>
        </is>
      </c>
      <c r="BK30" t="inlineStr">
        <is>
          <t>限价</t>
        </is>
      </c>
      <c r="BL30" t="n">
        <v/>
      </c>
      <c r="BM30" t="n">
        <v>0</v>
      </c>
      <c r="BN30" t="n">
        <v>0.1333333333333333</v>
      </c>
      <c r="BO30" t="inlineStr">
        <is>
          <t>股票</t>
        </is>
      </c>
      <c r="BP30" t="n">
        <v/>
      </c>
      <c r="BQ30" t="n">
        <v/>
      </c>
      <c r="BR30" t="n">
        <v>0</v>
      </c>
      <c r="BS30" t="inlineStr">
        <is>
          <t>已成交</t>
        </is>
      </c>
    </row>
    <row r="31">
      <c r="A31" t="n">
        <v>30</v>
      </c>
      <c r="B31" t="inlineStr">
        <is>
          <t>2026-02-12</t>
        </is>
      </c>
      <c r="C31" t="n">
        <v>3008</v>
      </c>
      <c r="D31" t="inlineStr">
        <is>
          <t>自营权益4</t>
        </is>
      </c>
      <c r="E31" t="n">
        <v>3008</v>
      </c>
      <c r="F31" t="n">
        <v>568</v>
      </c>
      <c r="G31" t="inlineStr">
        <is>
          <t>泸州老窖</t>
        </is>
      </c>
      <c r="H31" t="inlineStr">
        <is>
          <t>卖出</t>
        </is>
      </c>
      <c r="I31" t="n">
        <v>115.62</v>
      </c>
      <c r="J31" t="n">
        <v>116.15</v>
      </c>
      <c r="K31" t="n">
        <v>10000</v>
      </c>
      <c r="L31" t="n">
        <v>1171300</v>
      </c>
      <c r="M31" t="n">
        <v>8</v>
      </c>
      <c r="N31" t="n">
        <v>117.13</v>
      </c>
      <c r="O31" t="n">
        <v>117.13</v>
      </c>
      <c r="P31" t="n">
        <v>117.13</v>
      </c>
      <c r="Q31" t="n">
        <v>117.13</v>
      </c>
      <c r="R31" t="n">
        <v>117.13</v>
      </c>
      <c r="S31" t="inlineStr">
        <is>
          <t>深交所A</t>
        </is>
      </c>
      <c r="T31" t="n">
        <v>9332215</v>
      </c>
      <c r="U31" t="n">
        <v>0.1072</v>
      </c>
      <c r="V31" t="n">
        <v>1083981222.13</v>
      </c>
      <c r="W31" t="n">
        <v>300821</v>
      </c>
      <c r="X31" t="inlineStr">
        <is>
          <t>自营权益4（场内）</t>
        </is>
      </c>
      <c r="Y31" t="n">
        <v>10000</v>
      </c>
      <c r="Z31" t="n">
        <v>117.94</v>
      </c>
      <c r="AA31" t="n">
        <v>115.57</v>
      </c>
      <c r="AB31" t="n">
        <v>2</v>
      </c>
      <c r="AC31" t="inlineStr">
        <is>
          <t>叶盛</t>
        </is>
      </c>
      <c r="AD31" t="inlineStr">
        <is>
          <t>股票资产</t>
        </is>
      </c>
      <c r="AE31" t="n">
        <v>-1.9671</v>
      </c>
      <c r="AF31" t="n">
        <v>0.1081</v>
      </c>
      <c r="AG31" t="n">
        <v>0.8396</v>
      </c>
      <c r="AH31" t="n">
        <v>10000</v>
      </c>
      <c r="AI31" t="n">
        <v>46</v>
      </c>
      <c r="AJ31" t="inlineStr">
        <is>
          <t>自营权益4（场内）</t>
        </is>
      </c>
      <c r="AK31" t="inlineStr">
        <is>
          <t>人民币</t>
        </is>
      </c>
      <c r="AL31" t="n">
        <v>6111</v>
      </c>
      <c r="AM31" t="n">
        <v/>
      </c>
      <c r="AN31" t="n">
        <v>30082</v>
      </c>
      <c r="AO31" t="n">
        <v/>
      </c>
      <c r="AP31" t="inlineStr">
        <is>
          <t>顾吟湫</t>
        </is>
      </c>
      <c r="AQ31" t="inlineStr">
        <is>
          <t>人民币</t>
        </is>
      </c>
      <c r="AR31" t="n">
        <v>1171300</v>
      </c>
      <c r="AS31" t="n">
        <v>568</v>
      </c>
      <c r="AT31" t="n">
        <v>568</v>
      </c>
      <c r="AU31" t="n">
        <v>568</v>
      </c>
      <c r="AV31" t="n">
        <v>568</v>
      </c>
      <c r="AW31" t="inlineStr">
        <is>
          <t>000568</t>
        </is>
      </c>
      <c r="AX31" t="inlineStr">
        <is>
          <t>无</t>
        </is>
      </c>
      <c r="AY31" t="inlineStr">
        <is>
          <t xml:space="preserve"> </t>
        </is>
      </c>
      <c r="AZ31" t="inlineStr">
        <is>
          <t xml:space="preserve"> </t>
        </is>
      </c>
      <c r="BA31" t="n">
        <v>0.5812</v>
      </c>
      <c r="BB31" t="n">
        <v>0</v>
      </c>
      <c r="BC31" t="inlineStr">
        <is>
          <t>缺省券商</t>
        </is>
      </c>
      <c r="BD31" t="inlineStr">
        <is>
          <t>交易所业务</t>
        </is>
      </c>
      <c r="BE31" t="inlineStr">
        <is>
          <t>不是ETF补券指令</t>
        </is>
      </c>
      <c r="BF31" t="inlineStr">
        <is>
          <t>1,171,300.00</t>
        </is>
      </c>
      <c r="BG31" t="n">
        <v>117.55</v>
      </c>
      <c r="BH31" t="inlineStr">
        <is>
          <t>非强平</t>
        </is>
      </c>
      <c r="BI31" t="inlineStr">
        <is>
          <t>顾吟湫</t>
        </is>
      </c>
      <c r="BJ31" t="inlineStr">
        <is>
          <t>否</t>
        </is>
      </c>
      <c r="BK31" t="inlineStr">
        <is>
          <t>限价</t>
        </is>
      </c>
      <c r="BL31" t="n">
        <v/>
      </c>
      <c r="BM31" t="n">
        <v>0</v>
      </c>
      <c r="BN31" t="n">
        <v>0.15</v>
      </c>
      <c r="BO31" t="inlineStr">
        <is>
          <t>股票</t>
        </is>
      </c>
      <c r="BP31" t="n">
        <v/>
      </c>
      <c r="BQ31" t="n">
        <v/>
      </c>
      <c r="BR31" t="n">
        <v>0</v>
      </c>
      <c r="BS31" t="inlineStr">
        <is>
          <t>已成交</t>
        </is>
      </c>
    </row>
    <row r="32">
      <c r="A32" t="n">
        <v>31</v>
      </c>
      <c r="B32" t="inlineStr">
        <is>
          <t>2026-02-24</t>
        </is>
      </c>
      <c r="C32" t="n">
        <v>3008</v>
      </c>
      <c r="D32" t="inlineStr">
        <is>
          <t>自营权益4</t>
        </is>
      </c>
      <c r="E32" t="n">
        <v>3008</v>
      </c>
      <c r="F32" t="n">
        <v>600919</v>
      </c>
      <c r="G32" t="inlineStr">
        <is>
          <t>江苏银行</t>
        </is>
      </c>
      <c r="H32" t="inlineStr">
        <is>
          <t>买入</t>
        </is>
      </c>
      <c r="I32" t="n">
        <v>10.32</v>
      </c>
      <c r="J32" t="n">
        <v>10.38</v>
      </c>
      <c r="K32" t="n">
        <v>30000</v>
      </c>
      <c r="L32" t="n">
        <v>311700</v>
      </c>
      <c r="M32" t="n">
        <v>26</v>
      </c>
      <c r="N32" t="n">
        <v>10.39</v>
      </c>
      <c r="O32" t="n">
        <v>10.39</v>
      </c>
      <c r="P32" t="n">
        <v>10.39</v>
      </c>
      <c r="Q32" t="n">
        <v>10.39</v>
      </c>
      <c r="R32" t="n">
        <v>10.39</v>
      </c>
      <c r="S32" t="inlineStr">
        <is>
          <t>上交所A</t>
        </is>
      </c>
      <c r="T32" t="n">
        <v>76468662</v>
      </c>
      <c r="U32" t="n">
        <v>0.0392</v>
      </c>
      <c r="V32" t="n">
        <v>793715267</v>
      </c>
      <c r="W32" t="n">
        <v>300821</v>
      </c>
      <c r="X32" t="inlineStr">
        <is>
          <t>自营权益4（场内）</t>
        </is>
      </c>
      <c r="Y32" t="n">
        <v>30000</v>
      </c>
      <c r="Z32" t="n">
        <v>10.48</v>
      </c>
      <c r="AA32" t="n">
        <v>10.32</v>
      </c>
      <c r="AB32" t="n">
        <v>1</v>
      </c>
      <c r="AC32" t="inlineStr">
        <is>
          <t>叶盛</t>
        </is>
      </c>
      <c r="AD32" t="inlineStr">
        <is>
          <t>股票资产</t>
        </is>
      </c>
      <c r="AE32" t="n">
        <v>-0.6737</v>
      </c>
      <c r="AF32" t="n">
        <v>0.0393</v>
      </c>
      <c r="AG32" t="n">
        <v>-0.1002</v>
      </c>
      <c r="AH32" t="n">
        <v>30000</v>
      </c>
      <c r="AI32" t="n">
        <v>46</v>
      </c>
      <c r="AJ32" t="inlineStr">
        <is>
          <t>自营权益4（场内）</t>
        </is>
      </c>
      <c r="AK32" t="inlineStr">
        <is>
          <t>人民币</t>
        </is>
      </c>
      <c r="AL32" t="n">
        <v>40878</v>
      </c>
      <c r="AM32" t="n">
        <v/>
      </c>
      <c r="AN32" t="n">
        <v>30082</v>
      </c>
      <c r="AO32" t="n">
        <v/>
      </c>
      <c r="AP32" t="inlineStr">
        <is>
          <t>顾吟湫</t>
        </is>
      </c>
      <c r="AQ32" t="inlineStr">
        <is>
          <t>人民币</t>
        </is>
      </c>
      <c r="AR32" t="n">
        <v>311700</v>
      </c>
      <c r="AS32" t="n">
        <v/>
      </c>
      <c r="AT32" t="n">
        <v/>
      </c>
      <c r="AU32" t="n">
        <v/>
      </c>
      <c r="AV32" t="n">
        <v/>
      </c>
      <c r="AW32" t="n">
        <v/>
      </c>
      <c r="AX32" t="inlineStr">
        <is>
          <t>无</t>
        </is>
      </c>
      <c r="AY32" t="inlineStr">
        <is>
          <t xml:space="preserve"> </t>
        </is>
      </c>
      <c r="AZ32" t="inlineStr">
        <is>
          <t xml:space="preserve"> </t>
        </is>
      </c>
      <c r="BA32" t="n">
        <v>0.1547</v>
      </c>
      <c r="BB32" t="n">
        <v>0</v>
      </c>
      <c r="BC32" t="inlineStr">
        <is>
          <t>缺省券商</t>
        </is>
      </c>
      <c r="BD32" t="inlineStr">
        <is>
          <t>交易所业务</t>
        </is>
      </c>
      <c r="BE32" t="inlineStr">
        <is>
          <t>不是ETF补券指令</t>
        </is>
      </c>
      <c r="BF32" t="inlineStr">
        <is>
          <t>-311,700.00</t>
        </is>
      </c>
      <c r="BG32" t="n">
        <v>10.43</v>
      </c>
      <c r="BH32" t="inlineStr">
        <is>
          <t>非强平</t>
        </is>
      </c>
      <c r="BI32" t="inlineStr">
        <is>
          <t>顾吟湫</t>
        </is>
      </c>
      <c r="BJ32" t="inlineStr">
        <is>
          <t>否</t>
        </is>
      </c>
      <c r="BK32" t="inlineStr">
        <is>
          <t>限价</t>
        </is>
      </c>
      <c r="BL32" t="n">
        <v/>
      </c>
      <c r="BM32" t="n">
        <v>0</v>
      </c>
      <c r="BN32" t="n">
        <v>5.816666666666666</v>
      </c>
      <c r="BO32" t="inlineStr">
        <is>
          <t>股票</t>
        </is>
      </c>
      <c r="BP32" t="n">
        <v/>
      </c>
      <c r="BQ32" t="n">
        <v/>
      </c>
      <c r="BR32" t="n">
        <v>0</v>
      </c>
      <c r="BS32" t="inlineStr">
        <is>
          <t>已成交</t>
        </is>
      </c>
    </row>
    <row r="33">
      <c r="A33" t="n">
        <v>32</v>
      </c>
      <c r="B33" t="inlineStr">
        <is>
          <t>2026-02-24</t>
        </is>
      </c>
      <c r="C33" t="n">
        <v>3008</v>
      </c>
      <c r="D33" t="inlineStr">
        <is>
          <t>自营权益4</t>
        </is>
      </c>
      <c r="E33" t="n">
        <v>3008</v>
      </c>
      <c r="F33" t="n">
        <v>601825</v>
      </c>
      <c r="G33" t="inlineStr">
        <is>
          <t>沪农商行</t>
        </is>
      </c>
      <c r="H33" t="inlineStr">
        <is>
          <t>买入</t>
        </is>
      </c>
      <c r="I33" t="n">
        <v>8.44</v>
      </c>
      <c r="J33" t="n">
        <v>8.470000000000001</v>
      </c>
      <c r="K33" t="n">
        <v>30000</v>
      </c>
      <c r="L33" t="n">
        <v>253800</v>
      </c>
      <c r="M33" t="n">
        <v>27</v>
      </c>
      <c r="N33" t="n">
        <v>8.460000000000001</v>
      </c>
      <c r="O33" t="n">
        <v>8.460000000000001</v>
      </c>
      <c r="P33" t="n">
        <v>8.460000000000001</v>
      </c>
      <c r="Q33" t="n">
        <v>8.460000000000001</v>
      </c>
      <c r="R33" t="n">
        <v>8.460000000000001</v>
      </c>
      <c r="S33" t="inlineStr">
        <is>
          <t>上交所A</t>
        </is>
      </c>
      <c r="T33" t="n">
        <v>12886600</v>
      </c>
      <c r="U33" t="n">
        <v>0.2328</v>
      </c>
      <c r="V33" t="n">
        <v>109120584</v>
      </c>
      <c r="W33" t="n">
        <v>300821</v>
      </c>
      <c r="X33" t="inlineStr">
        <is>
          <t>自营权益4（场内）</t>
        </is>
      </c>
      <c r="Y33" t="n">
        <v>30000</v>
      </c>
      <c r="Z33" t="n">
        <v>8.550000000000001</v>
      </c>
      <c r="AA33" t="n">
        <v>8.43</v>
      </c>
      <c r="AB33" t="n">
        <v>1</v>
      </c>
      <c r="AC33" t="inlineStr">
        <is>
          <t>叶盛</t>
        </is>
      </c>
      <c r="AD33" t="inlineStr">
        <is>
          <t>股票资产</t>
        </is>
      </c>
      <c r="AE33" t="n">
        <v>-0.4717</v>
      </c>
      <c r="AF33" t="n">
        <v>0.2326</v>
      </c>
      <c r="AG33" t="n">
        <v>0.0921</v>
      </c>
      <c r="AH33" t="n">
        <v>30000</v>
      </c>
      <c r="AI33" t="n">
        <v>46</v>
      </c>
      <c r="AJ33" t="inlineStr">
        <is>
          <t>自营权益4（场内）</t>
        </is>
      </c>
      <c r="AK33" t="inlineStr">
        <is>
          <t>人民币</t>
        </is>
      </c>
      <c r="AL33" t="n">
        <v>40878</v>
      </c>
      <c r="AM33" t="n">
        <v/>
      </c>
      <c r="AN33" t="n">
        <v>30082</v>
      </c>
      <c r="AO33" t="n">
        <v/>
      </c>
      <c r="AP33" t="inlineStr">
        <is>
          <t>顾吟湫</t>
        </is>
      </c>
      <c r="AQ33" t="inlineStr">
        <is>
          <t>人民币</t>
        </is>
      </c>
      <c r="AR33" t="n">
        <v>253800</v>
      </c>
      <c r="AS33" t="n">
        <v/>
      </c>
      <c r="AT33" t="n">
        <v/>
      </c>
      <c r="AU33" t="n">
        <v/>
      </c>
      <c r="AV33" t="n">
        <v/>
      </c>
      <c r="AW33" t="n">
        <v/>
      </c>
      <c r="AX33" t="inlineStr">
        <is>
          <t>无</t>
        </is>
      </c>
      <c r="AY33" t="inlineStr">
        <is>
          <t xml:space="preserve"> </t>
        </is>
      </c>
      <c r="AZ33" t="inlineStr">
        <is>
          <t xml:space="preserve"> </t>
        </is>
      </c>
      <c r="BA33" t="n">
        <v>0.126</v>
      </c>
      <c r="BB33" t="n">
        <v>0</v>
      </c>
      <c r="BC33" t="inlineStr">
        <is>
          <t>缺省券商</t>
        </is>
      </c>
      <c r="BD33" t="inlineStr">
        <is>
          <t>交易所业务</t>
        </is>
      </c>
      <c r="BE33" t="inlineStr">
        <is>
          <t>不是ETF补券指令</t>
        </is>
      </c>
      <c r="BF33" t="inlineStr">
        <is>
          <t>-253,800.00</t>
        </is>
      </c>
      <c r="BG33" t="n">
        <v>8.470000000000001</v>
      </c>
      <c r="BH33" t="inlineStr">
        <is>
          <t>非强平</t>
        </is>
      </c>
      <c r="BI33" t="inlineStr">
        <is>
          <t>顾吟湫</t>
        </is>
      </c>
      <c r="BJ33" t="inlineStr">
        <is>
          <t>否</t>
        </is>
      </c>
      <c r="BK33" t="inlineStr">
        <is>
          <t>限价</t>
        </is>
      </c>
      <c r="BL33" t="n">
        <v/>
      </c>
      <c r="BM33" t="n">
        <v>0</v>
      </c>
      <c r="BN33" t="n">
        <v>41.66666666666666</v>
      </c>
      <c r="BO33" t="inlineStr">
        <is>
          <t>股票</t>
        </is>
      </c>
      <c r="BP33" t="n">
        <v/>
      </c>
      <c r="BQ33" t="n">
        <v/>
      </c>
      <c r="BR33" t="n">
        <v>0</v>
      </c>
      <c r="BS33" t="inlineStr">
        <is>
          <t>已成交</t>
        </is>
      </c>
    </row>
    <row r="34">
      <c r="A34" t="n">
        <v>33</v>
      </c>
      <c r="B34" t="inlineStr">
        <is>
          <t>2026-02-24</t>
        </is>
      </c>
      <c r="C34" t="n">
        <v>3008</v>
      </c>
      <c r="D34" t="inlineStr">
        <is>
          <t>自营权益4</t>
        </is>
      </c>
      <c r="E34" t="n">
        <v>3008</v>
      </c>
      <c r="F34" t="n">
        <v>333</v>
      </c>
      <c r="G34" t="inlineStr">
        <is>
          <t>美的集团</t>
        </is>
      </c>
      <c r="H34" t="inlineStr">
        <is>
          <t>买入</t>
        </is>
      </c>
      <c r="I34" t="n">
        <v>79.52</v>
      </c>
      <c r="J34" t="n">
        <v>80</v>
      </c>
      <c r="K34" t="n">
        <v>30000</v>
      </c>
      <c r="L34" t="n">
        <v>2404500</v>
      </c>
      <c r="M34" t="n">
        <v>38</v>
      </c>
      <c r="N34" t="n">
        <v>80.15000000000001</v>
      </c>
      <c r="O34" t="n">
        <v>80.15000000000001</v>
      </c>
      <c r="P34" t="n">
        <v>80.15000000000001</v>
      </c>
      <c r="Q34" t="n">
        <v>80.15000000000001</v>
      </c>
      <c r="R34" t="n">
        <v>80.15000000000001</v>
      </c>
      <c r="S34" t="inlineStr">
        <is>
          <t>深交所A</t>
        </is>
      </c>
      <c r="T34" t="n">
        <v>25251393</v>
      </c>
      <c r="U34" t="n">
        <v>0.1188</v>
      </c>
      <c r="V34" t="n">
        <v>2020103221.13</v>
      </c>
      <c r="W34" t="n">
        <v>300821</v>
      </c>
      <c r="X34" t="inlineStr">
        <is>
          <t>自营权益4（场内）</t>
        </is>
      </c>
      <c r="Y34" t="n">
        <v>30000</v>
      </c>
      <c r="Z34" t="n">
        <v>80.59999999999999</v>
      </c>
      <c r="AA34" t="n">
        <v>79.52</v>
      </c>
      <c r="AB34" t="n">
        <v>1</v>
      </c>
      <c r="AC34" t="inlineStr">
        <is>
          <t>叶盛</t>
        </is>
      </c>
      <c r="AD34" t="inlineStr">
        <is>
          <t>股票资产</t>
        </is>
      </c>
      <c r="AE34" t="n">
        <v>0.5946</v>
      </c>
      <c r="AF34" t="n">
        <v>0.119</v>
      </c>
      <c r="AG34" t="n">
        <v>-0.1879</v>
      </c>
      <c r="AH34" t="n">
        <v>30000</v>
      </c>
      <c r="AI34" t="n">
        <v>46</v>
      </c>
      <c r="AJ34" t="inlineStr">
        <is>
          <t>自营权益4（场内）</t>
        </is>
      </c>
      <c r="AK34" t="inlineStr">
        <is>
          <t>人民币</t>
        </is>
      </c>
      <c r="AL34" t="n">
        <v>6111</v>
      </c>
      <c r="AM34" t="n">
        <v/>
      </c>
      <c r="AN34" t="n">
        <v>30082</v>
      </c>
      <c r="AO34" t="n">
        <v/>
      </c>
      <c r="AP34" t="inlineStr">
        <is>
          <t>顾吟湫</t>
        </is>
      </c>
      <c r="AQ34" t="inlineStr">
        <is>
          <t>人民币</t>
        </is>
      </c>
      <c r="AR34" t="n">
        <v>2404500</v>
      </c>
      <c r="AS34" t="n">
        <v>333</v>
      </c>
      <c r="AT34" t="n">
        <v>333</v>
      </c>
      <c r="AU34" t="n">
        <v>333</v>
      </c>
      <c r="AV34" t="n">
        <v>333</v>
      </c>
      <c r="AW34" t="inlineStr">
        <is>
          <t>000333</t>
        </is>
      </c>
      <c r="AX34" t="inlineStr">
        <is>
          <t>无</t>
        </is>
      </c>
      <c r="AY34" t="inlineStr">
        <is>
          <t xml:space="preserve"> </t>
        </is>
      </c>
      <c r="AZ34" t="inlineStr">
        <is>
          <t xml:space="preserve"> </t>
        </is>
      </c>
      <c r="BA34" t="n">
        <v>1.1938</v>
      </c>
      <c r="BB34" t="n">
        <v>0</v>
      </c>
      <c r="BC34" t="inlineStr">
        <is>
          <t>缺省券商</t>
        </is>
      </c>
      <c r="BD34" t="inlineStr">
        <is>
          <t>交易所业务</t>
        </is>
      </c>
      <c r="BE34" t="inlineStr">
        <is>
          <t>不是ETF补券指令</t>
        </is>
      </c>
      <c r="BF34" t="inlineStr">
        <is>
          <t>-2,404,500.00</t>
        </is>
      </c>
      <c r="BG34" t="n">
        <v>80.2</v>
      </c>
      <c r="BH34" t="inlineStr">
        <is>
          <t>非强平</t>
        </is>
      </c>
      <c r="BI34" t="inlineStr">
        <is>
          <t>顾吟湫</t>
        </is>
      </c>
      <c r="BJ34" t="inlineStr">
        <is>
          <t>否</t>
        </is>
      </c>
      <c r="BK34" t="inlineStr">
        <is>
          <t>限价</t>
        </is>
      </c>
      <c r="BL34" t="n">
        <v/>
      </c>
      <c r="BM34" t="n">
        <v>0</v>
      </c>
      <c r="BN34" t="n">
        <v>8.133333333333333</v>
      </c>
      <c r="BO34" t="inlineStr">
        <is>
          <t>股票</t>
        </is>
      </c>
      <c r="BP34" t="n">
        <v/>
      </c>
      <c r="BQ34" t="n">
        <v/>
      </c>
      <c r="BR34" t="n">
        <v>0</v>
      </c>
      <c r="BS34" t="inlineStr">
        <is>
          <t>已成交</t>
        </is>
      </c>
    </row>
    <row r="35">
      <c r="A35" t="n">
        <v>34</v>
      </c>
      <c r="B35" t="inlineStr">
        <is>
          <t>2026-02-24</t>
        </is>
      </c>
      <c r="C35" t="n">
        <v>3008</v>
      </c>
      <c r="D35" t="inlineStr">
        <is>
          <t>自营权益4</t>
        </is>
      </c>
      <c r="E35" t="n">
        <v>3008</v>
      </c>
      <c r="F35" t="n">
        <v>300</v>
      </c>
      <c r="G35" t="inlineStr">
        <is>
          <t>美的集团</t>
        </is>
      </c>
      <c r="H35" t="inlineStr">
        <is>
          <t>卖出</t>
        </is>
      </c>
      <c r="I35" t="n">
        <v>92.25</v>
      </c>
      <c r="J35" t="n">
        <v>92.18000000000001</v>
      </c>
      <c r="K35" t="n">
        <v>50000</v>
      </c>
      <c r="L35" t="n">
        <v>4610000</v>
      </c>
      <c r="M35" t="n">
        <v>12</v>
      </c>
      <c r="N35" t="n">
        <v>92.05</v>
      </c>
      <c r="O35" t="n">
        <v>92.34999999999999</v>
      </c>
      <c r="P35" t="n">
        <v>92.2</v>
      </c>
      <c r="Q35" t="n">
        <v>92.2</v>
      </c>
      <c r="R35" t="n">
        <v>92.2</v>
      </c>
      <c r="S35" t="inlineStr">
        <is>
          <t>港股通（深）</t>
        </is>
      </c>
      <c r="T35" t="n">
        <v>2980600</v>
      </c>
      <c r="U35" t="n">
        <v>1.6775</v>
      </c>
      <c r="V35" t="n">
        <v>274748045.74</v>
      </c>
      <c r="W35" t="n">
        <v>300841</v>
      </c>
      <c r="X35" t="inlineStr">
        <is>
          <t>自营权益4（深港）</t>
        </is>
      </c>
      <c r="Y35" t="n">
        <v>70000</v>
      </c>
      <c r="Z35" t="n">
        <v>93.5</v>
      </c>
      <c r="AA35" t="n">
        <v>91.5</v>
      </c>
      <c r="AB35" t="n">
        <v>5</v>
      </c>
      <c r="AC35" t="inlineStr">
        <is>
          <t>叶盛</t>
        </is>
      </c>
      <c r="AD35" t="inlineStr">
        <is>
          <t>股票资产</t>
        </is>
      </c>
      <c r="AE35" t="n">
        <v>-1.3369</v>
      </c>
      <c r="AF35" t="n">
        <v>1.6779</v>
      </c>
      <c r="AG35" t="n">
        <v>0.023</v>
      </c>
      <c r="AH35" t="n">
        <v>70000</v>
      </c>
      <c r="AI35" t="n">
        <v>53</v>
      </c>
      <c r="AJ35" t="inlineStr">
        <is>
          <t>自营权益4（深港）</t>
        </is>
      </c>
      <c r="AK35" t="inlineStr">
        <is>
          <t>人民币</t>
        </is>
      </c>
      <c r="AL35" t="n">
        <v>6111</v>
      </c>
      <c r="AM35" t="n">
        <v/>
      </c>
      <c r="AN35" t="n">
        <v>30084</v>
      </c>
      <c r="AO35" t="n">
        <v/>
      </c>
      <c r="AP35" t="inlineStr">
        <is>
          <t>顾吟湫</t>
        </is>
      </c>
      <c r="AQ35" t="inlineStr">
        <is>
          <t>人民币</t>
        </is>
      </c>
      <c r="AR35" t="n">
        <v>4059658.21</v>
      </c>
      <c r="AS35" t="n">
        <v/>
      </c>
      <c r="AT35" t="n">
        <v/>
      </c>
      <c r="AU35" t="n">
        <v/>
      </c>
      <c r="AV35" t="n">
        <v/>
      </c>
      <c r="AW35" t="inlineStr">
        <is>
          <t>CNE100006M58</t>
        </is>
      </c>
      <c r="AX35" t="inlineStr">
        <is>
          <t>无</t>
        </is>
      </c>
      <c r="AY35" t="inlineStr">
        <is>
          <t xml:space="preserve"> </t>
        </is>
      </c>
      <c r="AZ35" t="inlineStr">
        <is>
          <t xml:space="preserve"> </t>
        </is>
      </c>
      <c r="BA35" t="n">
        <v>2.0155</v>
      </c>
      <c r="BB35" t="n">
        <v>0</v>
      </c>
      <c r="BC35" t="inlineStr">
        <is>
          <t>缺省券商</t>
        </is>
      </c>
      <c r="BD35" t="inlineStr">
        <is>
          <t>交易所业务</t>
        </is>
      </c>
      <c r="BE35" t="inlineStr">
        <is>
          <t>不是ETF补券指令</t>
        </is>
      </c>
      <c r="BF35" t="inlineStr">
        <is>
          <t>4,610,000.00</t>
        </is>
      </c>
      <c r="BG35" t="n">
        <v>0</v>
      </c>
      <c r="BH35" t="inlineStr">
        <is>
          <t>非强平</t>
        </is>
      </c>
      <c r="BI35" t="inlineStr">
        <is>
          <t>顾吟湫</t>
        </is>
      </c>
      <c r="BJ35" t="inlineStr">
        <is>
          <t>否</t>
        </is>
      </c>
      <c r="BK35" t="inlineStr">
        <is>
          <t>增强限价盘</t>
        </is>
      </c>
      <c r="BL35" t="n">
        <v/>
      </c>
      <c r="BM35" t="n">
        <v>0</v>
      </c>
      <c r="BN35" t="n">
        <v>5.55</v>
      </c>
      <c r="BO35" t="inlineStr">
        <is>
          <t>股票</t>
        </is>
      </c>
      <c r="BP35" t="n">
        <v/>
      </c>
      <c r="BQ35" t="n">
        <v/>
      </c>
      <c r="BR35" t="n">
        <v>0</v>
      </c>
      <c r="BS35" t="inlineStr">
        <is>
          <t>已成交</t>
        </is>
      </c>
    </row>
    <row r="36">
      <c r="A36" t="n">
        <v>35</v>
      </c>
      <c r="B36" t="inlineStr">
        <is>
          <t>2026-02-24</t>
        </is>
      </c>
      <c r="C36" t="n">
        <v>3008</v>
      </c>
      <c r="D36" t="inlineStr">
        <is>
          <t>自营权益4</t>
        </is>
      </c>
      <c r="E36" t="n">
        <v>3008</v>
      </c>
      <c r="F36" t="n">
        <v>728</v>
      </c>
      <c r="G36" t="inlineStr">
        <is>
          <t>中国电信</t>
        </is>
      </c>
      <c r="H36" t="inlineStr">
        <is>
          <t>买入</t>
        </is>
      </c>
      <c r="I36" t="n">
        <v>4.96</v>
      </c>
      <c r="J36" t="n">
        <v>4.97</v>
      </c>
      <c r="K36" t="n">
        <v>200000</v>
      </c>
      <c r="L36" t="n">
        <v>996000</v>
      </c>
      <c r="M36" t="n">
        <v>20</v>
      </c>
      <c r="N36" t="n">
        <v>4.98</v>
      </c>
      <c r="O36" t="n">
        <v>4.98</v>
      </c>
      <c r="P36" t="n">
        <v>4.98</v>
      </c>
      <c r="Q36" t="n">
        <v>4.98</v>
      </c>
      <c r="R36" t="n">
        <v>4.98</v>
      </c>
      <c r="S36" t="inlineStr">
        <is>
          <t>港股通（深）</t>
        </is>
      </c>
      <c r="T36" t="n">
        <v>41625412</v>
      </c>
      <c r="U36" t="n">
        <v>0.4805</v>
      </c>
      <c r="V36" t="n">
        <v>206681435.96</v>
      </c>
      <c r="W36" t="n">
        <v>300841</v>
      </c>
      <c r="X36" t="inlineStr">
        <is>
          <t>自营权益4（深港）</t>
        </is>
      </c>
      <c r="Y36" t="n">
        <v>200000</v>
      </c>
      <c r="Z36" t="n">
        <v>4.98</v>
      </c>
      <c r="AA36" t="n">
        <v>4.93</v>
      </c>
      <c r="AB36" t="n">
        <v>3</v>
      </c>
      <c r="AC36" t="inlineStr">
        <is>
          <t>叶盛</t>
        </is>
      </c>
      <c r="AD36" t="inlineStr">
        <is>
          <t>股票资产</t>
        </is>
      </c>
      <c r="AE36" t="n">
        <v>-0.4016</v>
      </c>
      <c r="AF36" t="n">
        <v>0.4819</v>
      </c>
      <c r="AG36" t="n">
        <v>-0.2961</v>
      </c>
      <c r="AH36" t="n">
        <v>200000</v>
      </c>
      <c r="AI36" t="n">
        <v>53</v>
      </c>
      <c r="AJ36" t="inlineStr">
        <is>
          <t>自营权益4（深港）</t>
        </is>
      </c>
      <c r="AK36" t="inlineStr">
        <is>
          <t>人民币</t>
        </is>
      </c>
      <c r="AL36" t="n">
        <v>6111</v>
      </c>
      <c r="AM36" t="n">
        <v/>
      </c>
      <c r="AN36" t="n">
        <v>30084</v>
      </c>
      <c r="AO36" t="n">
        <v/>
      </c>
      <c r="AP36" t="inlineStr">
        <is>
          <t>顾吟湫</t>
        </is>
      </c>
      <c r="AQ36" t="inlineStr">
        <is>
          <t>人民币</t>
        </is>
      </c>
      <c r="AR36" t="n">
        <v>877057.6800000001</v>
      </c>
      <c r="AS36" t="n">
        <v/>
      </c>
      <c r="AT36" t="n">
        <v/>
      </c>
      <c r="AU36" t="n">
        <v/>
      </c>
      <c r="AV36" t="n">
        <v/>
      </c>
      <c r="AW36" t="inlineStr">
        <is>
          <t>CNE1000002V2</t>
        </is>
      </c>
      <c r="AX36" t="inlineStr">
        <is>
          <t>无</t>
        </is>
      </c>
      <c r="AY36" t="inlineStr">
        <is>
          <t xml:space="preserve"> </t>
        </is>
      </c>
      <c r="AZ36" t="inlineStr">
        <is>
          <t xml:space="preserve"> </t>
        </is>
      </c>
      <c r="BA36" t="n">
        <v>0.4354</v>
      </c>
      <c r="BB36" t="n">
        <v>0</v>
      </c>
      <c r="BC36" t="inlineStr">
        <is>
          <t>缺省券商</t>
        </is>
      </c>
      <c r="BD36" t="inlineStr">
        <is>
          <t>交易所业务</t>
        </is>
      </c>
      <c r="BE36" t="inlineStr">
        <is>
          <t>不是ETF补券指令</t>
        </is>
      </c>
      <c r="BF36" t="inlineStr">
        <is>
          <t>-996,000.00</t>
        </is>
      </c>
      <c r="BG36" t="n">
        <v>0</v>
      </c>
      <c r="BH36" t="inlineStr">
        <is>
          <t>非强平</t>
        </is>
      </c>
      <c r="BI36" t="inlineStr">
        <is>
          <t>顾吟湫</t>
        </is>
      </c>
      <c r="BJ36" t="inlineStr">
        <is>
          <t>否</t>
        </is>
      </c>
      <c r="BK36" t="inlineStr">
        <is>
          <t>增强限价盘</t>
        </is>
      </c>
      <c r="BL36" t="n">
        <v/>
      </c>
      <c r="BM36" t="n">
        <v>0</v>
      </c>
      <c r="BN36" t="n">
        <v>0</v>
      </c>
      <c r="BO36" t="inlineStr">
        <is>
          <t>股票</t>
        </is>
      </c>
      <c r="BP36" t="n">
        <v/>
      </c>
      <c r="BQ36" t="n">
        <v/>
      </c>
      <c r="BR36" t="n">
        <v>0</v>
      </c>
      <c r="BS36" t="inlineStr">
        <is>
          <t>已成交</t>
        </is>
      </c>
    </row>
    <row r="37">
      <c r="A37" t="n">
        <v>36</v>
      </c>
      <c r="B37" t="inlineStr">
        <is>
          <t>2026-02-24</t>
        </is>
      </c>
      <c r="C37" t="n">
        <v>3008</v>
      </c>
      <c r="D37" t="inlineStr">
        <is>
          <t>自营权益4</t>
        </is>
      </c>
      <c r="E37" t="n">
        <v>3008</v>
      </c>
      <c r="F37" t="n">
        <v>836</v>
      </c>
      <c r="G37" t="inlineStr">
        <is>
          <t>华润电力</t>
        </is>
      </c>
      <c r="H37" t="inlineStr">
        <is>
          <t>卖出</t>
        </is>
      </c>
      <c r="I37" t="n">
        <v>18.25</v>
      </c>
      <c r="J37" t="n">
        <v>18.15</v>
      </c>
      <c r="K37" t="n">
        <v>200000</v>
      </c>
      <c r="L37" t="n">
        <v>3622600</v>
      </c>
      <c r="M37" t="n">
        <v>11</v>
      </c>
      <c r="N37" t="n">
        <v>18.1</v>
      </c>
      <c r="O37" t="n">
        <v>18.14</v>
      </c>
      <c r="P37" t="n">
        <v>18.113</v>
      </c>
      <c r="Q37" t="n">
        <v>18.113</v>
      </c>
      <c r="R37" t="n">
        <v>18.113</v>
      </c>
      <c r="S37" t="inlineStr">
        <is>
          <t>港股通（深）</t>
        </is>
      </c>
      <c r="T37" t="n">
        <v>13329354</v>
      </c>
      <c r="U37" t="n">
        <v>1.5004</v>
      </c>
      <c r="V37" t="n">
        <v>241935476.78</v>
      </c>
      <c r="W37" t="n">
        <v>300841</v>
      </c>
      <c r="X37" t="inlineStr">
        <is>
          <t>自营权益4（深港）</t>
        </is>
      </c>
      <c r="Y37" t="n">
        <v>200000</v>
      </c>
      <c r="Z37" t="n">
        <v>18.28</v>
      </c>
      <c r="AA37" t="n">
        <v>18.06</v>
      </c>
      <c r="AB37" t="n">
        <v>5</v>
      </c>
      <c r="AC37" t="inlineStr">
        <is>
          <t>叶盛</t>
        </is>
      </c>
      <c r="AD37" t="inlineStr">
        <is>
          <t>股票资产</t>
        </is>
      </c>
      <c r="AE37" t="n">
        <v>-0.2732</v>
      </c>
      <c r="AF37" t="n">
        <v>1.4973</v>
      </c>
      <c r="AG37" t="n">
        <v>-0.2072</v>
      </c>
      <c r="AH37" t="n">
        <v>200000</v>
      </c>
      <c r="AI37" t="n">
        <v>53</v>
      </c>
      <c r="AJ37" t="inlineStr">
        <is>
          <t>自营权益4（深港）</t>
        </is>
      </c>
      <c r="AK37" t="inlineStr">
        <is>
          <t>人民币</t>
        </is>
      </c>
      <c r="AL37" t="n">
        <v>6111</v>
      </c>
      <c r="AM37" t="n">
        <v/>
      </c>
      <c r="AN37" t="n">
        <v>30084</v>
      </c>
      <c r="AO37" t="n">
        <v/>
      </c>
      <c r="AP37" t="inlineStr">
        <is>
          <t>顾吟湫</t>
        </is>
      </c>
      <c r="AQ37" t="inlineStr">
        <is>
          <t>人民币</t>
        </is>
      </c>
      <c r="AR37" t="n">
        <v>3190133.99</v>
      </c>
      <c r="AS37" t="n">
        <v/>
      </c>
      <c r="AT37" t="n">
        <v/>
      </c>
      <c r="AU37" t="n">
        <v/>
      </c>
      <c r="AV37" t="n">
        <v/>
      </c>
      <c r="AW37" t="inlineStr">
        <is>
          <t>HK0836012952</t>
        </is>
      </c>
      <c r="AX37" t="inlineStr">
        <is>
          <t>无</t>
        </is>
      </c>
      <c r="AY37" t="inlineStr">
        <is>
          <t xml:space="preserve"> </t>
        </is>
      </c>
      <c r="AZ37" t="inlineStr">
        <is>
          <t xml:space="preserve"> </t>
        </is>
      </c>
      <c r="BA37" t="n">
        <v>1.5838</v>
      </c>
      <c r="BB37" t="n">
        <v>0</v>
      </c>
      <c r="BC37" t="inlineStr">
        <is>
          <t>缺省券商</t>
        </is>
      </c>
      <c r="BD37" t="inlineStr">
        <is>
          <t>交易所业务</t>
        </is>
      </c>
      <c r="BE37" t="inlineStr">
        <is>
          <t>不是ETF补券指令</t>
        </is>
      </c>
      <c r="BF37" t="inlineStr">
        <is>
          <t>3,622,600.00</t>
        </is>
      </c>
      <c r="BG37" t="n">
        <v>0</v>
      </c>
      <c r="BH37" t="inlineStr">
        <is>
          <t>非强平</t>
        </is>
      </c>
      <c r="BI37" t="inlineStr">
        <is>
          <t>顾吟湫</t>
        </is>
      </c>
      <c r="BJ37" t="inlineStr">
        <is>
          <t>否</t>
        </is>
      </c>
      <c r="BK37" t="inlineStr">
        <is>
          <t>增强限价盘</t>
        </is>
      </c>
      <c r="BL37" t="n">
        <v/>
      </c>
      <c r="BM37" t="n">
        <v>0</v>
      </c>
      <c r="BN37" t="n">
        <v>3.916666666666667</v>
      </c>
      <c r="BO37" t="inlineStr">
        <is>
          <t>股票</t>
        </is>
      </c>
      <c r="BP37" t="n">
        <v/>
      </c>
      <c r="BQ37" t="n">
        <v/>
      </c>
      <c r="BR37" t="n">
        <v>0</v>
      </c>
      <c r="BS37" t="inlineStr">
        <is>
          <t>已成交</t>
        </is>
      </c>
    </row>
    <row r="38">
      <c r="A38" t="n">
        <v>37</v>
      </c>
      <c r="B38" t="inlineStr">
        <is>
          <t>2026-02-24</t>
        </is>
      </c>
      <c r="C38" t="n">
        <v>3008</v>
      </c>
      <c r="D38" t="inlineStr">
        <is>
          <t>自营权益4</t>
        </is>
      </c>
      <c r="E38" t="n">
        <v>3008</v>
      </c>
      <c r="F38" t="n">
        <v>883</v>
      </c>
      <c r="G38" t="inlineStr">
        <is>
          <t>中国海洋石油</t>
        </is>
      </c>
      <c r="H38" t="inlineStr">
        <is>
          <t>买入</t>
        </is>
      </c>
      <c r="I38" t="n">
        <v>25.58</v>
      </c>
      <c r="J38" t="n">
        <v>25.61</v>
      </c>
      <c r="K38" t="n">
        <v>150000</v>
      </c>
      <c r="L38" t="n">
        <v>3835000</v>
      </c>
      <c r="M38" t="n">
        <v>35</v>
      </c>
      <c r="N38" t="n">
        <v>25.56</v>
      </c>
      <c r="O38" t="n">
        <v>25.58</v>
      </c>
      <c r="P38" t="n">
        <v>25.56666666666667</v>
      </c>
      <c r="Q38" t="n">
        <v>25.56666666666667</v>
      </c>
      <c r="R38" t="n">
        <v>25.56666666666667</v>
      </c>
      <c r="S38" t="inlineStr">
        <is>
          <t>港股通（深）</t>
        </is>
      </c>
      <c r="T38" t="n">
        <v>80946824</v>
      </c>
      <c r="U38" t="n">
        <v>0.1853</v>
      </c>
      <c r="V38" t="n">
        <v>2073257094.36</v>
      </c>
      <c r="W38" t="n">
        <v>300841</v>
      </c>
      <c r="X38" t="inlineStr">
        <is>
          <t>自营权益4（深港）</t>
        </is>
      </c>
      <c r="Y38" t="n">
        <v>150000</v>
      </c>
      <c r="Z38" t="n">
        <v>25.94</v>
      </c>
      <c r="AA38" t="n">
        <v>25.42</v>
      </c>
      <c r="AB38" t="n">
        <v>3</v>
      </c>
      <c r="AC38" t="inlineStr">
        <is>
          <t>叶盛</t>
        </is>
      </c>
      <c r="AD38" t="inlineStr">
        <is>
          <t>股票资产</t>
        </is>
      </c>
      <c r="AE38" t="n">
        <v>-1.0062</v>
      </c>
      <c r="AF38" t="n">
        <v>0.185</v>
      </c>
      <c r="AG38" t="n">
        <v>0.1792</v>
      </c>
      <c r="AH38" t="n">
        <v>150000</v>
      </c>
      <c r="AI38" t="n">
        <v>53</v>
      </c>
      <c r="AJ38" t="inlineStr">
        <is>
          <t>自营权益4（深港）</t>
        </is>
      </c>
      <c r="AK38" t="inlineStr">
        <is>
          <t>人民币</t>
        </is>
      </c>
      <c r="AL38" t="n">
        <v>6111</v>
      </c>
      <c r="AM38" t="n">
        <v/>
      </c>
      <c r="AN38" t="n">
        <v>30084</v>
      </c>
      <c r="AO38" t="n">
        <v/>
      </c>
      <c r="AP38" t="inlineStr">
        <is>
          <t>顾吟湫</t>
        </is>
      </c>
      <c r="AQ38" t="inlineStr">
        <is>
          <t>人民币</t>
        </is>
      </c>
      <c r="AR38" t="n">
        <v>3377024.21</v>
      </c>
      <c r="AS38" t="n">
        <v/>
      </c>
      <c r="AT38" t="n">
        <v/>
      </c>
      <c r="AU38" t="n">
        <v/>
      </c>
      <c r="AV38" t="n">
        <v/>
      </c>
      <c r="AW38" t="inlineStr">
        <is>
          <t>HK0883013259</t>
        </is>
      </c>
      <c r="AX38" t="inlineStr">
        <is>
          <t>无</t>
        </is>
      </c>
      <c r="AY38" t="inlineStr">
        <is>
          <t xml:space="preserve"> </t>
        </is>
      </c>
      <c r="AZ38" t="inlineStr">
        <is>
          <t xml:space="preserve"> </t>
        </is>
      </c>
      <c r="BA38" t="n">
        <v>1.6766</v>
      </c>
      <c r="BB38" t="n">
        <v>0</v>
      </c>
      <c r="BC38" t="inlineStr">
        <is>
          <t>缺省券商</t>
        </is>
      </c>
      <c r="BD38" t="inlineStr">
        <is>
          <t>交易所业务</t>
        </is>
      </c>
      <c r="BE38" t="inlineStr">
        <is>
          <t>不是ETF补券指令</t>
        </is>
      </c>
      <c r="BF38" t="inlineStr">
        <is>
          <t>-3,835,000.00</t>
        </is>
      </c>
      <c r="BG38" t="n">
        <v>0</v>
      </c>
      <c r="BH38" t="inlineStr">
        <is>
          <t>非强平</t>
        </is>
      </c>
      <c r="BI38" t="inlineStr">
        <is>
          <t>顾吟湫</t>
        </is>
      </c>
      <c r="BJ38" t="inlineStr">
        <is>
          <t>否</t>
        </is>
      </c>
      <c r="BK38" t="inlineStr">
        <is>
          <t>增强限价盘</t>
        </is>
      </c>
      <c r="BL38" t="n">
        <v/>
      </c>
      <c r="BM38" t="n">
        <v>0</v>
      </c>
      <c r="BN38" t="n">
        <v>57.05</v>
      </c>
      <c r="BO38" t="inlineStr">
        <is>
          <t>股票</t>
        </is>
      </c>
      <c r="BP38" t="n">
        <v/>
      </c>
      <c r="BQ38" t="n">
        <v/>
      </c>
      <c r="BR38" t="n">
        <v>0</v>
      </c>
      <c r="BS38" t="inlineStr">
        <is>
          <t>已成交</t>
        </is>
      </c>
    </row>
    <row r="39">
      <c r="A39" t="n">
        <v>38</v>
      </c>
      <c r="B39" t="inlineStr">
        <is>
          <t>2026-02-24</t>
        </is>
      </c>
      <c r="C39" t="n">
        <v>3008</v>
      </c>
      <c r="D39" t="inlineStr">
        <is>
          <t>自营权益4</t>
        </is>
      </c>
      <c r="E39" t="n">
        <v>3008</v>
      </c>
      <c r="F39" t="n">
        <v>995</v>
      </c>
      <c r="G39" t="inlineStr">
        <is>
          <t>安徽皖通高速公路</t>
        </is>
      </c>
      <c r="H39" t="inlineStr">
        <is>
          <t>买入</t>
        </is>
      </c>
      <c r="I39" t="n">
        <v>13.43</v>
      </c>
      <c r="J39" t="n">
        <v>13.35</v>
      </c>
      <c r="K39" t="n">
        <v>22000</v>
      </c>
      <c r="L39" t="n">
        <v>289960</v>
      </c>
      <c r="M39" t="n">
        <v>2</v>
      </c>
      <c r="N39" t="n">
        <v>13.18</v>
      </c>
      <c r="O39" t="n">
        <v>13.18</v>
      </c>
      <c r="P39" t="n">
        <v>13.18</v>
      </c>
      <c r="Q39" t="n">
        <v>13.18</v>
      </c>
      <c r="R39" t="n">
        <v>13.18</v>
      </c>
      <c r="S39" t="inlineStr">
        <is>
          <t>港股通（深）</t>
        </is>
      </c>
      <c r="T39" t="n">
        <v>1916227</v>
      </c>
      <c r="U39" t="n">
        <v>1.1481</v>
      </c>
      <c r="V39" t="n">
        <v>25589755.42</v>
      </c>
      <c r="W39" t="n">
        <v>300841</v>
      </c>
      <c r="X39" t="inlineStr">
        <is>
          <t>自营权益4（深港）</t>
        </is>
      </c>
      <c r="Y39" t="n">
        <v>60000</v>
      </c>
      <c r="Z39" t="n">
        <v>13.68</v>
      </c>
      <c r="AA39" t="n">
        <v>13.14</v>
      </c>
      <c r="AB39" t="n">
        <v>2</v>
      </c>
      <c r="AC39" t="inlineStr">
        <is>
          <t>叶盛</t>
        </is>
      </c>
      <c r="AD39" t="inlineStr">
        <is>
          <t>股票资产</t>
        </is>
      </c>
      <c r="AE39" t="n">
        <v>1.5117</v>
      </c>
      <c r="AF39" t="n">
        <v>1.1331</v>
      </c>
      <c r="AG39" t="n">
        <v>1.3045</v>
      </c>
      <c r="AH39" t="n">
        <v>60000</v>
      </c>
      <c r="AI39" t="n">
        <v>53</v>
      </c>
      <c r="AJ39" t="inlineStr">
        <is>
          <t>自营权益4（深港）</t>
        </is>
      </c>
      <c r="AK39" t="inlineStr">
        <is>
          <t>人民币</t>
        </is>
      </c>
      <c r="AL39" t="n">
        <v>6111</v>
      </c>
      <c r="AM39" t="n">
        <v/>
      </c>
      <c r="AN39" t="n">
        <v>30084</v>
      </c>
      <c r="AO39" t="n">
        <v/>
      </c>
      <c r="AP39" t="inlineStr">
        <is>
          <t>顾吟湫</t>
        </is>
      </c>
      <c r="AQ39" t="inlineStr">
        <is>
          <t>人民币</t>
        </is>
      </c>
      <c r="AR39" t="n">
        <v>255332.98</v>
      </c>
      <c r="AS39" t="n">
        <v/>
      </c>
      <c r="AT39" t="n">
        <v/>
      </c>
      <c r="AU39" t="n">
        <v/>
      </c>
      <c r="AV39" t="n">
        <v/>
      </c>
      <c r="AW39" t="inlineStr">
        <is>
          <t>CNE1000001X0</t>
        </is>
      </c>
      <c r="AX39" t="inlineStr">
        <is>
          <t>无</t>
        </is>
      </c>
      <c r="AY39" t="inlineStr">
        <is>
          <t xml:space="preserve"> </t>
        </is>
      </c>
      <c r="AZ39" t="inlineStr">
        <is>
          <t xml:space="preserve"> </t>
        </is>
      </c>
      <c r="BA39" t="n">
        <v>0.1268</v>
      </c>
      <c r="BB39" t="n">
        <v>0</v>
      </c>
      <c r="BC39" t="inlineStr">
        <is>
          <t>缺省券商</t>
        </is>
      </c>
      <c r="BD39" t="inlineStr">
        <is>
          <t>交易所业务</t>
        </is>
      </c>
      <c r="BE39" t="inlineStr">
        <is>
          <t>不是ETF补券指令</t>
        </is>
      </c>
      <c r="BF39" t="inlineStr">
        <is>
          <t>-289,960.00</t>
        </is>
      </c>
      <c r="BG39" t="n">
        <v>0</v>
      </c>
      <c r="BH39" t="inlineStr">
        <is>
          <t>非强平</t>
        </is>
      </c>
      <c r="BI39" t="inlineStr">
        <is>
          <t>顾吟湫</t>
        </is>
      </c>
      <c r="BJ39" t="inlineStr">
        <is>
          <t>否</t>
        </is>
      </c>
      <c r="BK39" t="inlineStr">
        <is>
          <t>增强限价盘</t>
        </is>
      </c>
      <c r="BL39" t="n">
        <v/>
      </c>
      <c r="BM39" t="n">
        <v>0</v>
      </c>
      <c r="BN39" t="n">
        <v>0.9</v>
      </c>
      <c r="BO39" t="inlineStr">
        <is>
          <t>股票</t>
        </is>
      </c>
      <c r="BP39" t="n">
        <v/>
      </c>
      <c r="BQ39" t="n">
        <v/>
      </c>
      <c r="BR39" t="n">
        <v>0</v>
      </c>
      <c r="BS39" t="inlineStr">
        <is>
          <t>已成交</t>
        </is>
      </c>
    </row>
    <row r="40">
      <c r="A40" t="n">
        <v>39</v>
      </c>
      <c r="B40" t="inlineStr">
        <is>
          <t>2026-02-24</t>
        </is>
      </c>
      <c r="C40" t="n">
        <v>3008</v>
      </c>
      <c r="D40" t="inlineStr">
        <is>
          <t>自营权益4</t>
        </is>
      </c>
      <c r="E40" t="n">
        <v>3008</v>
      </c>
      <c r="F40" t="n">
        <v>1071</v>
      </c>
      <c r="G40" t="inlineStr">
        <is>
          <t>华电国际电力股份</t>
        </is>
      </c>
      <c r="H40" t="inlineStr">
        <is>
          <t>卖出</t>
        </is>
      </c>
      <c r="I40" t="n">
        <v>4.23</v>
      </c>
      <c r="J40" t="n">
        <v>4.22</v>
      </c>
      <c r="K40" t="n">
        <v>1500000</v>
      </c>
      <c r="L40" t="n">
        <v>6319420</v>
      </c>
      <c r="M40" t="n">
        <v>105</v>
      </c>
      <c r="N40" t="n">
        <v>4.21</v>
      </c>
      <c r="O40" t="n">
        <v>4.23</v>
      </c>
      <c r="P40" t="n">
        <v>4.212946666666666</v>
      </c>
      <c r="Q40" t="n">
        <v>4.212946666666666</v>
      </c>
      <c r="R40" t="n">
        <v>4.212946666666666</v>
      </c>
      <c r="S40" t="inlineStr">
        <is>
          <t>港股通（深）</t>
        </is>
      </c>
      <c r="T40" t="n">
        <v>9624893</v>
      </c>
      <c r="U40" t="n">
        <v>15.5846</v>
      </c>
      <c r="V40" t="n">
        <v>40632076.8</v>
      </c>
      <c r="W40" t="n">
        <v>300841</v>
      </c>
      <c r="X40" t="inlineStr">
        <is>
          <t>自营权益4（深港）</t>
        </is>
      </c>
      <c r="Y40" t="n">
        <v>1500000</v>
      </c>
      <c r="Z40" t="n">
        <v>4.26</v>
      </c>
      <c r="AA40" t="n">
        <v>4.2</v>
      </c>
      <c r="AB40" t="n">
        <v>8</v>
      </c>
      <c r="AC40" t="inlineStr">
        <is>
          <t>叶盛</t>
        </is>
      </c>
      <c r="AD40" t="inlineStr">
        <is>
          <t>股票资产</t>
        </is>
      </c>
      <c r="AE40" t="n">
        <v>-1.1682</v>
      </c>
      <c r="AF40" t="n">
        <v>15.5528</v>
      </c>
      <c r="AG40" t="n">
        <v>-0.2061</v>
      </c>
      <c r="AH40" t="n">
        <v>1500000</v>
      </c>
      <c r="AI40" t="n">
        <v>53</v>
      </c>
      <c r="AJ40" t="inlineStr">
        <is>
          <t>自营权益4（深港）</t>
        </is>
      </c>
      <c r="AK40" t="inlineStr">
        <is>
          <t>人民币</t>
        </is>
      </c>
      <c r="AL40" t="n">
        <v>6111</v>
      </c>
      <c r="AM40" t="n">
        <v/>
      </c>
      <c r="AN40" t="n">
        <v>30084</v>
      </c>
      <c r="AO40" t="n">
        <v/>
      </c>
      <c r="AP40" t="inlineStr">
        <is>
          <t>顾吟湫</t>
        </is>
      </c>
      <c r="AQ40" t="inlineStr">
        <is>
          <t>人民币</t>
        </is>
      </c>
      <c r="AR40" t="n">
        <v>5565007.57</v>
      </c>
      <c r="AS40" t="n">
        <v/>
      </c>
      <c r="AT40" t="n">
        <v/>
      </c>
      <c r="AU40" t="n">
        <v/>
      </c>
      <c r="AV40" t="n">
        <v/>
      </c>
      <c r="AW40" t="inlineStr">
        <is>
          <t>CNE1000003D8</t>
        </is>
      </c>
      <c r="AX40" t="inlineStr">
        <is>
          <t>无</t>
        </is>
      </c>
      <c r="AY40" t="inlineStr">
        <is>
          <t xml:space="preserve"> </t>
        </is>
      </c>
      <c r="AZ40" t="inlineStr">
        <is>
          <t xml:space="preserve"> </t>
        </is>
      </c>
      <c r="BA40" t="n">
        <v>2.7628</v>
      </c>
      <c r="BB40" t="n">
        <v>0</v>
      </c>
      <c r="BC40" t="inlineStr">
        <is>
          <t>缺省券商</t>
        </is>
      </c>
      <c r="BD40" t="inlineStr">
        <is>
          <t>交易所业务</t>
        </is>
      </c>
      <c r="BE40" t="inlineStr">
        <is>
          <t>不是ETF补券指令</t>
        </is>
      </c>
      <c r="BF40" t="inlineStr">
        <is>
          <t>6,319,420.00</t>
        </is>
      </c>
      <c r="BG40" t="n">
        <v>0</v>
      </c>
      <c r="BH40" t="inlineStr">
        <is>
          <t>非强平</t>
        </is>
      </c>
      <c r="BI40" t="inlineStr">
        <is>
          <t>顾吟湫</t>
        </is>
      </c>
      <c r="BJ40" t="inlineStr">
        <is>
          <t>否</t>
        </is>
      </c>
      <c r="BK40" t="inlineStr">
        <is>
          <t>增强限价盘</t>
        </is>
      </c>
      <c r="BL40" t="n">
        <v/>
      </c>
      <c r="BM40" t="n">
        <v>0</v>
      </c>
      <c r="BN40" t="n">
        <v>1527.316666666667</v>
      </c>
      <c r="BO40" t="inlineStr">
        <is>
          <t>股票</t>
        </is>
      </c>
      <c r="BP40" t="n">
        <v/>
      </c>
      <c r="BQ40" t="n">
        <v/>
      </c>
      <c r="BR40" t="n">
        <v>0</v>
      </c>
      <c r="BS40" t="inlineStr">
        <is>
          <t>已成交</t>
        </is>
      </c>
    </row>
    <row r="41">
      <c r="A41" t="n">
        <v>40</v>
      </c>
      <c r="B41" t="inlineStr">
        <is>
          <t>2026-02-24</t>
        </is>
      </c>
      <c r="C41" t="n">
        <v>3008</v>
      </c>
      <c r="D41" t="inlineStr">
        <is>
          <t>自营权益4</t>
        </is>
      </c>
      <c r="E41" t="n">
        <v>3008</v>
      </c>
      <c r="F41" t="n">
        <v>1088</v>
      </c>
      <c r="G41" t="inlineStr">
        <is>
          <t>中国神华</t>
        </is>
      </c>
      <c r="H41" t="inlineStr">
        <is>
          <t>买入</t>
        </is>
      </c>
      <c r="I41" t="n">
        <v>43.9</v>
      </c>
      <c r="J41" t="n">
        <v>43.9</v>
      </c>
      <c r="K41" t="n">
        <v>100000</v>
      </c>
      <c r="L41" t="n">
        <v>4402050</v>
      </c>
      <c r="M41" t="n">
        <v>39</v>
      </c>
      <c r="N41" t="n">
        <v>44</v>
      </c>
      <c r="O41" t="n">
        <v>44.04</v>
      </c>
      <c r="P41" t="n">
        <v>44.0205</v>
      </c>
      <c r="Q41" t="n">
        <v>44.0205</v>
      </c>
      <c r="R41" t="n">
        <v>44.0205</v>
      </c>
      <c r="S41" t="inlineStr">
        <is>
          <t>港股通（深）</t>
        </is>
      </c>
      <c r="T41" t="n">
        <v>7047701</v>
      </c>
      <c r="U41" t="n">
        <v>1.4189</v>
      </c>
      <c r="V41" t="n">
        <v>309387488.76</v>
      </c>
      <c r="W41" t="n">
        <v>300841</v>
      </c>
      <c r="X41" t="inlineStr">
        <is>
          <t>自营权益4（深港）</t>
        </is>
      </c>
      <c r="Y41" t="n">
        <v>100000</v>
      </c>
      <c r="Z41" t="n">
        <v>44.12</v>
      </c>
      <c r="AA41" t="n">
        <v>43.5</v>
      </c>
      <c r="AB41" t="n">
        <v>1</v>
      </c>
      <c r="AC41" t="inlineStr">
        <is>
          <t>叶盛</t>
        </is>
      </c>
      <c r="AD41" t="inlineStr">
        <is>
          <t>股票资产</t>
        </is>
      </c>
      <c r="AE41" t="n">
        <v>-0.3179</v>
      </c>
      <c r="AF41" t="n">
        <v>1.4228</v>
      </c>
      <c r="AG41" t="n">
        <v>-0.2765</v>
      </c>
      <c r="AH41" t="n">
        <v>100000</v>
      </c>
      <c r="AI41" t="n">
        <v>53</v>
      </c>
      <c r="AJ41" t="inlineStr">
        <is>
          <t>自营权益4（深港）</t>
        </is>
      </c>
      <c r="AK41" t="inlineStr">
        <is>
          <t>人民币</t>
        </is>
      </c>
      <c r="AL41" t="n">
        <v>6111</v>
      </c>
      <c r="AM41" t="n">
        <v/>
      </c>
      <c r="AN41" t="n">
        <v>30084</v>
      </c>
      <c r="AO41" t="n">
        <v/>
      </c>
      <c r="AP41" t="inlineStr">
        <is>
          <t>顾吟湫</t>
        </is>
      </c>
      <c r="AQ41" t="inlineStr">
        <is>
          <t>人民币</t>
        </is>
      </c>
      <c r="AR41" t="n">
        <v>3876357.17</v>
      </c>
      <c r="AS41" t="n">
        <v/>
      </c>
      <c r="AT41" t="n">
        <v/>
      </c>
      <c r="AU41" t="n">
        <v/>
      </c>
      <c r="AV41" t="n">
        <v/>
      </c>
      <c r="AW41" t="inlineStr">
        <is>
          <t>CNE1000002R0</t>
        </is>
      </c>
      <c r="AX41" t="inlineStr">
        <is>
          <t>无</t>
        </is>
      </c>
      <c r="AY41" t="inlineStr">
        <is>
          <t xml:space="preserve"> </t>
        </is>
      </c>
      <c r="AZ41" t="inlineStr">
        <is>
          <t xml:space="preserve"> </t>
        </is>
      </c>
      <c r="BA41" t="n">
        <v>1.9245</v>
      </c>
      <c r="BB41" t="n">
        <v>0</v>
      </c>
      <c r="BC41" t="inlineStr">
        <is>
          <t>缺省券商</t>
        </is>
      </c>
      <c r="BD41" t="inlineStr">
        <is>
          <t>交易所业务</t>
        </is>
      </c>
      <c r="BE41" t="inlineStr">
        <is>
          <t>不是ETF补券指令</t>
        </is>
      </c>
      <c r="BF41" t="inlineStr">
        <is>
          <t>-4,402,050.00</t>
        </is>
      </c>
      <c r="BG41" t="n">
        <v>0</v>
      </c>
      <c r="BH41" t="inlineStr">
        <is>
          <t>非强平</t>
        </is>
      </c>
      <c r="BI41" t="inlineStr">
        <is>
          <t>顾吟湫</t>
        </is>
      </c>
      <c r="BJ41" t="inlineStr">
        <is>
          <t>否</t>
        </is>
      </c>
      <c r="BK41" t="inlineStr">
        <is>
          <t>增强限价盘</t>
        </is>
      </c>
      <c r="BL41" t="n">
        <v/>
      </c>
      <c r="BM41" t="n">
        <v>0</v>
      </c>
      <c r="BN41" t="n">
        <v>0</v>
      </c>
      <c r="BO41" t="inlineStr">
        <is>
          <t>股票</t>
        </is>
      </c>
      <c r="BP41" t="n">
        <v/>
      </c>
      <c r="BQ41" t="n">
        <v/>
      </c>
      <c r="BR41" t="n">
        <v>0</v>
      </c>
      <c r="BS41" t="inlineStr">
        <is>
          <t>已成交</t>
        </is>
      </c>
    </row>
    <row r="42">
      <c r="A42" t="n">
        <v>41</v>
      </c>
      <c r="B42" t="inlineStr">
        <is>
          <t>2026-02-24</t>
        </is>
      </c>
      <c r="C42" t="n">
        <v>3008</v>
      </c>
      <c r="D42" t="inlineStr">
        <is>
          <t>自营权益4</t>
        </is>
      </c>
      <c r="E42" t="n">
        <v>3008</v>
      </c>
      <c r="F42" t="n">
        <v>3933</v>
      </c>
      <c r="G42" t="inlineStr">
        <is>
          <t>联邦制药</t>
        </is>
      </c>
      <c r="H42" t="inlineStr">
        <is>
          <t>买入</t>
        </is>
      </c>
      <c r="I42" t="n">
        <v>12.17</v>
      </c>
      <c r="J42" t="n">
        <v>12.24</v>
      </c>
      <c r="K42" t="n">
        <v>100000</v>
      </c>
      <c r="L42" t="n">
        <v>1217000</v>
      </c>
      <c r="M42" t="n">
        <v>6</v>
      </c>
      <c r="N42" t="n">
        <v>12.17</v>
      </c>
      <c r="O42" t="n">
        <v>12.17</v>
      </c>
      <c r="P42" t="n">
        <v>12.17</v>
      </c>
      <c r="Q42" t="n">
        <v>12.17</v>
      </c>
      <c r="R42" t="n">
        <v>12.17</v>
      </c>
      <c r="S42" t="inlineStr">
        <is>
          <t>港股通（深）</t>
        </is>
      </c>
      <c r="T42" t="n">
        <v>6074463</v>
      </c>
      <c r="U42" t="n">
        <v>1.6462</v>
      </c>
      <c r="V42" t="n">
        <v>74337061.34</v>
      </c>
      <c r="W42" t="n">
        <v>300841</v>
      </c>
      <c r="X42" t="inlineStr">
        <is>
          <t>自营权益4（深港）</t>
        </is>
      </c>
      <c r="Y42" t="n">
        <v>100000</v>
      </c>
      <c r="Z42" t="n">
        <v>12.6</v>
      </c>
      <c r="AA42" t="n">
        <v>12.09</v>
      </c>
      <c r="AB42" t="n">
        <v>3</v>
      </c>
      <c r="AC42" t="inlineStr">
        <is>
          <t>叶盛</t>
        </is>
      </c>
      <c r="AD42" t="inlineStr">
        <is>
          <t>股票资产</t>
        </is>
      </c>
      <c r="AE42" t="n">
        <v>-3.2591</v>
      </c>
      <c r="AF42" t="n">
        <v>1.6371</v>
      </c>
      <c r="AG42" t="n">
        <v>0.5524</v>
      </c>
      <c r="AH42" t="n">
        <v>100000</v>
      </c>
      <c r="AI42" t="n">
        <v>53</v>
      </c>
      <c r="AJ42" t="inlineStr">
        <is>
          <t>自营权益4（深港）</t>
        </is>
      </c>
      <c r="AK42" t="inlineStr">
        <is>
          <t>人民币</t>
        </is>
      </c>
      <c r="AL42" t="n">
        <v>6111</v>
      </c>
      <c r="AM42" t="n">
        <v/>
      </c>
      <c r="AN42" t="n">
        <v>30084</v>
      </c>
      <c r="AO42" t="n">
        <v/>
      </c>
      <c r="AP42" t="inlineStr">
        <is>
          <t>顾吟湫</t>
        </is>
      </c>
      <c r="AQ42" t="inlineStr">
        <is>
          <t>人民币</t>
        </is>
      </c>
      <c r="AR42" t="n">
        <v>1071665.86</v>
      </c>
      <c r="AS42" t="n">
        <v/>
      </c>
      <c r="AT42" t="n">
        <v/>
      </c>
      <c r="AU42" t="n">
        <v/>
      </c>
      <c r="AV42" t="n">
        <v/>
      </c>
      <c r="AW42" t="inlineStr">
        <is>
          <t>KYG8813K1085</t>
        </is>
      </c>
      <c r="AX42" t="inlineStr">
        <is>
          <t>无</t>
        </is>
      </c>
      <c r="AY42" t="inlineStr">
        <is>
          <t xml:space="preserve"> </t>
        </is>
      </c>
      <c r="AZ42" t="inlineStr">
        <is>
          <t xml:space="preserve"> </t>
        </is>
      </c>
      <c r="BA42" t="n">
        <v>0.532</v>
      </c>
      <c r="BB42" t="n">
        <v>0</v>
      </c>
      <c r="BC42" t="inlineStr">
        <is>
          <t>缺省券商</t>
        </is>
      </c>
      <c r="BD42" t="inlineStr">
        <is>
          <t>交易所业务</t>
        </is>
      </c>
      <c r="BE42" t="inlineStr">
        <is>
          <t>不是ETF补券指令</t>
        </is>
      </c>
      <c r="BF42" t="inlineStr">
        <is>
          <t>-1,217,000.00</t>
        </is>
      </c>
      <c r="BG42" t="n">
        <v>0</v>
      </c>
      <c r="BH42" t="inlineStr">
        <is>
          <t>非强平</t>
        </is>
      </c>
      <c r="BI42" t="inlineStr">
        <is>
          <t>顾吟湫</t>
        </is>
      </c>
      <c r="BJ42" t="inlineStr">
        <is>
          <t>否</t>
        </is>
      </c>
      <c r="BK42" t="inlineStr">
        <is>
          <t>增强限价盘</t>
        </is>
      </c>
      <c r="BL42" t="n">
        <v/>
      </c>
      <c r="BM42" t="n">
        <v>0</v>
      </c>
      <c r="BN42" t="n">
        <v>23.41666666666667</v>
      </c>
      <c r="BO42" t="inlineStr">
        <is>
          <t>股票</t>
        </is>
      </c>
      <c r="BP42" t="n">
        <v/>
      </c>
      <c r="BQ42" t="n">
        <v/>
      </c>
      <c r="BR42" t="n">
        <v>0</v>
      </c>
      <c r="BS42" t="inlineStr">
        <is>
          <t>已成交</t>
        </is>
      </c>
    </row>
    <row r="43">
      <c r="A43" t="n">
        <v>42</v>
      </c>
      <c r="B43" t="inlineStr">
        <is>
          <t>2026-02-25</t>
        </is>
      </c>
      <c r="C43" t="n">
        <v>3008</v>
      </c>
      <c r="D43" t="inlineStr">
        <is>
          <t>自营权益4</t>
        </is>
      </c>
      <c r="E43" t="n">
        <v>3008</v>
      </c>
      <c r="F43" t="n">
        <v>300</v>
      </c>
      <c r="G43" t="inlineStr">
        <is>
          <t>美的集团</t>
        </is>
      </c>
      <c r="H43" t="inlineStr">
        <is>
          <t>卖出</t>
        </is>
      </c>
      <c r="I43" t="n">
        <v>92.3</v>
      </c>
      <c r="J43" t="n">
        <v>92.58</v>
      </c>
      <c r="K43" t="n">
        <v>50000</v>
      </c>
      <c r="L43" t="n">
        <v>4633750</v>
      </c>
      <c r="M43" t="n">
        <v>78</v>
      </c>
      <c r="N43" t="n">
        <v>91.95</v>
      </c>
      <c r="O43" t="n">
        <v>92.95</v>
      </c>
      <c r="P43" t="n">
        <v>92.675</v>
      </c>
      <c r="Q43" t="n">
        <v>92.675</v>
      </c>
      <c r="R43" t="n">
        <v>92.675</v>
      </c>
      <c r="S43" t="inlineStr">
        <is>
          <t>港股通（深）</t>
        </is>
      </c>
      <c r="T43" t="n">
        <v>2962612</v>
      </c>
      <c r="U43" t="n">
        <v>1.6877</v>
      </c>
      <c r="V43" t="n">
        <v>274278849.85</v>
      </c>
      <c r="W43" t="n">
        <v>300841</v>
      </c>
      <c r="X43" t="inlineStr">
        <is>
          <t>自营权益4（深港）</t>
        </is>
      </c>
      <c r="Y43" t="n">
        <v>50000</v>
      </c>
      <c r="Z43" t="n">
        <v>93.95</v>
      </c>
      <c r="AA43" t="n">
        <v>91.84999999999999</v>
      </c>
      <c r="AB43" t="n">
        <v>11</v>
      </c>
      <c r="AC43" t="inlineStr">
        <is>
          <t>叶盛</t>
        </is>
      </c>
      <c r="AD43" t="inlineStr">
        <is>
          <t>股票资产</t>
        </is>
      </c>
      <c r="AE43" t="n">
        <v>0.0542</v>
      </c>
      <c r="AF43" t="n">
        <v>1.6894</v>
      </c>
      <c r="AG43" t="n">
        <v>0.1025</v>
      </c>
      <c r="AH43" t="n">
        <v>50000</v>
      </c>
      <c r="AI43" t="n">
        <v>53</v>
      </c>
      <c r="AJ43" t="inlineStr">
        <is>
          <t>自营权益4（深港）</t>
        </is>
      </c>
      <c r="AK43" t="inlineStr">
        <is>
          <t>人民币</t>
        </is>
      </c>
      <c r="AL43" t="n">
        <v>6111</v>
      </c>
      <c r="AM43" t="n">
        <v/>
      </c>
      <c r="AN43" t="n">
        <v>30084</v>
      </c>
      <c r="AO43" t="n">
        <v/>
      </c>
      <c r="AP43" t="inlineStr">
        <is>
          <t>顾吟湫</t>
        </is>
      </c>
      <c r="AQ43" t="inlineStr">
        <is>
          <t>人民币</t>
        </is>
      </c>
      <c r="AR43" t="n">
        <v>4077097.48</v>
      </c>
      <c r="AS43" t="n">
        <v/>
      </c>
      <c r="AT43" t="n">
        <v/>
      </c>
      <c r="AU43" t="n">
        <v/>
      </c>
      <c r="AV43" t="n">
        <v/>
      </c>
      <c r="AW43" t="inlineStr">
        <is>
          <t>CNE100006M58</t>
        </is>
      </c>
      <c r="AX43" t="inlineStr">
        <is>
          <t>无</t>
        </is>
      </c>
      <c r="AY43" t="inlineStr">
        <is>
          <t xml:space="preserve"> </t>
        </is>
      </c>
      <c r="AZ43" t="inlineStr">
        <is>
          <t xml:space="preserve"> </t>
        </is>
      </c>
      <c r="BA43" t="n">
        <v>2.017</v>
      </c>
      <c r="BB43" t="n">
        <v>0</v>
      </c>
      <c r="BC43" t="inlineStr">
        <is>
          <t>缺省券商</t>
        </is>
      </c>
      <c r="BD43" t="inlineStr">
        <is>
          <t>交易所业务</t>
        </is>
      </c>
      <c r="BE43" t="inlineStr">
        <is>
          <t>不是ETF补券指令</t>
        </is>
      </c>
      <c r="BF43" t="inlineStr">
        <is>
          <t>4,633,750.00</t>
        </is>
      </c>
      <c r="BG43" t="n">
        <v>0</v>
      </c>
      <c r="BH43" t="inlineStr">
        <is>
          <t>非强平</t>
        </is>
      </c>
      <c r="BI43" t="inlineStr">
        <is>
          <t>顾吟湫</t>
        </is>
      </c>
      <c r="BJ43" t="inlineStr">
        <is>
          <t>否</t>
        </is>
      </c>
      <c r="BK43" t="inlineStr">
        <is>
          <t>增强限价盘</t>
        </is>
      </c>
      <c r="BL43" t="n">
        <v/>
      </c>
      <c r="BM43" t="n">
        <v>0</v>
      </c>
      <c r="BN43" t="n">
        <v>401.3833333333333</v>
      </c>
      <c r="BO43" t="inlineStr">
        <is>
          <t>股票</t>
        </is>
      </c>
      <c r="BP43" t="n">
        <v/>
      </c>
      <c r="BQ43" t="n">
        <v/>
      </c>
      <c r="BR43" t="n">
        <v>0</v>
      </c>
      <c r="BS43" t="inlineStr">
        <is>
          <t>已成交</t>
        </is>
      </c>
    </row>
    <row r="44">
      <c r="A44" t="n">
        <v>43</v>
      </c>
      <c r="B44" t="inlineStr">
        <is>
          <t>2026-02-25</t>
        </is>
      </c>
      <c r="C44" t="n">
        <v>3008</v>
      </c>
      <c r="D44" t="inlineStr">
        <is>
          <t>自营权益4</t>
        </is>
      </c>
      <c r="E44" t="n">
        <v>3008</v>
      </c>
      <c r="F44" t="n">
        <v>995</v>
      </c>
      <c r="G44" t="inlineStr">
        <is>
          <t>安徽皖通高速公路</t>
        </is>
      </c>
      <c r="H44" t="inlineStr">
        <is>
          <t>买入</t>
        </is>
      </c>
      <c r="I44" t="n">
        <v>13.5</v>
      </c>
      <c r="J44" t="n">
        <v>13.69</v>
      </c>
      <c r="K44" t="n">
        <v>28000</v>
      </c>
      <c r="L44" t="n">
        <v>376600</v>
      </c>
      <c r="M44" t="n">
        <v>7</v>
      </c>
      <c r="N44" t="n">
        <v>13.45</v>
      </c>
      <c r="O44" t="n">
        <v>13.45</v>
      </c>
      <c r="P44" t="n">
        <v>13.45</v>
      </c>
      <c r="Q44" t="n">
        <v>13.45</v>
      </c>
      <c r="R44" t="n">
        <v>13.45</v>
      </c>
      <c r="S44" t="inlineStr">
        <is>
          <t>港股通（深）</t>
        </is>
      </c>
      <c r="T44" t="n">
        <v>1951329</v>
      </c>
      <c r="U44" t="n">
        <v>1.4349</v>
      </c>
      <c r="V44" t="n">
        <v>26720873.34</v>
      </c>
      <c r="W44" t="n">
        <v>300841</v>
      </c>
      <c r="X44" t="inlineStr">
        <is>
          <t>自营权益4（深港）</t>
        </is>
      </c>
      <c r="Y44" t="n">
        <v>28000</v>
      </c>
      <c r="Z44" t="n">
        <v>13.97</v>
      </c>
      <c r="AA44" t="n">
        <v>13.17</v>
      </c>
      <c r="AB44" t="n">
        <v>2</v>
      </c>
      <c r="AC44" t="inlineStr">
        <is>
          <t>叶盛</t>
        </is>
      </c>
      <c r="AD44" t="inlineStr">
        <is>
          <t>股票资产</t>
        </is>
      </c>
      <c r="AE44" t="n">
        <v>0.5212</v>
      </c>
      <c r="AF44" t="n">
        <v>1.4094</v>
      </c>
      <c r="AG44" t="n">
        <v>1.7797</v>
      </c>
      <c r="AH44" t="n">
        <v>28000</v>
      </c>
      <c r="AI44" t="n">
        <v>53</v>
      </c>
      <c r="AJ44" t="inlineStr">
        <is>
          <t>自营权益4（深港）</t>
        </is>
      </c>
      <c r="AK44" t="inlineStr">
        <is>
          <t>人民币</t>
        </is>
      </c>
      <c r="AL44" t="n">
        <v>6111</v>
      </c>
      <c r="AM44" t="n">
        <v/>
      </c>
      <c r="AN44" t="n">
        <v>30084</v>
      </c>
      <c r="AO44" t="n">
        <v/>
      </c>
      <c r="AP44" t="inlineStr">
        <is>
          <t>顾吟湫</t>
        </is>
      </c>
      <c r="AQ44" t="inlineStr">
        <is>
          <t>人民币</t>
        </is>
      </c>
      <c r="AR44" t="n">
        <v>331306.31</v>
      </c>
      <c r="AS44" t="n">
        <v/>
      </c>
      <c r="AT44" t="n">
        <v/>
      </c>
      <c r="AU44" t="n">
        <v/>
      </c>
      <c r="AV44" t="n">
        <v/>
      </c>
      <c r="AW44" t="inlineStr">
        <is>
          <t>CNE1000001X0</t>
        </is>
      </c>
      <c r="AX44" t="inlineStr">
        <is>
          <t>无</t>
        </is>
      </c>
      <c r="AY44" t="inlineStr">
        <is>
          <t xml:space="preserve"> </t>
        </is>
      </c>
      <c r="AZ44" t="inlineStr">
        <is>
          <t xml:space="preserve"> </t>
        </is>
      </c>
      <c r="BA44" t="n">
        <v>0.1639</v>
      </c>
      <c r="BB44" t="n">
        <v>0</v>
      </c>
      <c r="BC44" t="inlineStr">
        <is>
          <t>缺省券商</t>
        </is>
      </c>
      <c r="BD44" t="inlineStr">
        <is>
          <t>交易所业务</t>
        </is>
      </c>
      <c r="BE44" t="inlineStr">
        <is>
          <t>不是ETF补券指令</t>
        </is>
      </c>
      <c r="BF44" t="inlineStr">
        <is>
          <t>-376,600.00</t>
        </is>
      </c>
      <c r="BG44" t="n">
        <v>0</v>
      </c>
      <c r="BH44" t="inlineStr">
        <is>
          <t>非强平</t>
        </is>
      </c>
      <c r="BI44" t="inlineStr">
        <is>
          <t>顾吟湫</t>
        </is>
      </c>
      <c r="BJ44" t="inlineStr">
        <is>
          <t>否</t>
        </is>
      </c>
      <c r="BK44" t="inlineStr">
        <is>
          <t>增强限价盘</t>
        </is>
      </c>
      <c r="BL44" t="n">
        <v/>
      </c>
      <c r="BM44" t="n">
        <v>0</v>
      </c>
      <c r="BN44" t="n">
        <v>0</v>
      </c>
      <c r="BO44" t="inlineStr">
        <is>
          <t>股票</t>
        </is>
      </c>
      <c r="BP44" t="n">
        <v/>
      </c>
      <c r="BQ44" t="n">
        <v/>
      </c>
      <c r="BR44" t="n">
        <v>0</v>
      </c>
      <c r="BS44" t="inlineStr">
        <is>
          <t>已成交</t>
        </is>
      </c>
    </row>
    <row r="45">
      <c r="A45" t="n">
        <v>44</v>
      </c>
      <c r="B45" t="inlineStr">
        <is>
          <t>2026-02-25</t>
        </is>
      </c>
      <c r="C45" t="n">
        <v>3008</v>
      </c>
      <c r="D45" t="inlineStr">
        <is>
          <t>自营权益4</t>
        </is>
      </c>
      <c r="E45" t="n">
        <v>3008</v>
      </c>
      <c r="F45" t="n">
        <v>1398</v>
      </c>
      <c r="G45" t="inlineStr">
        <is>
          <t>工商银行</t>
        </is>
      </c>
      <c r="H45" t="inlineStr">
        <is>
          <t>卖出</t>
        </is>
      </c>
      <c r="I45" t="n">
        <v>6.46</v>
      </c>
      <c r="J45" t="n">
        <v>6.47</v>
      </c>
      <c r="K45" t="n">
        <v>200000</v>
      </c>
      <c r="L45" t="n">
        <v>1300000</v>
      </c>
      <c r="M45" t="n">
        <v>3</v>
      </c>
      <c r="N45" t="n">
        <v>6.5</v>
      </c>
      <c r="O45" t="n">
        <v>6.5</v>
      </c>
      <c r="P45" t="n">
        <v>6.5</v>
      </c>
      <c r="Q45" t="n">
        <v>6.5</v>
      </c>
      <c r="R45" t="n">
        <v>6.5</v>
      </c>
      <c r="S45" t="inlineStr">
        <is>
          <t>港股通（深）</t>
        </is>
      </c>
      <c r="T45" t="n">
        <v>143643677</v>
      </c>
      <c r="U45" t="n">
        <v>0.1392</v>
      </c>
      <c r="V45" t="n">
        <v>929633108.51</v>
      </c>
      <c r="W45" t="n">
        <v>300841</v>
      </c>
      <c r="X45" t="inlineStr">
        <is>
          <t>自营权益4（深港）</t>
        </is>
      </c>
      <c r="Y45" t="n">
        <v>200000</v>
      </c>
      <c r="Z45" t="n">
        <v>6.51</v>
      </c>
      <c r="AA45" t="n">
        <v>6.42</v>
      </c>
      <c r="AB45" t="n">
        <v>1</v>
      </c>
      <c r="AC45" t="inlineStr">
        <is>
          <t>叶盛</t>
        </is>
      </c>
      <c r="AD45" t="inlineStr">
        <is>
          <t>股票资产</t>
        </is>
      </c>
      <c r="AE45" t="n">
        <v>0.155</v>
      </c>
      <c r="AF45" t="n">
        <v>0.1398</v>
      </c>
      <c r="AG45" t="n">
        <v>0.4357</v>
      </c>
      <c r="AH45" t="n">
        <v>200000</v>
      </c>
      <c r="AI45" t="n">
        <v>53</v>
      </c>
      <c r="AJ45" t="inlineStr">
        <is>
          <t>自营权益4（深港）</t>
        </is>
      </c>
      <c r="AK45" t="inlineStr">
        <is>
          <t>人民币</t>
        </is>
      </c>
      <c r="AL45" t="n">
        <v>6111</v>
      </c>
      <c r="AM45" t="n">
        <v/>
      </c>
      <c r="AN45" t="n">
        <v>30084</v>
      </c>
      <c r="AO45" t="n">
        <v/>
      </c>
      <c r="AP45" t="inlineStr">
        <is>
          <t>顾吟湫</t>
        </is>
      </c>
      <c r="AQ45" t="inlineStr">
        <is>
          <t>人民币</t>
        </is>
      </c>
      <c r="AR45" t="n">
        <v>1143831.01</v>
      </c>
      <c r="AS45" t="n">
        <v/>
      </c>
      <c r="AT45" t="n">
        <v/>
      </c>
      <c r="AU45" t="n">
        <v/>
      </c>
      <c r="AV45" t="n">
        <v/>
      </c>
      <c r="AW45" t="inlineStr">
        <is>
          <t>CNE1000003G1</t>
        </is>
      </c>
      <c r="AX45" t="inlineStr">
        <is>
          <t>无</t>
        </is>
      </c>
      <c r="AY45" t="inlineStr">
        <is>
          <t xml:space="preserve"> </t>
        </is>
      </c>
      <c r="AZ45" t="inlineStr">
        <is>
          <t xml:space="preserve"> </t>
        </is>
      </c>
      <c r="BA45" t="n">
        <v>0.5659</v>
      </c>
      <c r="BB45" t="n">
        <v>0</v>
      </c>
      <c r="BC45" t="inlineStr">
        <is>
          <t>缺省券商</t>
        </is>
      </c>
      <c r="BD45" t="inlineStr">
        <is>
          <t>交易所业务</t>
        </is>
      </c>
      <c r="BE45" t="inlineStr">
        <is>
          <t>不是ETF补券指令</t>
        </is>
      </c>
      <c r="BF45" t="inlineStr">
        <is>
          <t>1,300,000.00</t>
        </is>
      </c>
      <c r="BG45" t="n">
        <v>0</v>
      </c>
      <c r="BH45" t="inlineStr">
        <is>
          <t>非强平</t>
        </is>
      </c>
      <c r="BI45" t="inlineStr">
        <is>
          <t>顾吟湫</t>
        </is>
      </c>
      <c r="BJ45" t="inlineStr">
        <is>
          <t>否</t>
        </is>
      </c>
      <c r="BK45" t="inlineStr">
        <is>
          <t>增强限价盘</t>
        </is>
      </c>
      <c r="BL45" t="n">
        <v/>
      </c>
      <c r="BM45" t="n">
        <v>0</v>
      </c>
      <c r="BN45" t="n">
        <v>0.2333333333333333</v>
      </c>
      <c r="BO45" t="inlineStr">
        <is>
          <t>股票</t>
        </is>
      </c>
      <c r="BP45" t="n">
        <v/>
      </c>
      <c r="BQ45" t="n">
        <v/>
      </c>
      <c r="BR45" t="n">
        <v>0</v>
      </c>
      <c r="BS45" t="inlineStr">
        <is>
          <t>已成交</t>
        </is>
      </c>
    </row>
    <row r="46">
      <c r="A46" t="n">
        <v>45</v>
      </c>
      <c r="B46" t="inlineStr">
        <is>
          <t>2026-02-25</t>
        </is>
      </c>
      <c r="C46" t="n">
        <v>3008</v>
      </c>
      <c r="D46" t="inlineStr">
        <is>
          <t>自营权益4</t>
        </is>
      </c>
      <c r="E46" t="n">
        <v>3008</v>
      </c>
      <c r="F46" t="n">
        <v>9985</v>
      </c>
      <c r="G46" t="inlineStr">
        <is>
          <t>卫龙美味</t>
        </is>
      </c>
      <c r="H46" t="inlineStr">
        <is>
          <t>买入</t>
        </is>
      </c>
      <c r="I46" t="n">
        <v>11.96</v>
      </c>
      <c r="J46" t="n">
        <v>12.02</v>
      </c>
      <c r="K46" t="n">
        <v>300000</v>
      </c>
      <c r="L46" t="n">
        <v>3575920</v>
      </c>
      <c r="M46" t="n">
        <v>114</v>
      </c>
      <c r="N46" t="n">
        <v>11.9</v>
      </c>
      <c r="O46" t="n">
        <v>11.96</v>
      </c>
      <c r="P46" t="n">
        <v>11.91973333333333</v>
      </c>
      <c r="Q46" t="n">
        <v>11.91973333333333</v>
      </c>
      <c r="R46" t="n">
        <v>11.91973333333333</v>
      </c>
      <c r="S46" t="inlineStr">
        <is>
          <t>港股通（深）</t>
        </is>
      </c>
      <c r="T46" t="n">
        <v>7157800</v>
      </c>
      <c r="U46" t="n">
        <v>4.1912</v>
      </c>
      <c r="V46" t="n">
        <v>86001811.40000001</v>
      </c>
      <c r="W46" t="n">
        <v>300841</v>
      </c>
      <c r="X46" t="inlineStr">
        <is>
          <t>自营权益4（深港）</t>
        </is>
      </c>
      <c r="Y46" t="n">
        <v>300000</v>
      </c>
      <c r="Z46" t="n">
        <v>12.58</v>
      </c>
      <c r="AA46" t="n">
        <v>11.79</v>
      </c>
      <c r="AB46" t="n">
        <v>9</v>
      </c>
      <c r="AC46" t="inlineStr">
        <is>
          <t>叶盛</t>
        </is>
      </c>
      <c r="AD46" t="inlineStr">
        <is>
          <t>股票资产</t>
        </is>
      </c>
      <c r="AE46" t="n">
        <v>-4.1667</v>
      </c>
      <c r="AF46" t="n">
        <v>4.158</v>
      </c>
      <c r="AG46" t="n">
        <v>0.794</v>
      </c>
      <c r="AH46" t="n">
        <v>300000</v>
      </c>
      <c r="AI46" t="n">
        <v>53</v>
      </c>
      <c r="AJ46" t="inlineStr">
        <is>
          <t>自营权益4（深港）</t>
        </is>
      </c>
      <c r="AK46" t="inlineStr">
        <is>
          <t>人民币</t>
        </is>
      </c>
      <c r="AL46" t="n">
        <v>6111</v>
      </c>
      <c r="AM46" t="n">
        <v/>
      </c>
      <c r="AN46" t="n">
        <v>30084</v>
      </c>
      <c r="AO46" t="n">
        <v/>
      </c>
      <c r="AP46" t="inlineStr">
        <is>
          <t>顾吟湫</t>
        </is>
      </c>
      <c r="AQ46" t="inlineStr">
        <is>
          <t>人民币</t>
        </is>
      </c>
      <c r="AR46" t="n">
        <v>3145844.1</v>
      </c>
      <c r="AS46" t="n">
        <v/>
      </c>
      <c r="AT46" t="n">
        <v/>
      </c>
      <c r="AU46" t="n">
        <v/>
      </c>
      <c r="AV46" t="n">
        <v/>
      </c>
      <c r="AW46" t="inlineStr">
        <is>
          <t>KYG9T20T1051</t>
        </is>
      </c>
      <c r="AX46" t="inlineStr">
        <is>
          <t>无</t>
        </is>
      </c>
      <c r="AY46" t="inlineStr">
        <is>
          <t xml:space="preserve"> </t>
        </is>
      </c>
      <c r="AZ46" t="inlineStr">
        <is>
          <t xml:space="preserve"> </t>
        </is>
      </c>
      <c r="BA46" t="n">
        <v>1.5563</v>
      </c>
      <c r="BB46" t="n">
        <v>0</v>
      </c>
      <c r="BC46" t="inlineStr">
        <is>
          <t>缺省券商</t>
        </is>
      </c>
      <c r="BD46" t="inlineStr">
        <is>
          <t>交易所业务</t>
        </is>
      </c>
      <c r="BE46" t="inlineStr">
        <is>
          <t>不是ETF补券指令</t>
        </is>
      </c>
      <c r="BF46" t="inlineStr">
        <is>
          <t>-3,575,920.00</t>
        </is>
      </c>
      <c r="BG46" t="n">
        <v>0</v>
      </c>
      <c r="BH46" t="inlineStr">
        <is>
          <t>非强平</t>
        </is>
      </c>
      <c r="BI46" t="inlineStr">
        <is>
          <t>顾吟湫</t>
        </is>
      </c>
      <c r="BJ46" t="inlineStr">
        <is>
          <t>否</t>
        </is>
      </c>
      <c r="BK46" t="inlineStr">
        <is>
          <t>增强限价盘</t>
        </is>
      </c>
      <c r="BL46" t="n">
        <v/>
      </c>
      <c r="BM46" t="n">
        <v>0</v>
      </c>
      <c r="BN46" t="n">
        <v>258.95</v>
      </c>
      <c r="BO46" t="inlineStr">
        <is>
          <t>股票</t>
        </is>
      </c>
      <c r="BP46" t="n">
        <v/>
      </c>
      <c r="BQ46" t="n">
        <v/>
      </c>
      <c r="BR46" t="n">
        <v>0</v>
      </c>
      <c r="BS46" t="inlineStr">
        <is>
          <t>已成交</t>
        </is>
      </c>
    </row>
    <row r="47">
      <c r="A47" t="n">
        <v>46</v>
      </c>
      <c r="B47" t="inlineStr">
        <is>
          <t>2026-02-26</t>
        </is>
      </c>
      <c r="C47" t="n">
        <v>3008</v>
      </c>
      <c r="D47" t="inlineStr">
        <is>
          <t>自营权益4</t>
        </is>
      </c>
      <c r="E47" t="n">
        <v>3008</v>
      </c>
      <c r="F47" t="n">
        <v>3328</v>
      </c>
      <c r="G47" t="inlineStr">
        <is>
          <t>交通银行</t>
        </is>
      </c>
      <c r="H47" t="inlineStr">
        <is>
          <t>卖出</t>
        </is>
      </c>
      <c r="I47" t="n">
        <v>6.93</v>
      </c>
      <c r="J47" t="n">
        <v>6.95</v>
      </c>
      <c r="K47" t="n">
        <v>600000</v>
      </c>
      <c r="L47" t="n">
        <v>4188000</v>
      </c>
      <c r="M47" t="n">
        <v>163</v>
      </c>
      <c r="N47" t="n">
        <v>6.97</v>
      </c>
      <c r="O47" t="n">
        <v>6.99</v>
      </c>
      <c r="P47" t="n">
        <v>6.98</v>
      </c>
      <c r="Q47" t="n">
        <v>6.98</v>
      </c>
      <c r="R47" t="n">
        <v>6.98</v>
      </c>
      <c r="S47" t="inlineStr">
        <is>
          <t>港股通（深）</t>
        </is>
      </c>
      <c r="T47" t="n">
        <v>25006123</v>
      </c>
      <c r="U47" t="n">
        <v>2.3994</v>
      </c>
      <c r="V47" t="n">
        <v>173860312.48</v>
      </c>
      <c r="W47" t="n">
        <v>300841</v>
      </c>
      <c r="X47" t="inlineStr">
        <is>
          <t>自营权益4（深港）</t>
        </is>
      </c>
      <c r="Y47" t="n">
        <v>600000</v>
      </c>
      <c r="Z47" t="n">
        <v>7</v>
      </c>
      <c r="AA47" t="n">
        <v>6.92</v>
      </c>
      <c r="AB47" t="n">
        <v>4</v>
      </c>
      <c r="AC47" t="inlineStr">
        <is>
          <t>叶盛</t>
        </is>
      </c>
      <c r="AD47" t="inlineStr">
        <is>
          <t>股票资产</t>
        </is>
      </c>
      <c r="AE47" t="n">
        <v>-0.2878</v>
      </c>
      <c r="AF47" t="n">
        <v>2.4088</v>
      </c>
      <c r="AG47" t="n">
        <v>0.3927</v>
      </c>
      <c r="AH47" t="n">
        <v>600000</v>
      </c>
      <c r="AI47" t="n">
        <v>53</v>
      </c>
      <c r="AJ47" t="inlineStr">
        <is>
          <t>自营权益4（深港）</t>
        </is>
      </c>
      <c r="AK47" t="inlineStr">
        <is>
          <t>人民币</t>
        </is>
      </c>
      <c r="AL47" t="n">
        <v>6111</v>
      </c>
      <c r="AM47" t="n">
        <v/>
      </c>
      <c r="AN47" t="n">
        <v>30084</v>
      </c>
      <c r="AO47" t="n">
        <v/>
      </c>
      <c r="AP47" t="inlineStr">
        <is>
          <t>顾吟湫</t>
        </is>
      </c>
      <c r="AQ47" t="inlineStr">
        <is>
          <t>人民币</t>
        </is>
      </c>
      <c r="AR47" t="n">
        <v>3674090.38</v>
      </c>
      <c r="AS47" t="n">
        <v/>
      </c>
      <c r="AT47" t="n">
        <v/>
      </c>
      <c r="AU47" t="n">
        <v/>
      </c>
      <c r="AV47" t="n">
        <v/>
      </c>
      <c r="AW47" t="inlineStr">
        <is>
          <t>CNE100000205</t>
        </is>
      </c>
      <c r="AX47" t="inlineStr">
        <is>
          <t>无</t>
        </is>
      </c>
      <c r="AY47" t="inlineStr">
        <is>
          <t xml:space="preserve"> </t>
        </is>
      </c>
      <c r="AZ47" t="inlineStr">
        <is>
          <t xml:space="preserve"> </t>
        </is>
      </c>
      <c r="BA47" t="n">
        <v>1.8372</v>
      </c>
      <c r="BB47" t="n">
        <v>0</v>
      </c>
      <c r="BC47" t="inlineStr">
        <is>
          <t>缺省券商</t>
        </is>
      </c>
      <c r="BD47" t="inlineStr">
        <is>
          <t>交易所业务</t>
        </is>
      </c>
      <c r="BE47" t="inlineStr">
        <is>
          <t>不是ETF补券指令</t>
        </is>
      </c>
      <c r="BF47" t="inlineStr">
        <is>
          <t>4,188,000.00</t>
        </is>
      </c>
      <c r="BG47" t="n">
        <v>0</v>
      </c>
      <c r="BH47" t="inlineStr">
        <is>
          <t>非强平</t>
        </is>
      </c>
      <c r="BI47" t="inlineStr">
        <is>
          <t>顾吟湫</t>
        </is>
      </c>
      <c r="BJ47" t="inlineStr">
        <is>
          <t>否</t>
        </is>
      </c>
      <c r="BK47" t="inlineStr">
        <is>
          <t>增强限价盘</t>
        </is>
      </c>
      <c r="BL47" t="n">
        <v/>
      </c>
      <c r="BM47" t="n">
        <v>0</v>
      </c>
      <c r="BN47" t="n">
        <v>11463.43333333333</v>
      </c>
      <c r="BO47" t="inlineStr">
        <is>
          <t>股票</t>
        </is>
      </c>
      <c r="BP47" t="n">
        <v/>
      </c>
      <c r="BQ47" t="n">
        <v/>
      </c>
      <c r="BR47" t="n">
        <v>0</v>
      </c>
      <c r="BS47" t="inlineStr">
        <is>
          <t>已成交</t>
        </is>
      </c>
    </row>
    <row r="48">
      <c r="A48" t="n">
        <v>47</v>
      </c>
      <c r="B48" t="inlineStr">
        <is>
          <t>2026-02-27</t>
        </is>
      </c>
      <c r="C48" t="n">
        <v>3008</v>
      </c>
      <c r="D48" t="inlineStr">
        <is>
          <t>自营权益4</t>
        </is>
      </c>
      <c r="E48" t="n">
        <v>3008</v>
      </c>
      <c r="F48" t="n">
        <v>600887</v>
      </c>
      <c r="G48" t="inlineStr">
        <is>
          <t>伊利股份</t>
        </is>
      </c>
      <c r="H48" t="inlineStr">
        <is>
          <t>买入</t>
        </is>
      </c>
      <c r="I48" t="n">
        <v>26.08</v>
      </c>
      <c r="J48" t="n">
        <v>26.15</v>
      </c>
      <c r="K48" t="n">
        <v>90000</v>
      </c>
      <c r="L48" t="n">
        <v>2358900</v>
      </c>
      <c r="M48" t="n">
        <v>83</v>
      </c>
      <c r="N48" t="n">
        <v>26.21</v>
      </c>
      <c r="O48" t="n">
        <v>26.21</v>
      </c>
      <c r="P48" t="n">
        <v>26.21</v>
      </c>
      <c r="Q48" t="n">
        <v>26.21</v>
      </c>
      <c r="R48" t="n">
        <v>26.21</v>
      </c>
      <c r="S48" t="inlineStr">
        <is>
          <t>上交所A</t>
        </is>
      </c>
      <c r="T48" t="n">
        <v>39534029</v>
      </c>
      <c r="U48" t="n">
        <v>0.2277</v>
      </c>
      <c r="V48" t="n">
        <v>1033896673</v>
      </c>
      <c r="W48" t="n">
        <v>300821</v>
      </c>
      <c r="X48" t="inlineStr">
        <is>
          <t>自营权益4（场内）</t>
        </is>
      </c>
      <c r="Y48" t="n">
        <v>90000</v>
      </c>
      <c r="Z48" t="n">
        <v>26.26</v>
      </c>
      <c r="AA48" t="n">
        <v>26.01</v>
      </c>
      <c r="AB48" t="n">
        <v>1</v>
      </c>
      <c r="AC48" t="inlineStr">
        <is>
          <t>叶盛</t>
        </is>
      </c>
      <c r="AD48" t="inlineStr">
        <is>
          <t>股票资产</t>
        </is>
      </c>
      <c r="AE48" t="n">
        <v>-0.1531</v>
      </c>
      <c r="AF48" t="n">
        <v>0.2282</v>
      </c>
      <c r="AG48" t="n">
        <v>-0.2214</v>
      </c>
      <c r="AH48" t="n">
        <v>90000</v>
      </c>
      <c r="AI48" t="n">
        <v>46</v>
      </c>
      <c r="AJ48" t="inlineStr">
        <is>
          <t>自营权益4（场内）</t>
        </is>
      </c>
      <c r="AK48" t="inlineStr">
        <is>
          <t>人民币</t>
        </is>
      </c>
      <c r="AL48" t="n">
        <v>40878</v>
      </c>
      <c r="AM48" t="n">
        <v/>
      </c>
      <c r="AN48" t="n">
        <v>30082</v>
      </c>
      <c r="AO48" t="n">
        <v/>
      </c>
      <c r="AP48" t="inlineStr">
        <is>
          <t>顾吟湫</t>
        </is>
      </c>
      <c r="AQ48" t="inlineStr">
        <is>
          <t>人民币</t>
        </is>
      </c>
      <c r="AR48" t="n">
        <v>2358900</v>
      </c>
      <c r="AS48" t="n">
        <v>600887</v>
      </c>
      <c r="AT48" t="n">
        <v>600887</v>
      </c>
      <c r="AU48" t="n">
        <v>600887</v>
      </c>
      <c r="AV48" t="n">
        <v>600887</v>
      </c>
      <c r="AW48" t="inlineStr">
        <is>
          <t>600887</t>
        </is>
      </c>
      <c r="AX48" t="inlineStr">
        <is>
          <t>无</t>
        </is>
      </c>
      <c r="AY48" t="inlineStr">
        <is>
          <t xml:space="preserve"> </t>
        </is>
      </c>
      <c r="AZ48" t="inlineStr">
        <is>
          <t xml:space="preserve"> </t>
        </is>
      </c>
      <c r="BA48" t="n">
        <v>1.1788</v>
      </c>
      <c r="BB48" t="n">
        <v>0</v>
      </c>
      <c r="BC48" t="inlineStr">
        <is>
          <t>缺省券商</t>
        </is>
      </c>
      <c r="BD48" t="inlineStr">
        <is>
          <t>交易所业务</t>
        </is>
      </c>
      <c r="BE48" t="inlineStr">
        <is>
          <t>不是ETF补券指令</t>
        </is>
      </c>
      <c r="BF48" t="inlineStr">
        <is>
          <t>-2,358,900.00</t>
        </is>
      </c>
      <c r="BG48" t="n">
        <v>26.13</v>
      </c>
      <c r="BH48" t="inlineStr">
        <is>
          <t>非强平</t>
        </is>
      </c>
      <c r="BI48" t="inlineStr">
        <is>
          <t>顾吟湫</t>
        </is>
      </c>
      <c r="BJ48" t="inlineStr">
        <is>
          <t>否</t>
        </is>
      </c>
      <c r="BK48" t="inlineStr">
        <is>
          <t>限价</t>
        </is>
      </c>
      <c r="BL48" t="n">
        <v/>
      </c>
      <c r="BM48" t="n">
        <v>0</v>
      </c>
      <c r="BN48" t="n">
        <v>51.41666666666666</v>
      </c>
      <c r="BO48" t="inlineStr">
        <is>
          <t>股票</t>
        </is>
      </c>
      <c r="BP48" t="n">
        <v/>
      </c>
      <c r="BQ48" t="n">
        <v/>
      </c>
      <c r="BR48" t="n">
        <v>0</v>
      </c>
      <c r="BS48" t="inlineStr">
        <is>
          <t>已成交</t>
        </is>
      </c>
    </row>
    <row r="49">
      <c r="A49" t="n">
        <v>48</v>
      </c>
      <c r="B49" t="inlineStr">
        <is>
          <t>2026-02-27</t>
        </is>
      </c>
      <c r="C49" t="n">
        <v>3008</v>
      </c>
      <c r="D49" t="inlineStr">
        <is>
          <t>自营权益4</t>
        </is>
      </c>
      <c r="E49" t="n">
        <v>3008</v>
      </c>
      <c r="F49" t="n">
        <v>333</v>
      </c>
      <c r="G49" t="inlineStr">
        <is>
          <t>美的集团</t>
        </is>
      </c>
      <c r="H49" t="inlineStr">
        <is>
          <t>买入</t>
        </is>
      </c>
      <c r="I49" t="n">
        <v>78.64</v>
      </c>
      <c r="J49" t="n">
        <v>78.89</v>
      </c>
      <c r="K49" t="n">
        <v>10000</v>
      </c>
      <c r="L49" t="n">
        <v>794500</v>
      </c>
      <c r="M49" t="n">
        <v>9</v>
      </c>
      <c r="N49" t="n">
        <v>79.45</v>
      </c>
      <c r="O49" t="n">
        <v>79.45</v>
      </c>
      <c r="P49" t="n">
        <v>79.45</v>
      </c>
      <c r="Q49" t="n">
        <v>79.45</v>
      </c>
      <c r="R49" t="n">
        <v>79.45</v>
      </c>
      <c r="S49" t="inlineStr">
        <is>
          <t>深交所A</t>
        </is>
      </c>
      <c r="T49" t="n">
        <v>20160388</v>
      </c>
      <c r="U49" t="n">
        <v>0.0496</v>
      </c>
      <c r="V49" t="n">
        <v>1590463839.3</v>
      </c>
      <c r="W49" t="n">
        <v>300821</v>
      </c>
      <c r="X49" t="inlineStr">
        <is>
          <t>自营权益4（场内）</t>
        </is>
      </c>
      <c r="Y49" t="n">
        <v>10000</v>
      </c>
      <c r="Z49" t="n">
        <v>79.5</v>
      </c>
      <c r="AA49" t="n">
        <v>78.5</v>
      </c>
      <c r="AB49" t="n">
        <v>3</v>
      </c>
      <c r="AC49" t="inlineStr">
        <is>
          <t>叶盛</t>
        </is>
      </c>
      <c r="AD49" t="inlineStr">
        <is>
          <t>股票资产</t>
        </is>
      </c>
      <c r="AE49" t="n">
        <v>-0.7697000000000001</v>
      </c>
      <c r="AF49" t="n">
        <v>0.05</v>
      </c>
      <c r="AG49" t="n">
        <v>-0.7092000000000001</v>
      </c>
      <c r="AH49" t="n">
        <v>10000</v>
      </c>
      <c r="AI49" t="n">
        <v>46</v>
      </c>
      <c r="AJ49" t="inlineStr">
        <is>
          <t>自营权益4（场内）</t>
        </is>
      </c>
      <c r="AK49" t="inlineStr">
        <is>
          <t>人民币</t>
        </is>
      </c>
      <c r="AL49" t="n">
        <v>6111</v>
      </c>
      <c r="AM49" t="n">
        <v/>
      </c>
      <c r="AN49" t="n">
        <v>30082</v>
      </c>
      <c r="AO49" t="n">
        <v/>
      </c>
      <c r="AP49" t="inlineStr">
        <is>
          <t>顾吟湫</t>
        </is>
      </c>
      <c r="AQ49" t="inlineStr">
        <is>
          <t>人民币</t>
        </is>
      </c>
      <c r="AR49" t="n">
        <v>794500</v>
      </c>
      <c r="AS49" t="n">
        <v>333</v>
      </c>
      <c r="AT49" t="n">
        <v>333</v>
      </c>
      <c r="AU49" t="n">
        <v>333</v>
      </c>
      <c r="AV49" t="n">
        <v>333</v>
      </c>
      <c r="AW49" t="inlineStr">
        <is>
          <t>000333</t>
        </is>
      </c>
      <c r="AX49" t="inlineStr">
        <is>
          <t>无</t>
        </is>
      </c>
      <c r="AY49" t="inlineStr">
        <is>
          <t xml:space="preserve"> </t>
        </is>
      </c>
      <c r="AZ49" t="inlineStr">
        <is>
          <t xml:space="preserve"> </t>
        </is>
      </c>
      <c r="BA49" t="n">
        <v>0.397</v>
      </c>
      <c r="BB49" t="n">
        <v>0</v>
      </c>
      <c r="BC49" t="inlineStr">
        <is>
          <t>缺省券商</t>
        </is>
      </c>
      <c r="BD49" t="inlineStr">
        <is>
          <t>交易所业务</t>
        </is>
      </c>
      <c r="BE49" t="inlineStr">
        <is>
          <t>不是ETF补券指令</t>
        </is>
      </c>
      <c r="BF49" t="inlineStr">
        <is>
          <t>-794,500.00</t>
        </is>
      </c>
      <c r="BG49" t="n">
        <v>79.03</v>
      </c>
      <c r="BH49" t="inlineStr">
        <is>
          <t>非强平</t>
        </is>
      </c>
      <c r="BI49" t="inlineStr">
        <is>
          <t>顾吟湫</t>
        </is>
      </c>
      <c r="BJ49" t="inlineStr">
        <is>
          <t>否</t>
        </is>
      </c>
      <c r="BK49" t="inlineStr">
        <is>
          <t>限价</t>
        </is>
      </c>
      <c r="BL49" t="n">
        <v/>
      </c>
      <c r="BM49" t="n">
        <v>0</v>
      </c>
      <c r="BN49" t="n">
        <v>2.55</v>
      </c>
      <c r="BO49" t="inlineStr">
        <is>
          <t>股票</t>
        </is>
      </c>
      <c r="BP49" t="n">
        <v/>
      </c>
      <c r="BQ49" t="n">
        <v/>
      </c>
      <c r="BR49" t="n">
        <v>0</v>
      </c>
      <c r="BS49" t="inlineStr">
        <is>
          <t>已成交</t>
        </is>
      </c>
    </row>
    <row r="50">
      <c r="A50" t="n">
        <v>49</v>
      </c>
      <c r="B50" t="inlineStr">
        <is>
          <t>2026-02-27</t>
        </is>
      </c>
      <c r="C50" t="n">
        <v>3008</v>
      </c>
      <c r="D50" t="inlineStr">
        <is>
          <t>自营权益4</t>
        </is>
      </c>
      <c r="E50" t="n">
        <v>3008</v>
      </c>
      <c r="F50" t="n">
        <v>9985</v>
      </c>
      <c r="G50" t="inlineStr">
        <is>
          <t>卫龙美味</t>
        </is>
      </c>
      <c r="H50" t="inlineStr">
        <is>
          <t>买入</t>
        </is>
      </c>
      <c r="I50" t="n">
        <v>11.71</v>
      </c>
      <c r="J50" t="n">
        <v>11.7</v>
      </c>
      <c r="K50" t="n">
        <v>50000</v>
      </c>
      <c r="L50" t="n">
        <v>589940</v>
      </c>
      <c r="M50" t="n">
        <v>5</v>
      </c>
      <c r="N50" t="n">
        <v>11.79</v>
      </c>
      <c r="O50" t="n">
        <v>11.8</v>
      </c>
      <c r="P50" t="n">
        <v>11.7988</v>
      </c>
      <c r="Q50" t="n">
        <v>11.7988</v>
      </c>
      <c r="R50" t="n">
        <v>11.7988</v>
      </c>
      <c r="S50" t="inlineStr">
        <is>
          <t>港股通（深）</t>
        </is>
      </c>
      <c r="T50" t="n">
        <v>2288000</v>
      </c>
      <c r="U50" t="n">
        <v>2.1853</v>
      </c>
      <c r="V50" t="n">
        <v>26773204.6</v>
      </c>
      <c r="W50" t="n">
        <v>300841</v>
      </c>
      <c r="X50" t="inlineStr">
        <is>
          <t>自营权益4（深港）</t>
        </is>
      </c>
      <c r="Y50" t="n">
        <v>50000</v>
      </c>
      <c r="Z50" t="n">
        <v>11.96</v>
      </c>
      <c r="AA50" t="n">
        <v>11.54</v>
      </c>
      <c r="AB50" t="n">
        <v>2</v>
      </c>
      <c r="AC50" t="inlineStr">
        <is>
          <t>叶盛</t>
        </is>
      </c>
      <c r="AD50" t="inlineStr">
        <is>
          <t>股票资产</t>
        </is>
      </c>
      <c r="AE50" t="n">
        <v>-0.5098</v>
      </c>
      <c r="AF50" t="n">
        <v>2.2035</v>
      </c>
      <c r="AG50" t="n">
        <v>-0.8307</v>
      </c>
      <c r="AH50" t="n">
        <v>50000</v>
      </c>
      <c r="AI50" t="n">
        <v>53</v>
      </c>
      <c r="AJ50" t="inlineStr">
        <is>
          <t>自营权益4（深港）</t>
        </is>
      </c>
      <c r="AK50" t="inlineStr">
        <is>
          <t>人民币</t>
        </is>
      </c>
      <c r="AL50" t="n">
        <v>6111</v>
      </c>
      <c r="AM50" t="n">
        <v/>
      </c>
      <c r="AN50" t="n">
        <v>30084</v>
      </c>
      <c r="AO50" t="n">
        <v/>
      </c>
      <c r="AP50" t="inlineStr">
        <is>
          <t>顾吟湫</t>
        </is>
      </c>
      <c r="AQ50" t="inlineStr">
        <is>
          <t>人民币</t>
        </is>
      </c>
      <c r="AR50" t="n">
        <v>515855.33</v>
      </c>
      <c r="AS50" t="n">
        <v/>
      </c>
      <c r="AT50" t="n">
        <v/>
      </c>
      <c r="AU50" t="n">
        <v/>
      </c>
      <c r="AV50" t="n">
        <v/>
      </c>
      <c r="AW50" t="inlineStr">
        <is>
          <t>KYG9T20T1051</t>
        </is>
      </c>
      <c r="AX50" t="inlineStr">
        <is>
          <t>无</t>
        </is>
      </c>
      <c r="AY50" t="inlineStr">
        <is>
          <t xml:space="preserve"> </t>
        </is>
      </c>
      <c r="AZ50" t="inlineStr">
        <is>
          <t xml:space="preserve"> </t>
        </is>
      </c>
      <c r="BA50" t="n">
        <v>0.2578</v>
      </c>
      <c r="BB50" t="n">
        <v>0</v>
      </c>
      <c r="BC50" t="inlineStr">
        <is>
          <t>缺省券商</t>
        </is>
      </c>
      <c r="BD50" t="inlineStr">
        <is>
          <t>交易所业务</t>
        </is>
      </c>
      <c r="BE50" t="inlineStr">
        <is>
          <t>不是ETF补券指令</t>
        </is>
      </c>
      <c r="BF50" t="inlineStr">
        <is>
          <t>-589,940.00</t>
        </is>
      </c>
      <c r="BG50" t="n">
        <v>0</v>
      </c>
      <c r="BH50" t="inlineStr">
        <is>
          <t>非强平</t>
        </is>
      </c>
      <c r="BI50" t="inlineStr">
        <is>
          <t>顾吟湫</t>
        </is>
      </c>
      <c r="BJ50" t="inlineStr">
        <is>
          <t>否</t>
        </is>
      </c>
      <c r="BK50" t="inlineStr">
        <is>
          <t>增强限价盘</t>
        </is>
      </c>
      <c r="BL50" t="n">
        <v/>
      </c>
      <c r="BM50" t="n">
        <v>0</v>
      </c>
      <c r="BN50" t="n">
        <v>10.01666666666667</v>
      </c>
      <c r="BO50" t="inlineStr">
        <is>
          <t>股票</t>
        </is>
      </c>
      <c r="BP50" t="n">
        <v/>
      </c>
      <c r="BQ50" t="n">
        <v/>
      </c>
      <c r="BR50" t="n">
        <v>0</v>
      </c>
      <c r="BS50" t="inlineStr">
        <is>
          <t>已成交</t>
        </is>
      </c>
    </row>
    <row r="51">
      <c r="A51" t="n">
        <v>50</v>
      </c>
      <c r="B51" t="inlineStr">
        <is>
          <t>2026-03-02</t>
        </is>
      </c>
      <c r="C51" t="n">
        <v>3008</v>
      </c>
      <c r="D51" t="inlineStr">
        <is>
          <t>自营权益4</t>
        </is>
      </c>
      <c r="E51" t="n">
        <v>3008</v>
      </c>
      <c r="F51" t="n">
        <v>600887</v>
      </c>
      <c r="G51" t="inlineStr">
        <is>
          <t>伊利股份</t>
        </is>
      </c>
      <c r="H51" t="inlineStr">
        <is>
          <t>买入</t>
        </is>
      </c>
      <c r="I51" t="n">
        <v>26</v>
      </c>
      <c r="J51" t="n">
        <v>25.89</v>
      </c>
      <c r="K51" t="n">
        <v>40000</v>
      </c>
      <c r="L51" t="n">
        <v>1038400</v>
      </c>
      <c r="M51" t="n">
        <v>40</v>
      </c>
      <c r="N51" t="n">
        <v>25.96</v>
      </c>
      <c r="O51" t="n">
        <v>25.96</v>
      </c>
      <c r="P51" t="n">
        <v>25.96</v>
      </c>
      <c r="Q51" t="n">
        <v>25.96</v>
      </c>
      <c r="R51" t="n">
        <v>25.96</v>
      </c>
      <c r="S51" t="inlineStr">
        <is>
          <t>上交所A</t>
        </is>
      </c>
      <c r="T51" t="n">
        <v>57790563</v>
      </c>
      <c r="U51" t="n">
        <v>0.0692</v>
      </c>
      <c r="V51" t="n">
        <v>1496480387</v>
      </c>
      <c r="W51" t="n">
        <v>300821</v>
      </c>
      <c r="X51" t="inlineStr">
        <is>
          <t>自营权益4（场内）</t>
        </is>
      </c>
      <c r="Y51" t="n">
        <v>40000</v>
      </c>
      <c r="Z51" t="n">
        <v>26.14</v>
      </c>
      <c r="AA51" t="n">
        <v>25.66</v>
      </c>
      <c r="AB51" t="n">
        <v>2</v>
      </c>
      <c r="AC51" t="inlineStr">
        <is>
          <t>叶盛</t>
        </is>
      </c>
      <c r="AD51" t="inlineStr">
        <is>
          <t>股票资产</t>
        </is>
      </c>
      <c r="AE51" t="n">
        <v>-0.3067</v>
      </c>
      <c r="AF51" t="n">
        <v>0.0694</v>
      </c>
      <c r="AG51" t="n">
        <v>-0.2514</v>
      </c>
      <c r="AH51" t="n">
        <v>40000</v>
      </c>
      <c r="AI51" t="n">
        <v>46</v>
      </c>
      <c r="AJ51" t="inlineStr">
        <is>
          <t>自营权益4（场内）</t>
        </is>
      </c>
      <c r="AK51" t="inlineStr">
        <is>
          <t>人民币</t>
        </is>
      </c>
      <c r="AL51" t="n">
        <v>40878</v>
      </c>
      <c r="AM51" t="n">
        <v/>
      </c>
      <c r="AN51" t="n">
        <v>30082</v>
      </c>
      <c r="AO51" t="n">
        <v/>
      </c>
      <c r="AP51" t="inlineStr">
        <is>
          <t>顾吟湫</t>
        </is>
      </c>
      <c r="AQ51" t="inlineStr">
        <is>
          <t>人民币</t>
        </is>
      </c>
      <c r="AR51" t="n">
        <v>1038400</v>
      </c>
      <c r="AS51" t="n">
        <v>600887</v>
      </c>
      <c r="AT51" t="n">
        <v>600887</v>
      </c>
      <c r="AU51" t="n">
        <v>600887</v>
      </c>
      <c r="AV51" t="n">
        <v>600887</v>
      </c>
      <c r="AW51" t="inlineStr">
        <is>
          <t>600887</t>
        </is>
      </c>
      <c r="AX51" t="inlineStr">
        <is>
          <t>无</t>
        </is>
      </c>
      <c r="AY51" t="inlineStr">
        <is>
          <t xml:space="preserve"> </t>
        </is>
      </c>
      <c r="AZ51" t="inlineStr">
        <is>
          <t xml:space="preserve"> </t>
        </is>
      </c>
      <c r="BA51" t="n">
        <v>0.522</v>
      </c>
      <c r="BB51" t="n">
        <v>0</v>
      </c>
      <c r="BC51" t="inlineStr">
        <is>
          <t>缺省券商</t>
        </is>
      </c>
      <c r="BD51" t="inlineStr">
        <is>
          <t>交易所业务</t>
        </is>
      </c>
      <c r="BE51" t="inlineStr">
        <is>
          <t>不是ETF补券指令</t>
        </is>
      </c>
      <c r="BF51" t="inlineStr">
        <is>
          <t>-1,038,400.00</t>
        </is>
      </c>
      <c r="BG51" t="n">
        <v>25.95</v>
      </c>
      <c r="BH51" t="inlineStr">
        <is>
          <t>非强平</t>
        </is>
      </c>
      <c r="BI51" t="inlineStr">
        <is>
          <t>顾吟湫</t>
        </is>
      </c>
      <c r="BJ51" t="inlineStr">
        <is>
          <t>否</t>
        </is>
      </c>
      <c r="BK51" t="inlineStr">
        <is>
          <t>限价</t>
        </is>
      </c>
      <c r="BL51" t="n">
        <v/>
      </c>
      <c r="BM51" t="n">
        <v>0</v>
      </c>
      <c r="BN51" t="n">
        <v>0.9833333333333333</v>
      </c>
      <c r="BO51" t="inlineStr">
        <is>
          <t>股票</t>
        </is>
      </c>
      <c r="BP51" t="n">
        <v/>
      </c>
      <c r="BQ51" t="n">
        <v/>
      </c>
      <c r="BR51" t="n">
        <v>0</v>
      </c>
      <c r="BS51" t="inlineStr">
        <is>
          <t>已成交</t>
        </is>
      </c>
    </row>
    <row r="52">
      <c r="A52" t="n">
        <v>51</v>
      </c>
      <c r="B52" t="inlineStr">
        <is>
          <t>2026-03-02</t>
        </is>
      </c>
      <c r="C52" t="n">
        <v>3008</v>
      </c>
      <c r="D52" t="inlineStr">
        <is>
          <t>自营权益4</t>
        </is>
      </c>
      <c r="E52" t="n">
        <v>3008</v>
      </c>
      <c r="F52" t="n">
        <v>600908</v>
      </c>
      <c r="G52" t="inlineStr">
        <is>
          <t>无锡银行</t>
        </is>
      </c>
      <c r="H52" t="inlineStr">
        <is>
          <t>买入</t>
        </is>
      </c>
      <c r="I52" t="n">
        <v>5.92</v>
      </c>
      <c r="J52" t="n">
        <v>5.9</v>
      </c>
      <c r="K52" t="n">
        <v>2000</v>
      </c>
      <c r="L52" t="n">
        <v>11780</v>
      </c>
      <c r="M52" t="n">
        <v>2</v>
      </c>
      <c r="N52" t="n">
        <v>5.89</v>
      </c>
      <c r="O52" t="n">
        <v>5.89</v>
      </c>
      <c r="P52" t="n">
        <v>5.89</v>
      </c>
      <c r="Q52" t="n">
        <v>5.89</v>
      </c>
      <c r="R52" t="n">
        <v>5.89</v>
      </c>
      <c r="S52" t="inlineStr">
        <is>
          <t>上交所A</t>
        </is>
      </c>
      <c r="T52" t="n">
        <v>21277400</v>
      </c>
      <c r="U52" t="n">
        <v>0.0094</v>
      </c>
      <c r="V52" t="n">
        <v>125501989</v>
      </c>
      <c r="W52" t="n">
        <v>300821</v>
      </c>
      <c r="X52" t="inlineStr">
        <is>
          <t>自营权益4（场内）</t>
        </is>
      </c>
      <c r="Y52" t="n">
        <v>2000</v>
      </c>
      <c r="Z52" t="n">
        <v>5.94</v>
      </c>
      <c r="AA52" t="n">
        <v>5.84</v>
      </c>
      <c r="AB52" t="n">
        <v>1</v>
      </c>
      <c r="AC52" t="inlineStr">
        <is>
          <t>叶盛</t>
        </is>
      </c>
      <c r="AD52" t="inlineStr">
        <is>
          <t>股票资产</t>
        </is>
      </c>
      <c r="AE52" t="n">
        <v>0.8518</v>
      </c>
      <c r="AF52" t="n">
        <v>0.0094</v>
      </c>
      <c r="AG52" t="n">
        <v>0.1424</v>
      </c>
      <c r="AH52" t="n">
        <v>2000</v>
      </c>
      <c r="AI52" t="n">
        <v>46</v>
      </c>
      <c r="AJ52" t="inlineStr">
        <is>
          <t>自营权益4（场内）</t>
        </is>
      </c>
      <c r="AK52" t="inlineStr">
        <is>
          <t>人民币</t>
        </is>
      </c>
      <c r="AL52" t="n">
        <v>40878</v>
      </c>
      <c r="AM52" t="n">
        <v/>
      </c>
      <c r="AN52" t="n">
        <v>30082</v>
      </c>
      <c r="AO52" t="n">
        <v/>
      </c>
      <c r="AP52" t="inlineStr">
        <is>
          <t>顾吟湫</t>
        </is>
      </c>
      <c r="AQ52" t="inlineStr">
        <is>
          <t>人民币</t>
        </is>
      </c>
      <c r="AR52" t="n">
        <v>11780</v>
      </c>
      <c r="AS52" t="n">
        <v/>
      </c>
      <c r="AT52" t="n">
        <v/>
      </c>
      <c r="AU52" t="n">
        <v/>
      </c>
      <c r="AV52" t="n">
        <v/>
      </c>
      <c r="AW52" t="n">
        <v/>
      </c>
      <c r="AX52" t="inlineStr">
        <is>
          <t>无</t>
        </is>
      </c>
      <c r="AY52" t="inlineStr">
        <is>
          <t xml:space="preserve"> </t>
        </is>
      </c>
      <c r="AZ52" t="inlineStr">
        <is>
          <t xml:space="preserve"> </t>
        </is>
      </c>
      <c r="BA52" t="n">
        <v>0.0059</v>
      </c>
      <c r="BB52" t="n">
        <v>0</v>
      </c>
      <c r="BC52" t="inlineStr">
        <is>
          <t>缺省券商</t>
        </is>
      </c>
      <c r="BD52" t="inlineStr">
        <is>
          <t>交易所业务</t>
        </is>
      </c>
      <c r="BE52" t="inlineStr">
        <is>
          <t>不是ETF补券指令</t>
        </is>
      </c>
      <c r="BF52" t="inlineStr">
        <is>
          <t>-11,780.00</t>
        </is>
      </c>
      <c r="BG52" t="n">
        <v>5.86</v>
      </c>
      <c r="BH52" t="inlineStr">
        <is>
          <t>非强平</t>
        </is>
      </c>
      <c r="BI52" t="inlineStr">
        <is>
          <t>顾吟湫</t>
        </is>
      </c>
      <c r="BJ52" t="inlineStr">
        <is>
          <t>否</t>
        </is>
      </c>
      <c r="BK52" t="inlineStr">
        <is>
          <t>限价</t>
        </is>
      </c>
      <c r="BL52" t="n">
        <v/>
      </c>
      <c r="BM52" t="n">
        <v>0</v>
      </c>
      <c r="BN52" t="n">
        <v>0</v>
      </c>
      <c r="BO52" t="inlineStr">
        <is>
          <t>股票</t>
        </is>
      </c>
      <c r="BP52" t="n">
        <v/>
      </c>
      <c r="BQ52" t="n">
        <v/>
      </c>
      <c r="BR52" t="n">
        <v>0</v>
      </c>
      <c r="BS52" t="inlineStr">
        <is>
          <t>已成交</t>
        </is>
      </c>
    </row>
    <row r="53">
      <c r="A53" t="n">
        <v>52</v>
      </c>
      <c r="B53" t="inlineStr">
        <is>
          <t>2026-03-02</t>
        </is>
      </c>
      <c r="C53" t="n">
        <v>3008</v>
      </c>
      <c r="D53" t="inlineStr">
        <is>
          <t>自营权益4</t>
        </is>
      </c>
      <c r="E53" t="n">
        <v>3008</v>
      </c>
      <c r="F53" t="n">
        <v>601577</v>
      </c>
      <c r="G53" t="inlineStr">
        <is>
          <t>长沙银行</t>
        </is>
      </c>
      <c r="H53" t="inlineStr">
        <is>
          <t>买入</t>
        </is>
      </c>
      <c r="I53" t="n">
        <v>9.779999999999999</v>
      </c>
      <c r="J53" t="n">
        <v>9.77</v>
      </c>
      <c r="K53" t="n">
        <v>2000</v>
      </c>
      <c r="L53" t="n">
        <v>19540</v>
      </c>
      <c r="M53" t="n">
        <v>1</v>
      </c>
      <c r="N53" t="n">
        <v>9.77</v>
      </c>
      <c r="O53" t="n">
        <v>9.77</v>
      </c>
      <c r="P53" t="n">
        <v>9.77</v>
      </c>
      <c r="Q53" t="n">
        <v>9.77</v>
      </c>
      <c r="R53" t="n">
        <v>9.77</v>
      </c>
      <c r="S53" t="inlineStr">
        <is>
          <t>上交所A</t>
        </is>
      </c>
      <c r="T53" t="n">
        <v>19535309</v>
      </c>
      <c r="U53" t="n">
        <v>0.0102</v>
      </c>
      <c r="V53" t="n">
        <v>190865883</v>
      </c>
      <c r="W53" t="n">
        <v>300821</v>
      </c>
      <c r="X53" t="inlineStr">
        <is>
          <t>自营权益4（场内）</t>
        </is>
      </c>
      <c r="Y53" t="n">
        <v>2000</v>
      </c>
      <c r="Z53" t="n">
        <v>9.869999999999999</v>
      </c>
      <c r="AA53" t="n">
        <v>9.66</v>
      </c>
      <c r="AB53" t="n">
        <v>1</v>
      </c>
      <c r="AC53" t="inlineStr">
        <is>
          <t>叶盛</t>
        </is>
      </c>
      <c r="AD53" t="inlineStr">
        <is>
          <t>股票资产</t>
        </is>
      </c>
      <c r="AE53" t="n">
        <v>-0.2041</v>
      </c>
      <c r="AF53" t="n">
        <v>0.0102</v>
      </c>
      <c r="AG53" t="n">
        <v>0.0031</v>
      </c>
      <c r="AH53" t="n">
        <v>2000</v>
      </c>
      <c r="AI53" t="n">
        <v>46</v>
      </c>
      <c r="AJ53" t="inlineStr">
        <is>
          <t>自营权益4（场内）</t>
        </is>
      </c>
      <c r="AK53" t="inlineStr">
        <is>
          <t>人民币</t>
        </is>
      </c>
      <c r="AL53" t="n">
        <v>40878</v>
      </c>
      <c r="AM53" t="n">
        <v/>
      </c>
      <c r="AN53" t="n">
        <v>30082</v>
      </c>
      <c r="AO53" t="n">
        <v/>
      </c>
      <c r="AP53" t="inlineStr">
        <is>
          <t>顾吟湫</t>
        </is>
      </c>
      <c r="AQ53" t="inlineStr">
        <is>
          <t>人民币</t>
        </is>
      </c>
      <c r="AR53" t="n">
        <v>19540</v>
      </c>
      <c r="AS53" t="n">
        <v/>
      </c>
      <c r="AT53" t="n">
        <v/>
      </c>
      <c r="AU53" t="n">
        <v/>
      </c>
      <c r="AV53" t="n">
        <v/>
      </c>
      <c r="AW53" t="n">
        <v/>
      </c>
      <c r="AX53" t="inlineStr">
        <is>
          <t>无</t>
        </is>
      </c>
      <c r="AY53" t="inlineStr">
        <is>
          <t xml:space="preserve"> </t>
        </is>
      </c>
      <c r="AZ53" t="inlineStr">
        <is>
          <t xml:space="preserve"> </t>
        </is>
      </c>
      <c r="BA53" t="n">
        <v>0.0098</v>
      </c>
      <c r="BB53" t="n">
        <v>0</v>
      </c>
      <c r="BC53" t="inlineStr">
        <is>
          <t>缺省券商</t>
        </is>
      </c>
      <c r="BD53" t="inlineStr">
        <is>
          <t>交易所业务</t>
        </is>
      </c>
      <c r="BE53" t="inlineStr">
        <is>
          <t>不是ETF补券指令</t>
        </is>
      </c>
      <c r="BF53" t="inlineStr">
        <is>
          <t>-19,540.00</t>
        </is>
      </c>
      <c r="BG53" t="n">
        <v>9.710000000000001</v>
      </c>
      <c r="BH53" t="inlineStr">
        <is>
          <t>非强平</t>
        </is>
      </c>
      <c r="BI53" t="inlineStr">
        <is>
          <t>顾吟湫</t>
        </is>
      </c>
      <c r="BJ53" t="inlineStr">
        <is>
          <t>否</t>
        </is>
      </c>
      <c r="BK53" t="inlineStr">
        <is>
          <t>限价</t>
        </is>
      </c>
      <c r="BL53" t="n">
        <v/>
      </c>
      <c r="BM53" t="n">
        <v>0</v>
      </c>
      <c r="BN53" t="n">
        <v>0</v>
      </c>
      <c r="BO53" t="inlineStr">
        <is>
          <t>股票</t>
        </is>
      </c>
      <c r="BP53" t="n">
        <v/>
      </c>
      <c r="BQ53" t="n">
        <v/>
      </c>
      <c r="BR53" t="n">
        <v>0</v>
      </c>
      <c r="BS53" t="inlineStr">
        <is>
          <t>已成交</t>
        </is>
      </c>
    </row>
    <row r="54">
      <c r="A54" t="n">
        <v>53</v>
      </c>
      <c r="B54" t="inlineStr">
        <is>
          <t>2026-03-02</t>
        </is>
      </c>
      <c r="C54" t="n">
        <v>3008</v>
      </c>
      <c r="D54" t="inlineStr">
        <is>
          <t>自营权益4</t>
        </is>
      </c>
      <c r="E54" t="n">
        <v>3008</v>
      </c>
      <c r="F54" t="n">
        <v>333</v>
      </c>
      <c r="G54" t="inlineStr">
        <is>
          <t>美的集团</t>
        </is>
      </c>
      <c r="H54" t="inlineStr">
        <is>
          <t>买入</t>
        </is>
      </c>
      <c r="I54" t="n">
        <v>77.45</v>
      </c>
      <c r="J54" t="n">
        <v>77.40000000000001</v>
      </c>
      <c r="K54" t="n">
        <v>10000</v>
      </c>
      <c r="L54" t="n">
        <v>772461</v>
      </c>
      <c r="M54" t="n">
        <v>15</v>
      </c>
      <c r="N54" t="n">
        <v>77.23999999999999</v>
      </c>
      <c r="O54" t="n">
        <v>77.25</v>
      </c>
      <c r="P54" t="n">
        <v>77.2461</v>
      </c>
      <c r="Q54" t="n">
        <v>77.2461</v>
      </c>
      <c r="R54" t="n">
        <v>77.2461</v>
      </c>
      <c r="S54" t="inlineStr">
        <is>
          <t>深交所A</t>
        </is>
      </c>
      <c r="T54" t="n">
        <v>27478559</v>
      </c>
      <c r="U54" t="n">
        <v>0.0364</v>
      </c>
      <c r="V54" t="n">
        <v>2126756400.72</v>
      </c>
      <c r="W54" t="n">
        <v>300821</v>
      </c>
      <c r="X54" t="inlineStr">
        <is>
          <t>自营权益4（场内）</t>
        </is>
      </c>
      <c r="Y54" t="n">
        <v>10000</v>
      </c>
      <c r="Z54" t="n">
        <v>78.06</v>
      </c>
      <c r="AA54" t="n">
        <v>76.7</v>
      </c>
      <c r="AB54" t="n">
        <v>2</v>
      </c>
      <c r="AC54" t="inlineStr">
        <is>
          <t>叶盛</t>
        </is>
      </c>
      <c r="AD54" t="inlineStr">
        <is>
          <t>股票资产</t>
        </is>
      </c>
      <c r="AE54" t="n">
        <v>-1.5132</v>
      </c>
      <c r="AF54" t="n">
        <v>0.0363</v>
      </c>
      <c r="AG54" t="n">
        <v>0.1948</v>
      </c>
      <c r="AH54" t="n">
        <v>10000</v>
      </c>
      <c r="AI54" t="n">
        <v>46</v>
      </c>
      <c r="AJ54" t="inlineStr">
        <is>
          <t>自营权益4（场内）</t>
        </is>
      </c>
      <c r="AK54" t="inlineStr">
        <is>
          <t>人民币</t>
        </is>
      </c>
      <c r="AL54" t="n">
        <v>6111</v>
      </c>
      <c r="AM54" t="n">
        <v/>
      </c>
      <c r="AN54" t="n">
        <v>30082</v>
      </c>
      <c r="AO54" t="n">
        <v/>
      </c>
      <c r="AP54" t="inlineStr">
        <is>
          <t>顾吟湫</t>
        </is>
      </c>
      <c r="AQ54" t="inlineStr">
        <is>
          <t>人民币</t>
        </is>
      </c>
      <c r="AR54" t="n">
        <v>772461</v>
      </c>
      <c r="AS54" t="n">
        <v>333</v>
      </c>
      <c r="AT54" t="n">
        <v>333</v>
      </c>
      <c r="AU54" t="n">
        <v>333</v>
      </c>
      <c r="AV54" t="n">
        <v>333</v>
      </c>
      <c r="AW54" t="inlineStr">
        <is>
          <t>000333</t>
        </is>
      </c>
      <c r="AX54" t="inlineStr">
        <is>
          <t>无</t>
        </is>
      </c>
      <c r="AY54" t="inlineStr">
        <is>
          <t xml:space="preserve"> </t>
        </is>
      </c>
      <c r="AZ54" t="inlineStr">
        <is>
          <t xml:space="preserve"> </t>
        </is>
      </c>
      <c r="BA54" t="n">
        <v>0.3883</v>
      </c>
      <c r="BB54" t="n">
        <v>0</v>
      </c>
      <c r="BC54" t="inlineStr">
        <is>
          <t>缺省券商</t>
        </is>
      </c>
      <c r="BD54" t="inlineStr">
        <is>
          <t>交易所业务</t>
        </is>
      </c>
      <c r="BE54" t="inlineStr">
        <is>
          <t>不是ETF补券指令</t>
        </is>
      </c>
      <c r="BF54" t="inlineStr">
        <is>
          <t>-772,461.00</t>
        </is>
      </c>
      <c r="BG54" t="n">
        <v>78</v>
      </c>
      <c r="BH54" t="inlineStr">
        <is>
          <t>非强平</t>
        </is>
      </c>
      <c r="BI54" t="inlineStr">
        <is>
          <t>顾吟湫</t>
        </is>
      </c>
      <c r="BJ54" t="inlineStr">
        <is>
          <t>否</t>
        </is>
      </c>
      <c r="BK54" t="inlineStr">
        <is>
          <t>限价</t>
        </is>
      </c>
      <c r="BL54" t="n">
        <v/>
      </c>
      <c r="BM54" t="n">
        <v>0</v>
      </c>
      <c r="BN54" t="n">
        <v>0</v>
      </c>
      <c r="BO54" t="inlineStr">
        <is>
          <t>股票</t>
        </is>
      </c>
      <c r="BP54" t="n">
        <v/>
      </c>
      <c r="BQ54" t="n">
        <v/>
      </c>
      <c r="BR54" t="n">
        <v>0</v>
      </c>
      <c r="BS54" t="inlineStr">
        <is>
          <t>已成交</t>
        </is>
      </c>
    </row>
    <row r="55">
      <c r="A55" t="n">
        <v>54</v>
      </c>
      <c r="B55" t="inlineStr">
        <is>
          <t>2026-03-02</t>
        </is>
      </c>
      <c r="C55" t="n">
        <v>3008</v>
      </c>
      <c r="D55" t="inlineStr">
        <is>
          <t>自营权益4</t>
        </is>
      </c>
      <c r="E55" t="n">
        <v>3008</v>
      </c>
      <c r="F55" t="n">
        <v>2807</v>
      </c>
      <c r="G55" t="inlineStr">
        <is>
          <t>江阴银行</t>
        </is>
      </c>
      <c r="H55" t="inlineStr">
        <is>
          <t>买入</t>
        </is>
      </c>
      <c r="I55" t="n">
        <v>4.6</v>
      </c>
      <c r="J55" t="n">
        <v>4.6</v>
      </c>
      <c r="K55" t="n">
        <v>4000</v>
      </c>
      <c r="L55" t="n">
        <v>18400</v>
      </c>
      <c r="M55" t="n">
        <v>1</v>
      </c>
      <c r="N55" t="n">
        <v>4.6</v>
      </c>
      <c r="O55" t="n">
        <v>4.6</v>
      </c>
      <c r="P55" t="n">
        <v>4.6</v>
      </c>
      <c r="Q55" t="n">
        <v>4.6</v>
      </c>
      <c r="R55" t="n">
        <v>4.6</v>
      </c>
      <c r="S55" t="inlineStr">
        <is>
          <t>深交所A</t>
        </is>
      </c>
      <c r="T55" t="n">
        <v>44208289</v>
      </c>
      <c r="U55" t="n">
        <v>0.008999999999999999</v>
      </c>
      <c r="V55" t="n">
        <v>203211398.78</v>
      </c>
      <c r="W55" t="n">
        <v>300821</v>
      </c>
      <c r="X55" t="inlineStr">
        <is>
          <t>自营权益4（场内）</t>
        </is>
      </c>
      <c r="Y55" t="n">
        <v>4000</v>
      </c>
      <c r="Z55" t="n">
        <v>4.63</v>
      </c>
      <c r="AA55" t="n">
        <v>4.55</v>
      </c>
      <c r="AB55" t="n">
        <v>1</v>
      </c>
      <c r="AC55" t="inlineStr">
        <is>
          <t>叶盛</t>
        </is>
      </c>
      <c r="AD55" t="inlineStr">
        <is>
          <t>股票资产</t>
        </is>
      </c>
      <c r="AE55" t="n">
        <v>0.2179</v>
      </c>
      <c r="AF55" t="n">
        <v>0.0091</v>
      </c>
      <c r="AG55" t="n">
        <v>-0.0718</v>
      </c>
      <c r="AH55" t="n">
        <v>4000</v>
      </c>
      <c r="AI55" t="n">
        <v>46</v>
      </c>
      <c r="AJ55" t="inlineStr">
        <is>
          <t>自营权益4（场内）</t>
        </is>
      </c>
      <c r="AK55" t="inlineStr">
        <is>
          <t>人民币</t>
        </is>
      </c>
      <c r="AL55" t="n">
        <v>6111</v>
      </c>
      <c r="AM55" t="n">
        <v/>
      </c>
      <c r="AN55" t="n">
        <v>30082</v>
      </c>
      <c r="AO55" t="n">
        <v/>
      </c>
      <c r="AP55" t="inlineStr">
        <is>
          <t>顾吟湫</t>
        </is>
      </c>
      <c r="AQ55" t="inlineStr">
        <is>
          <t>人民币</t>
        </is>
      </c>
      <c r="AR55" t="n">
        <v>18400</v>
      </c>
      <c r="AS55" t="n">
        <v/>
      </c>
      <c r="AT55" t="n">
        <v/>
      </c>
      <c r="AU55" t="n">
        <v/>
      </c>
      <c r="AV55" t="n">
        <v/>
      </c>
      <c r="AW55" t="n">
        <v/>
      </c>
      <c r="AX55" t="inlineStr">
        <is>
          <t>无</t>
        </is>
      </c>
      <c r="AY55" t="inlineStr">
        <is>
          <t xml:space="preserve"> </t>
        </is>
      </c>
      <c r="AZ55" t="inlineStr">
        <is>
          <t xml:space="preserve"> </t>
        </is>
      </c>
      <c r="BA55" t="n">
        <v>0.0092</v>
      </c>
      <c r="BB55" t="n">
        <v>0</v>
      </c>
      <c r="BC55" t="inlineStr">
        <is>
          <t>缺省券商</t>
        </is>
      </c>
      <c r="BD55" t="inlineStr">
        <is>
          <t>交易所业务</t>
        </is>
      </c>
      <c r="BE55" t="inlineStr">
        <is>
          <t>不是ETF补券指令</t>
        </is>
      </c>
      <c r="BF55" t="inlineStr">
        <is>
          <t>-18,400.00</t>
        </is>
      </c>
      <c r="BG55" t="n">
        <v>4.57</v>
      </c>
      <c r="BH55" t="inlineStr">
        <is>
          <t>非强平</t>
        </is>
      </c>
      <c r="BI55" t="inlineStr">
        <is>
          <t>顾吟湫</t>
        </is>
      </c>
      <c r="BJ55" t="inlineStr">
        <is>
          <t>否</t>
        </is>
      </c>
      <c r="BK55" t="inlineStr">
        <is>
          <t>限价</t>
        </is>
      </c>
      <c r="BL55" t="n">
        <v/>
      </c>
      <c r="BM55" t="n">
        <v>0</v>
      </c>
      <c r="BN55" t="n">
        <v>0</v>
      </c>
      <c r="BO55" t="inlineStr">
        <is>
          <t>股票</t>
        </is>
      </c>
      <c r="BP55" t="n">
        <v/>
      </c>
      <c r="BQ55" t="n">
        <v/>
      </c>
      <c r="BR55" t="n">
        <v>0</v>
      </c>
      <c r="BS55" t="inlineStr">
        <is>
          <t>已成交</t>
        </is>
      </c>
    </row>
    <row r="56">
      <c r="A56" t="n">
        <v>55</v>
      </c>
      <c r="B56" t="inlineStr">
        <is>
          <t>2026-03-02</t>
        </is>
      </c>
      <c r="C56" t="n">
        <v>3008</v>
      </c>
      <c r="D56" t="inlineStr">
        <is>
          <t>自营权益4</t>
        </is>
      </c>
      <c r="E56" t="n">
        <v>3008</v>
      </c>
      <c r="F56" t="n">
        <v>2839</v>
      </c>
      <c r="G56" t="inlineStr">
        <is>
          <t>张家港行</t>
        </is>
      </c>
      <c r="H56" t="inlineStr">
        <is>
          <t>买入</t>
        </is>
      </c>
      <c r="I56" t="n">
        <v>4.58</v>
      </c>
      <c r="J56" t="n">
        <v>4.58</v>
      </c>
      <c r="K56" t="n">
        <v>4000</v>
      </c>
      <c r="L56" t="n">
        <v>18280</v>
      </c>
      <c r="M56" t="n">
        <v>13</v>
      </c>
      <c r="N56" t="n">
        <v>4.57</v>
      </c>
      <c r="O56" t="n">
        <v>4.57</v>
      </c>
      <c r="P56" t="n">
        <v>4.57</v>
      </c>
      <c r="Q56" t="n">
        <v>4.57</v>
      </c>
      <c r="R56" t="n">
        <v>4.57</v>
      </c>
      <c r="S56" t="inlineStr">
        <is>
          <t>深交所A</t>
        </is>
      </c>
      <c r="T56" t="n">
        <v>37504226</v>
      </c>
      <c r="U56" t="n">
        <v>0.0107</v>
      </c>
      <c r="V56" t="n">
        <v>171730922.1</v>
      </c>
      <c r="W56" t="n">
        <v>300821</v>
      </c>
      <c r="X56" t="inlineStr">
        <is>
          <t>自营权益4（场内）</t>
        </is>
      </c>
      <c r="Y56" t="n">
        <v>4000</v>
      </c>
      <c r="Z56" t="n">
        <v>4.61</v>
      </c>
      <c r="AA56" t="n">
        <v>4.53</v>
      </c>
      <c r="AB56" t="n">
        <v>1</v>
      </c>
      <c r="AC56" t="inlineStr">
        <is>
          <t>叶盛</t>
        </is>
      </c>
      <c r="AD56" t="inlineStr">
        <is>
          <t>股票资产</t>
        </is>
      </c>
      <c r="AE56" t="n">
        <v>0</v>
      </c>
      <c r="AF56" t="n">
        <v>0.0106</v>
      </c>
      <c r="AG56" t="n">
        <v>0.1965</v>
      </c>
      <c r="AH56" t="n">
        <v>4000</v>
      </c>
      <c r="AI56" t="n">
        <v>46</v>
      </c>
      <c r="AJ56" t="inlineStr">
        <is>
          <t>自营权益4（场内）</t>
        </is>
      </c>
      <c r="AK56" t="inlineStr">
        <is>
          <t>人民币</t>
        </is>
      </c>
      <c r="AL56" t="n">
        <v>6111</v>
      </c>
      <c r="AM56" t="n">
        <v/>
      </c>
      <c r="AN56" t="n">
        <v>30082</v>
      </c>
      <c r="AO56" t="n">
        <v/>
      </c>
      <c r="AP56" t="inlineStr">
        <is>
          <t>顾吟湫</t>
        </is>
      </c>
      <c r="AQ56" t="inlineStr">
        <is>
          <t>人民币</t>
        </is>
      </c>
      <c r="AR56" t="n">
        <v>18280</v>
      </c>
      <c r="AS56" t="n">
        <v/>
      </c>
      <c r="AT56" t="n">
        <v/>
      </c>
      <c r="AU56" t="n">
        <v/>
      </c>
      <c r="AV56" t="n">
        <v/>
      </c>
      <c r="AW56" t="n">
        <v/>
      </c>
      <c r="AX56" t="inlineStr">
        <is>
          <t>无</t>
        </is>
      </c>
      <c r="AY56" t="inlineStr">
        <is>
          <t xml:space="preserve"> </t>
        </is>
      </c>
      <c r="AZ56" t="inlineStr">
        <is>
          <t xml:space="preserve"> </t>
        </is>
      </c>
      <c r="BA56" t="n">
        <v>0.0092</v>
      </c>
      <c r="BB56" t="n">
        <v>0</v>
      </c>
      <c r="BC56" t="inlineStr">
        <is>
          <t>缺省券商</t>
        </is>
      </c>
      <c r="BD56" t="inlineStr">
        <is>
          <t>交易所业务</t>
        </is>
      </c>
      <c r="BE56" t="inlineStr">
        <is>
          <t>不是ETF补券指令</t>
        </is>
      </c>
      <c r="BF56" t="inlineStr">
        <is>
          <t>-18,280.00</t>
        </is>
      </c>
      <c r="BG56" t="n">
        <v>4.57</v>
      </c>
      <c r="BH56" t="inlineStr">
        <is>
          <t>非强平</t>
        </is>
      </c>
      <c r="BI56" t="inlineStr">
        <is>
          <t>顾吟湫</t>
        </is>
      </c>
      <c r="BJ56" t="inlineStr">
        <is>
          <t>否</t>
        </is>
      </c>
      <c r="BK56" t="inlineStr">
        <is>
          <t>限价</t>
        </is>
      </c>
      <c r="BL56" t="n">
        <v/>
      </c>
      <c r="BM56" t="n">
        <v>0</v>
      </c>
      <c r="BN56" t="n">
        <v>0</v>
      </c>
      <c r="BO56" t="inlineStr">
        <is>
          <t>股票</t>
        </is>
      </c>
      <c r="BP56" t="n">
        <v/>
      </c>
      <c r="BQ56" t="n">
        <v/>
      </c>
      <c r="BR56" t="n">
        <v>0</v>
      </c>
      <c r="BS56" t="inlineStr">
        <is>
          <t>已成交</t>
        </is>
      </c>
    </row>
    <row r="57">
      <c r="A57" t="n">
        <v>56</v>
      </c>
      <c r="B57" t="inlineStr">
        <is>
          <t>2026-03-03</t>
        </is>
      </c>
      <c r="C57" t="n">
        <v>3008</v>
      </c>
      <c r="D57" t="inlineStr">
        <is>
          <t>自营权益4</t>
        </is>
      </c>
      <c r="E57" t="n">
        <v>3008</v>
      </c>
      <c r="F57" t="n">
        <v>600887</v>
      </c>
      <c r="G57" t="inlineStr">
        <is>
          <t>伊利股份</t>
        </is>
      </c>
      <c r="H57" t="inlineStr">
        <is>
          <t>买入</t>
        </is>
      </c>
      <c r="I57" t="n">
        <v>25.93</v>
      </c>
      <c r="J57" t="n">
        <v>25.97</v>
      </c>
      <c r="K57" t="n">
        <v>50000</v>
      </c>
      <c r="L57" t="n">
        <v>1298500</v>
      </c>
      <c r="M57" t="n">
        <v>24</v>
      </c>
      <c r="N57" t="n">
        <v>25.97</v>
      </c>
      <c r="O57" t="n">
        <v>25.97</v>
      </c>
      <c r="P57" t="n">
        <v>25.97</v>
      </c>
      <c r="Q57" t="n">
        <v>25.97</v>
      </c>
      <c r="R57" t="n">
        <v>25.97</v>
      </c>
      <c r="S57" t="inlineStr">
        <is>
          <t>上交所A</t>
        </is>
      </c>
      <c r="T57" t="n">
        <v>55289165</v>
      </c>
      <c r="U57" t="n">
        <v>0.09039999999999999</v>
      </c>
      <c r="V57" t="n">
        <v>1436052974</v>
      </c>
      <c r="W57" t="n">
        <v>300821</v>
      </c>
      <c r="X57" t="inlineStr">
        <is>
          <t>自营权益4（场内）</t>
        </is>
      </c>
      <c r="Y57" t="n">
        <v>50000</v>
      </c>
      <c r="Z57" t="n">
        <v>26.26</v>
      </c>
      <c r="AA57" t="n">
        <v>25.78</v>
      </c>
      <c r="AB57" t="n">
        <v>1</v>
      </c>
      <c r="AC57" t="inlineStr">
        <is>
          <t>叶盛</t>
        </is>
      </c>
      <c r="AD57" t="inlineStr">
        <is>
          <t>股票资产</t>
        </is>
      </c>
      <c r="AE57" t="n">
        <v>-0.2692</v>
      </c>
      <c r="AF57" t="n">
        <v>0.09039999999999999</v>
      </c>
      <c r="AG57" t="n">
        <v>0.0135</v>
      </c>
      <c r="AH57" t="n">
        <v>50000</v>
      </c>
      <c r="AI57" t="n">
        <v>46</v>
      </c>
      <c r="AJ57" t="inlineStr">
        <is>
          <t>自营权益4（场内）</t>
        </is>
      </c>
      <c r="AK57" t="inlineStr">
        <is>
          <t>人民币</t>
        </is>
      </c>
      <c r="AL57" t="n">
        <v>40878</v>
      </c>
      <c r="AM57" t="n">
        <v/>
      </c>
      <c r="AN57" t="n">
        <v>30082</v>
      </c>
      <c r="AO57" t="n">
        <v/>
      </c>
      <c r="AP57" t="inlineStr">
        <is>
          <t>顾吟湫</t>
        </is>
      </c>
      <c r="AQ57" t="inlineStr">
        <is>
          <t>人民币</t>
        </is>
      </c>
      <c r="AR57" t="n">
        <v>1298500</v>
      </c>
      <c r="AS57" t="n">
        <v>600887</v>
      </c>
      <c r="AT57" t="n">
        <v>600887</v>
      </c>
      <c r="AU57" t="n">
        <v>600887</v>
      </c>
      <c r="AV57" t="n">
        <v>600887</v>
      </c>
      <c r="AW57" t="inlineStr">
        <is>
          <t>600887</t>
        </is>
      </c>
      <c r="AX57" t="inlineStr">
        <is>
          <t>无</t>
        </is>
      </c>
      <c r="AY57" t="inlineStr">
        <is>
          <t xml:space="preserve"> </t>
        </is>
      </c>
      <c r="AZ57" t="inlineStr">
        <is>
          <t xml:space="preserve"> </t>
        </is>
      </c>
      <c r="BA57" t="n">
        <v>0.6516999999999999</v>
      </c>
      <c r="BB57" t="n">
        <v>0</v>
      </c>
      <c r="BC57" t="inlineStr">
        <is>
          <t>缺省券商</t>
        </is>
      </c>
      <c r="BD57" t="inlineStr">
        <is>
          <t>交易所业务</t>
        </is>
      </c>
      <c r="BE57" t="inlineStr">
        <is>
          <t>不是ETF补券指令</t>
        </is>
      </c>
      <c r="BF57" t="inlineStr">
        <is>
          <t>-1,298,500.00</t>
        </is>
      </c>
      <c r="BG57" t="n">
        <v>26</v>
      </c>
      <c r="BH57" t="inlineStr">
        <is>
          <t>非强平</t>
        </is>
      </c>
      <c r="BI57" t="inlineStr">
        <is>
          <t>顾吟湫</t>
        </is>
      </c>
      <c r="BJ57" t="inlineStr">
        <is>
          <t>否</t>
        </is>
      </c>
      <c r="BK57" t="inlineStr">
        <is>
          <t>限价</t>
        </is>
      </c>
      <c r="BL57" t="n">
        <v/>
      </c>
      <c r="BM57" t="n">
        <v>0</v>
      </c>
      <c r="BN57" t="n">
        <v>21.81666666666667</v>
      </c>
      <c r="BO57" t="inlineStr">
        <is>
          <t>股票</t>
        </is>
      </c>
      <c r="BP57" t="n">
        <v/>
      </c>
      <c r="BQ57" t="n">
        <v/>
      </c>
      <c r="BR57" t="n">
        <v>0</v>
      </c>
      <c r="BS57" t="inlineStr">
        <is>
          <t>已成交</t>
        </is>
      </c>
    </row>
    <row r="58">
      <c r="A58" t="n">
        <v>57</v>
      </c>
      <c r="B58" t="inlineStr">
        <is>
          <t>2026-03-03</t>
        </is>
      </c>
      <c r="C58" t="n">
        <v>3008</v>
      </c>
      <c r="D58" t="inlineStr">
        <is>
          <t>自营权益4</t>
        </is>
      </c>
      <c r="E58" t="n">
        <v>3008</v>
      </c>
      <c r="F58" t="n">
        <v>600908</v>
      </c>
      <c r="G58" t="inlineStr">
        <is>
          <t>无锡银行</t>
        </is>
      </c>
      <c r="H58" t="inlineStr">
        <is>
          <t>买入</t>
        </is>
      </c>
      <c r="I58" t="n">
        <v>5.87</v>
      </c>
      <c r="J58" t="n">
        <v>5.89</v>
      </c>
      <c r="K58" t="n">
        <v>88000</v>
      </c>
      <c r="L58" t="n">
        <v>520000</v>
      </c>
      <c r="M58" t="n">
        <v>66</v>
      </c>
      <c r="N58" t="n">
        <v>5.9</v>
      </c>
      <c r="O58" t="n">
        <v>5.91</v>
      </c>
      <c r="P58" t="n">
        <v>5.909090909090909</v>
      </c>
      <c r="Q58" t="n">
        <v>5.909090909090909</v>
      </c>
      <c r="R58" t="n">
        <v>5.909090909090909</v>
      </c>
      <c r="S58" t="inlineStr">
        <is>
          <t>上交所A</t>
        </is>
      </c>
      <c r="T58" t="n">
        <v>24786100</v>
      </c>
      <c r="U58" t="n">
        <v>0.355</v>
      </c>
      <c r="V58" t="n">
        <v>146097630</v>
      </c>
      <c r="W58" t="n">
        <v>300821</v>
      </c>
      <c r="X58" t="inlineStr">
        <is>
          <t>自营权益4（场内）</t>
        </is>
      </c>
      <c r="Y58" t="n">
        <v>88000</v>
      </c>
      <c r="Z58" t="n">
        <v>5.94</v>
      </c>
      <c r="AA58" t="n">
        <v>5.84</v>
      </c>
      <c r="AB58" t="n">
        <v>2</v>
      </c>
      <c r="AC58" t="inlineStr">
        <is>
          <t>叶盛</t>
        </is>
      </c>
      <c r="AD58" t="inlineStr">
        <is>
          <t>股票资产</t>
        </is>
      </c>
      <c r="AE58" t="n">
        <v>-0.8446</v>
      </c>
      <c r="AF58" t="n">
        <v>0.3559</v>
      </c>
      <c r="AG58" t="n">
        <v>-0.2511</v>
      </c>
      <c r="AH58" t="n">
        <v>88000</v>
      </c>
      <c r="AI58" t="n">
        <v>46</v>
      </c>
      <c r="AJ58" t="inlineStr">
        <is>
          <t>自营权益4（场内）</t>
        </is>
      </c>
      <c r="AK58" t="inlineStr">
        <is>
          <t>人民币</t>
        </is>
      </c>
      <c r="AL58" t="n">
        <v>40878</v>
      </c>
      <c r="AM58" t="n">
        <v/>
      </c>
      <c r="AN58" t="n">
        <v>30082</v>
      </c>
      <c r="AO58" t="n">
        <v/>
      </c>
      <c r="AP58" t="inlineStr">
        <is>
          <t>顾吟湫</t>
        </is>
      </c>
      <c r="AQ58" t="inlineStr">
        <is>
          <t>人民币</t>
        </is>
      </c>
      <c r="AR58" t="n">
        <v>520000</v>
      </c>
      <c r="AS58" t="n">
        <v/>
      </c>
      <c r="AT58" t="n">
        <v/>
      </c>
      <c r="AU58" t="n">
        <v/>
      </c>
      <c r="AV58" t="n">
        <v/>
      </c>
      <c r="AW58" t="n">
        <v/>
      </c>
      <c r="AX58" t="inlineStr">
        <is>
          <t>无</t>
        </is>
      </c>
      <c r="AY58" t="inlineStr">
        <is>
          <t xml:space="preserve"> </t>
        </is>
      </c>
      <c r="AZ58" t="inlineStr">
        <is>
          <t xml:space="preserve"> </t>
        </is>
      </c>
      <c r="BA58" t="n">
        <v>0.261</v>
      </c>
      <c r="BB58" t="n">
        <v>0</v>
      </c>
      <c r="BC58" t="inlineStr">
        <is>
          <t>缺省券商</t>
        </is>
      </c>
      <c r="BD58" t="inlineStr">
        <is>
          <t>交易所业务</t>
        </is>
      </c>
      <c r="BE58" t="inlineStr">
        <is>
          <t>不是ETF补券指令</t>
        </is>
      </c>
      <c r="BF58" t="inlineStr">
        <is>
          <t>-520,000.00</t>
        </is>
      </c>
      <c r="BG58" t="n">
        <v>5.91</v>
      </c>
      <c r="BH58" t="inlineStr">
        <is>
          <t>非强平</t>
        </is>
      </c>
      <c r="BI58" t="inlineStr">
        <is>
          <t>顾吟湫</t>
        </is>
      </c>
      <c r="BJ58" t="inlineStr">
        <is>
          <t>否</t>
        </is>
      </c>
      <c r="BK58" t="inlineStr">
        <is>
          <t>限价</t>
        </is>
      </c>
      <c r="BL58" t="n">
        <v/>
      </c>
      <c r="BM58" t="n">
        <v>0</v>
      </c>
      <c r="BN58" t="n">
        <v>1.433333333333333</v>
      </c>
      <c r="BO58" t="inlineStr">
        <is>
          <t>股票</t>
        </is>
      </c>
      <c r="BP58" t="n">
        <v/>
      </c>
      <c r="BQ58" t="n">
        <v/>
      </c>
      <c r="BR58" t="n">
        <v>0</v>
      </c>
      <c r="BS58" t="inlineStr">
        <is>
          <t>已成交</t>
        </is>
      </c>
    </row>
    <row r="59">
      <c r="A59" t="n">
        <v>58</v>
      </c>
      <c r="B59" t="inlineStr">
        <is>
          <t>2026-03-03</t>
        </is>
      </c>
      <c r="C59" t="n">
        <v>3008</v>
      </c>
      <c r="D59" t="inlineStr">
        <is>
          <t>自营权益4</t>
        </is>
      </c>
      <c r="E59" t="n">
        <v>3008</v>
      </c>
      <c r="F59" t="n">
        <v>601577</v>
      </c>
      <c r="G59" t="inlineStr">
        <is>
          <t>长沙银行</t>
        </is>
      </c>
      <c r="H59" t="inlineStr">
        <is>
          <t>买入</t>
        </is>
      </c>
      <c r="I59" t="n">
        <v>9.75</v>
      </c>
      <c r="J59" t="n">
        <v>9.76</v>
      </c>
      <c r="K59" t="n">
        <v>50000</v>
      </c>
      <c r="L59" t="n">
        <v>486500</v>
      </c>
      <c r="M59" t="n">
        <v>22</v>
      </c>
      <c r="N59" t="n">
        <v>9.73</v>
      </c>
      <c r="O59" t="n">
        <v>9.73</v>
      </c>
      <c r="P59" t="n">
        <v>9.73</v>
      </c>
      <c r="Q59" t="n">
        <v>9.73</v>
      </c>
      <c r="R59" t="n">
        <v>9.73</v>
      </c>
      <c r="S59" t="inlineStr">
        <is>
          <t>上交所A</t>
        </is>
      </c>
      <c r="T59" t="n">
        <v>21269176</v>
      </c>
      <c r="U59" t="n">
        <v>0.2351</v>
      </c>
      <c r="V59" t="n">
        <v>207529676</v>
      </c>
      <c r="W59" t="n">
        <v>300821</v>
      </c>
      <c r="X59" t="inlineStr">
        <is>
          <t>自营权益4（场内）</t>
        </is>
      </c>
      <c r="Y59" t="n">
        <v>50000</v>
      </c>
      <c r="Z59" t="n">
        <v>9.85</v>
      </c>
      <c r="AA59" t="n">
        <v>9.69</v>
      </c>
      <c r="AB59" t="n">
        <v>1</v>
      </c>
      <c r="AC59" t="inlineStr">
        <is>
          <t>叶盛</t>
        </is>
      </c>
      <c r="AD59" t="inlineStr">
        <is>
          <t>股票资产</t>
        </is>
      </c>
      <c r="AE59" t="n">
        <v>-0.3067</v>
      </c>
      <c r="AF59" t="n">
        <v>0.2344</v>
      </c>
      <c r="AG59" t="n">
        <v>0.2798</v>
      </c>
      <c r="AH59" t="n">
        <v>50000</v>
      </c>
      <c r="AI59" t="n">
        <v>46</v>
      </c>
      <c r="AJ59" t="inlineStr">
        <is>
          <t>自营权益4（场内）</t>
        </is>
      </c>
      <c r="AK59" t="inlineStr">
        <is>
          <t>人民币</t>
        </is>
      </c>
      <c r="AL59" t="n">
        <v>40878</v>
      </c>
      <c r="AM59" t="n">
        <v/>
      </c>
      <c r="AN59" t="n">
        <v>30082</v>
      </c>
      <c r="AO59" t="n">
        <v/>
      </c>
      <c r="AP59" t="inlineStr">
        <is>
          <t>顾吟湫</t>
        </is>
      </c>
      <c r="AQ59" t="inlineStr">
        <is>
          <t>人民币</t>
        </is>
      </c>
      <c r="AR59" t="n">
        <v>486500</v>
      </c>
      <c r="AS59" t="n">
        <v/>
      </c>
      <c r="AT59" t="n">
        <v/>
      </c>
      <c r="AU59" t="n">
        <v/>
      </c>
      <c r="AV59" t="n">
        <v/>
      </c>
      <c r="AW59" t="n">
        <v/>
      </c>
      <c r="AX59" t="inlineStr">
        <is>
          <t>无</t>
        </is>
      </c>
      <c r="AY59" t="inlineStr">
        <is>
          <t xml:space="preserve"> </t>
        </is>
      </c>
      <c r="AZ59" t="inlineStr">
        <is>
          <t xml:space="preserve"> </t>
        </is>
      </c>
      <c r="BA59" t="n">
        <v>0.2442</v>
      </c>
      <c r="BB59" t="n">
        <v>0</v>
      </c>
      <c r="BC59" t="inlineStr">
        <is>
          <t>缺省券商</t>
        </is>
      </c>
      <c r="BD59" t="inlineStr">
        <is>
          <t>交易所业务</t>
        </is>
      </c>
      <c r="BE59" t="inlineStr">
        <is>
          <t>不是ETF补券指令</t>
        </is>
      </c>
      <c r="BF59" t="inlineStr">
        <is>
          <t>-486,500.00</t>
        </is>
      </c>
      <c r="BG59" t="n">
        <v>9.779999999999999</v>
      </c>
      <c r="BH59" t="inlineStr">
        <is>
          <t>非强平</t>
        </is>
      </c>
      <c r="BI59" t="inlineStr">
        <is>
          <t>顾吟湫</t>
        </is>
      </c>
      <c r="BJ59" t="inlineStr">
        <is>
          <t>否</t>
        </is>
      </c>
      <c r="BK59" t="inlineStr">
        <is>
          <t>限价</t>
        </is>
      </c>
      <c r="BL59" t="n">
        <v/>
      </c>
      <c r="BM59" t="n">
        <v>0</v>
      </c>
      <c r="BN59" t="n">
        <v>2.45</v>
      </c>
      <c r="BO59" t="inlineStr">
        <is>
          <t>股票</t>
        </is>
      </c>
      <c r="BP59" t="n">
        <v/>
      </c>
      <c r="BQ59" t="n">
        <v/>
      </c>
      <c r="BR59" t="n">
        <v>0</v>
      </c>
      <c r="BS59" t="inlineStr">
        <is>
          <t>已成交</t>
        </is>
      </c>
    </row>
    <row r="60">
      <c r="A60" t="n">
        <v>59</v>
      </c>
      <c r="B60" t="inlineStr">
        <is>
          <t>2026-03-03</t>
        </is>
      </c>
      <c r="C60" t="n">
        <v>3008</v>
      </c>
      <c r="D60" t="inlineStr">
        <is>
          <t>自营权益4</t>
        </is>
      </c>
      <c r="E60" t="n">
        <v>3008</v>
      </c>
      <c r="F60" t="n">
        <v>2807</v>
      </c>
      <c r="G60" t="inlineStr">
        <is>
          <t>江阴银行</t>
        </is>
      </c>
      <c r="H60" t="inlineStr">
        <is>
          <t>买入</t>
        </is>
      </c>
      <c r="I60" t="n">
        <v>4.58</v>
      </c>
      <c r="J60" t="n">
        <v>4.6</v>
      </c>
      <c r="K60" t="n">
        <v>100000</v>
      </c>
      <c r="L60" t="n">
        <v>460000</v>
      </c>
      <c r="M60" t="n">
        <v>14</v>
      </c>
      <c r="N60" t="n">
        <v>4.6</v>
      </c>
      <c r="O60" t="n">
        <v>4.6</v>
      </c>
      <c r="P60" t="n">
        <v>4.6</v>
      </c>
      <c r="Q60" t="n">
        <v>4.6</v>
      </c>
      <c r="R60" t="n">
        <v>4.6</v>
      </c>
      <c r="S60" t="inlineStr">
        <is>
          <t>深交所A</t>
        </is>
      </c>
      <c r="T60" t="n">
        <v>52983360</v>
      </c>
      <c r="U60" t="n">
        <v>0.1887</v>
      </c>
      <c r="V60" t="n">
        <v>243553308.6</v>
      </c>
      <c r="W60" t="n">
        <v>300821</v>
      </c>
      <c r="X60" t="inlineStr">
        <is>
          <t>自营权益4（场内）</t>
        </is>
      </c>
      <c r="Y60" t="n">
        <v>100000</v>
      </c>
      <c r="Z60" t="n">
        <v>4.64</v>
      </c>
      <c r="AA60" t="n">
        <v>4.56</v>
      </c>
      <c r="AB60" t="n">
        <v>1</v>
      </c>
      <c r="AC60" t="inlineStr">
        <is>
          <t>叶盛</t>
        </is>
      </c>
      <c r="AD60" t="inlineStr">
        <is>
          <t>股票资产</t>
        </is>
      </c>
      <c r="AE60" t="n">
        <v>-0.4348</v>
      </c>
      <c r="AF60" t="n">
        <v>0.1889</v>
      </c>
      <c r="AG60" t="n">
        <v>-0.0696</v>
      </c>
      <c r="AH60" t="n">
        <v>100000</v>
      </c>
      <c r="AI60" t="n">
        <v>46</v>
      </c>
      <c r="AJ60" t="inlineStr">
        <is>
          <t>自营权益4（场内）</t>
        </is>
      </c>
      <c r="AK60" t="inlineStr">
        <is>
          <t>人民币</t>
        </is>
      </c>
      <c r="AL60" t="n">
        <v>6111</v>
      </c>
      <c r="AM60" t="n">
        <v/>
      </c>
      <c r="AN60" t="n">
        <v>30082</v>
      </c>
      <c r="AO60" t="n">
        <v/>
      </c>
      <c r="AP60" t="inlineStr">
        <is>
          <t>顾吟湫</t>
        </is>
      </c>
      <c r="AQ60" t="inlineStr">
        <is>
          <t>人民币</t>
        </is>
      </c>
      <c r="AR60" t="n">
        <v>460000</v>
      </c>
      <c r="AS60" t="n">
        <v/>
      </c>
      <c r="AT60" t="n">
        <v/>
      </c>
      <c r="AU60" t="n">
        <v/>
      </c>
      <c r="AV60" t="n">
        <v/>
      </c>
      <c r="AW60" t="n">
        <v/>
      </c>
      <c r="AX60" t="inlineStr">
        <is>
          <t>无</t>
        </is>
      </c>
      <c r="AY60" t="inlineStr">
        <is>
          <t xml:space="preserve"> </t>
        </is>
      </c>
      <c r="AZ60" t="inlineStr">
        <is>
          <t xml:space="preserve"> </t>
        </is>
      </c>
      <c r="BA60" t="n">
        <v>0.2309</v>
      </c>
      <c r="BB60" t="n">
        <v>0</v>
      </c>
      <c r="BC60" t="inlineStr">
        <is>
          <t>缺省券商</t>
        </is>
      </c>
      <c r="BD60" t="inlineStr">
        <is>
          <t>交易所业务</t>
        </is>
      </c>
      <c r="BE60" t="inlineStr">
        <is>
          <t>不是ETF补券指令</t>
        </is>
      </c>
      <c r="BF60" t="inlineStr">
        <is>
          <t>-460,000.00</t>
        </is>
      </c>
      <c r="BG60" t="n">
        <v>4.61</v>
      </c>
      <c r="BH60" t="inlineStr">
        <is>
          <t>非强平</t>
        </is>
      </c>
      <c r="BI60" t="inlineStr">
        <is>
          <t>顾吟湫</t>
        </is>
      </c>
      <c r="BJ60" t="inlineStr">
        <is>
          <t>否</t>
        </is>
      </c>
      <c r="BK60" t="inlineStr">
        <is>
          <t>限价</t>
        </is>
      </c>
      <c r="BL60" t="n">
        <v/>
      </c>
      <c r="BM60" t="n">
        <v>0</v>
      </c>
      <c r="BN60" t="n">
        <v>0</v>
      </c>
      <c r="BO60" t="inlineStr">
        <is>
          <t>股票</t>
        </is>
      </c>
      <c r="BP60" t="n">
        <v/>
      </c>
      <c r="BQ60" t="n">
        <v/>
      </c>
      <c r="BR60" t="n">
        <v>0</v>
      </c>
      <c r="BS60" t="inlineStr">
        <is>
          <t>已成交</t>
        </is>
      </c>
    </row>
    <row r="61">
      <c r="A61" t="n">
        <v>60</v>
      </c>
      <c r="B61" t="inlineStr">
        <is>
          <t>2026-03-03</t>
        </is>
      </c>
      <c r="C61" t="n">
        <v>3008</v>
      </c>
      <c r="D61" t="inlineStr">
        <is>
          <t>自营权益4</t>
        </is>
      </c>
      <c r="E61" t="n">
        <v>3008</v>
      </c>
      <c r="F61" t="n">
        <v>2839</v>
      </c>
      <c r="G61" t="inlineStr">
        <is>
          <t>张家港行</t>
        </is>
      </c>
      <c r="H61" t="inlineStr">
        <is>
          <t>买入</t>
        </is>
      </c>
      <c r="I61" t="n">
        <v>4.54</v>
      </c>
      <c r="J61" t="n">
        <v>4.57</v>
      </c>
      <c r="K61" t="n">
        <v>100000</v>
      </c>
      <c r="L61" t="n">
        <v>457000</v>
      </c>
      <c r="M61" t="n">
        <v>42</v>
      </c>
      <c r="N61" t="n">
        <v>4.57</v>
      </c>
      <c r="O61" t="n">
        <v>4.57</v>
      </c>
      <c r="P61" t="n">
        <v>4.57</v>
      </c>
      <c r="Q61" t="n">
        <v>4.57</v>
      </c>
      <c r="R61" t="n">
        <v>4.57</v>
      </c>
      <c r="S61" t="inlineStr">
        <is>
          <t>深交所A</t>
        </is>
      </c>
      <c r="T61" t="n">
        <v>42860118</v>
      </c>
      <c r="U61" t="n">
        <v>0.2333</v>
      </c>
      <c r="V61" t="n">
        <v>195821052.74</v>
      </c>
      <c r="W61" t="n">
        <v>300821</v>
      </c>
      <c r="X61" t="inlineStr">
        <is>
          <t>自营权益4（场内）</t>
        </is>
      </c>
      <c r="Y61" t="n">
        <v>100000</v>
      </c>
      <c r="Z61" t="n">
        <v>4.61</v>
      </c>
      <c r="AA61" t="n">
        <v>4.52</v>
      </c>
      <c r="AB61" t="n">
        <v>1</v>
      </c>
      <c r="AC61" t="inlineStr">
        <is>
          <t>叶盛</t>
        </is>
      </c>
      <c r="AD61" t="inlineStr">
        <is>
          <t>股票资产</t>
        </is>
      </c>
      <c r="AE61" t="n">
        <v>-0.8734</v>
      </c>
      <c r="AF61" t="n">
        <v>0.2334</v>
      </c>
      <c r="AG61" t="n">
        <v>-0.0263</v>
      </c>
      <c r="AH61" t="n">
        <v>100000</v>
      </c>
      <c r="AI61" t="n">
        <v>46</v>
      </c>
      <c r="AJ61" t="inlineStr">
        <is>
          <t>自营权益4（场内）</t>
        </is>
      </c>
      <c r="AK61" t="inlineStr">
        <is>
          <t>人民币</t>
        </is>
      </c>
      <c r="AL61" t="n">
        <v>6111</v>
      </c>
      <c r="AM61" t="n">
        <v/>
      </c>
      <c r="AN61" t="n">
        <v>30082</v>
      </c>
      <c r="AO61" t="n">
        <v/>
      </c>
      <c r="AP61" t="inlineStr">
        <is>
          <t>顾吟湫</t>
        </is>
      </c>
      <c r="AQ61" t="inlineStr">
        <is>
          <t>人民币</t>
        </is>
      </c>
      <c r="AR61" t="n">
        <v>457000</v>
      </c>
      <c r="AS61" t="n">
        <v/>
      </c>
      <c r="AT61" t="n">
        <v/>
      </c>
      <c r="AU61" t="n">
        <v/>
      </c>
      <c r="AV61" t="n">
        <v/>
      </c>
      <c r="AW61" t="n">
        <v/>
      </c>
      <c r="AX61" t="inlineStr">
        <is>
          <t>无</t>
        </is>
      </c>
      <c r="AY61" t="inlineStr">
        <is>
          <t xml:space="preserve"> </t>
        </is>
      </c>
      <c r="AZ61" t="inlineStr">
        <is>
          <t xml:space="preserve"> </t>
        </is>
      </c>
      <c r="BA61" t="n">
        <v>0.2294</v>
      </c>
      <c r="BB61" t="n">
        <v>0</v>
      </c>
      <c r="BC61" t="inlineStr">
        <is>
          <t>缺省券商</t>
        </is>
      </c>
      <c r="BD61" t="inlineStr">
        <is>
          <t>交易所业务</t>
        </is>
      </c>
      <c r="BE61" t="inlineStr">
        <is>
          <t>不是ETF补券指令</t>
        </is>
      </c>
      <c r="BF61" t="inlineStr">
        <is>
          <t>-457,000.00</t>
        </is>
      </c>
      <c r="BG61" t="n">
        <v>4.58</v>
      </c>
      <c r="BH61" t="inlineStr">
        <is>
          <t>非强平</t>
        </is>
      </c>
      <c r="BI61" t="inlineStr">
        <is>
          <t>顾吟湫</t>
        </is>
      </c>
      <c r="BJ61" t="inlineStr">
        <is>
          <t>否</t>
        </is>
      </c>
      <c r="BK61" t="inlineStr">
        <is>
          <t>限价</t>
        </is>
      </c>
      <c r="BL61" t="n">
        <v/>
      </c>
      <c r="BM61" t="n">
        <v>0</v>
      </c>
      <c r="BN61" t="n">
        <v>3.033333333333333</v>
      </c>
      <c r="BO61" t="inlineStr">
        <is>
          <t>股票</t>
        </is>
      </c>
      <c r="BP61" t="n">
        <v/>
      </c>
      <c r="BQ61" t="n">
        <v/>
      </c>
      <c r="BR61" t="n">
        <v>0</v>
      </c>
      <c r="BS61" t="inlineStr">
        <is>
          <t>已成交</t>
        </is>
      </c>
    </row>
    <row r="62">
      <c r="A62" t="n">
        <v>61</v>
      </c>
      <c r="B62" t="inlineStr">
        <is>
          <t>2026-03-11</t>
        </is>
      </c>
      <c r="C62" t="n">
        <v>3008</v>
      </c>
      <c r="D62" t="inlineStr">
        <is>
          <t>自营权益4</t>
        </is>
      </c>
      <c r="E62" t="n">
        <v>3008</v>
      </c>
      <c r="F62" t="n">
        <v>995</v>
      </c>
      <c r="G62" t="inlineStr">
        <is>
          <t>安徽皖通高速公路</t>
        </is>
      </c>
      <c r="H62" t="inlineStr">
        <is>
          <t>卖出</t>
        </is>
      </c>
      <c r="I62" t="n">
        <v>13.75</v>
      </c>
      <c r="J62" t="n">
        <v>13.58</v>
      </c>
      <c r="K62" t="n">
        <v>20000</v>
      </c>
      <c r="L62" t="n">
        <v>274900</v>
      </c>
      <c r="M62" t="n">
        <v>5</v>
      </c>
      <c r="N62" t="n">
        <v>13.74</v>
      </c>
      <c r="O62" t="n">
        <v>13.75</v>
      </c>
      <c r="P62" t="n">
        <v>13.745</v>
      </c>
      <c r="Q62" t="n">
        <v>13.745</v>
      </c>
      <c r="R62" t="n">
        <v>13.745</v>
      </c>
      <c r="S62" t="inlineStr">
        <is>
          <t>港股通（深）</t>
        </is>
      </c>
      <c r="T62" t="n">
        <v>1150000</v>
      </c>
      <c r="U62" t="n">
        <v>1.7391</v>
      </c>
      <c r="V62" t="n">
        <v>15615840</v>
      </c>
      <c r="W62" t="n">
        <v>300841</v>
      </c>
      <c r="X62" t="inlineStr">
        <is>
          <t>自营权益4（深港）</t>
        </is>
      </c>
      <c r="Y62" t="n">
        <v>360000</v>
      </c>
      <c r="Z62" t="n">
        <v>13.75</v>
      </c>
      <c r="AA62" t="n">
        <v>13.38</v>
      </c>
      <c r="AB62" t="n">
        <v>12</v>
      </c>
      <c r="AC62" t="inlineStr">
        <is>
          <t>叶盛</t>
        </is>
      </c>
      <c r="AD62" t="inlineStr">
        <is>
          <t>股票资产</t>
        </is>
      </c>
      <c r="AE62" t="n">
        <v>2.9963</v>
      </c>
      <c r="AF62" t="n">
        <v>1.7604</v>
      </c>
      <c r="AG62" t="n">
        <v>1.2225</v>
      </c>
      <c r="AH62" t="n">
        <v>60000</v>
      </c>
      <c r="AI62" t="n">
        <v>53</v>
      </c>
      <c r="AJ62" t="inlineStr">
        <is>
          <t>自营权益4（深港）</t>
        </is>
      </c>
      <c r="AK62" t="inlineStr">
        <is>
          <t>人民币</t>
        </is>
      </c>
      <c r="AL62" t="n">
        <v>6111</v>
      </c>
      <c r="AM62" t="n">
        <v/>
      </c>
      <c r="AN62" t="n">
        <v>30084</v>
      </c>
      <c r="AO62" t="n">
        <v/>
      </c>
      <c r="AP62" t="inlineStr">
        <is>
          <t>顾吟湫</t>
        </is>
      </c>
      <c r="AQ62" t="inlineStr">
        <is>
          <t>人民币</t>
        </is>
      </c>
      <c r="AR62" t="n">
        <v>241562.89</v>
      </c>
      <c r="AS62" t="n">
        <v/>
      </c>
      <c r="AT62" t="n">
        <v/>
      </c>
      <c r="AU62" t="n">
        <v/>
      </c>
      <c r="AV62" t="n">
        <v/>
      </c>
      <c r="AW62" t="inlineStr">
        <is>
          <t>CNE1000001X0</t>
        </is>
      </c>
      <c r="AX62" t="inlineStr">
        <is>
          <t>无</t>
        </is>
      </c>
      <c r="AY62" t="inlineStr">
        <is>
          <t xml:space="preserve"> </t>
        </is>
      </c>
      <c r="AZ62" t="inlineStr">
        <is>
          <t xml:space="preserve"> </t>
        </is>
      </c>
      <c r="BA62" t="n">
        <v>0.121</v>
      </c>
      <c r="BB62" t="n">
        <v>0</v>
      </c>
      <c r="BC62" t="inlineStr">
        <is>
          <t>缺省券商</t>
        </is>
      </c>
      <c r="BD62" t="inlineStr">
        <is>
          <t>交易所业务</t>
        </is>
      </c>
      <c r="BE62" t="inlineStr">
        <is>
          <t>不是ETF补券指令</t>
        </is>
      </c>
      <c r="BF62" t="inlineStr">
        <is>
          <t>274,900.00</t>
        </is>
      </c>
      <c r="BG62" t="n">
        <v>0</v>
      </c>
      <c r="BH62" t="inlineStr">
        <is>
          <t>非强平</t>
        </is>
      </c>
      <c r="BI62" t="inlineStr">
        <is>
          <t>顾吟湫</t>
        </is>
      </c>
      <c r="BJ62" t="inlineStr">
        <is>
          <t>否</t>
        </is>
      </c>
      <c r="BK62" t="inlineStr">
        <is>
          <t>增强限价盘</t>
        </is>
      </c>
      <c r="BL62" t="n">
        <v/>
      </c>
      <c r="BM62" t="n">
        <v>0</v>
      </c>
      <c r="BN62" t="n">
        <v>300.2166666666666</v>
      </c>
      <c r="BO62" t="inlineStr">
        <is>
          <t>股票</t>
        </is>
      </c>
      <c r="BP62" t="n">
        <v/>
      </c>
      <c r="BQ62" t="n">
        <v/>
      </c>
      <c r="BR62" t="n">
        <v>0</v>
      </c>
      <c r="BS62" t="inlineStr">
        <is>
          <t>已成交</t>
        </is>
      </c>
    </row>
    <row r="63">
      <c r="A63" t="n">
        <v>62</v>
      </c>
      <c r="B63" t="inlineStr">
        <is>
          <t>2026-03-11</t>
        </is>
      </c>
      <c r="C63" t="n">
        <v>3008</v>
      </c>
      <c r="D63" t="inlineStr">
        <is>
          <t>自营权益4</t>
        </is>
      </c>
      <c r="E63" t="n">
        <v>3008</v>
      </c>
      <c r="F63" t="n">
        <v>3328</v>
      </c>
      <c r="G63" t="inlineStr">
        <is>
          <t>交通银行</t>
        </is>
      </c>
      <c r="H63" t="inlineStr">
        <is>
          <t>卖出</t>
        </is>
      </c>
      <c r="I63" t="n">
        <v>6.79</v>
      </c>
      <c r="J63" t="n">
        <v>6.8</v>
      </c>
      <c r="K63" t="n">
        <v>800000</v>
      </c>
      <c r="L63" t="n">
        <v>5435000</v>
      </c>
      <c r="M63" t="n">
        <v>56</v>
      </c>
      <c r="N63" t="n">
        <v>6.79</v>
      </c>
      <c r="O63" t="n">
        <v>6.8</v>
      </c>
      <c r="P63" t="n">
        <v>6.79375</v>
      </c>
      <c r="Q63" t="n">
        <v>6.79375</v>
      </c>
      <c r="R63" t="n">
        <v>6.79375</v>
      </c>
      <c r="S63" t="inlineStr">
        <is>
          <t>港股通（深）</t>
        </is>
      </c>
      <c r="T63" t="n">
        <v>18231130</v>
      </c>
      <c r="U63" t="n">
        <v>4.3881</v>
      </c>
      <c r="V63" t="n">
        <v>123989685.41</v>
      </c>
      <c r="W63" t="n">
        <v>300841</v>
      </c>
      <c r="X63" t="inlineStr">
        <is>
          <t>自营权益4（深港）</t>
        </is>
      </c>
      <c r="Y63" t="n">
        <v>800000</v>
      </c>
      <c r="Z63" t="n">
        <v>6.84</v>
      </c>
      <c r="AA63" t="n">
        <v>6.76</v>
      </c>
      <c r="AB63" t="n">
        <v>8</v>
      </c>
      <c r="AC63" t="inlineStr">
        <is>
          <t>叶盛</t>
        </is>
      </c>
      <c r="AD63" t="inlineStr">
        <is>
          <t>股票资产</t>
        </is>
      </c>
      <c r="AE63" t="n">
        <v>0.4438</v>
      </c>
      <c r="AF63" t="n">
        <v>4.3834</v>
      </c>
      <c r="AG63" t="n">
        <v>-0.1059</v>
      </c>
      <c r="AH63" t="n">
        <v>800000</v>
      </c>
      <c r="AI63" t="n">
        <v>53</v>
      </c>
      <c r="AJ63" t="inlineStr">
        <is>
          <t>自营权益4（深港）</t>
        </is>
      </c>
      <c r="AK63" t="inlineStr">
        <is>
          <t>人民币</t>
        </is>
      </c>
      <c r="AL63" t="n">
        <v>6111</v>
      </c>
      <c r="AM63" t="n">
        <v/>
      </c>
      <c r="AN63" t="n">
        <v>30084</v>
      </c>
      <c r="AO63" t="n">
        <v/>
      </c>
      <c r="AP63" t="inlineStr">
        <is>
          <t>顾吟湫</t>
        </is>
      </c>
      <c r="AQ63" t="inlineStr">
        <is>
          <t>人民币</t>
        </is>
      </c>
      <c r="AR63" t="n">
        <v>4775897.5</v>
      </c>
      <c r="AS63" t="n">
        <v/>
      </c>
      <c r="AT63" t="n">
        <v/>
      </c>
      <c r="AU63" t="n">
        <v/>
      </c>
      <c r="AV63" t="n">
        <v/>
      </c>
      <c r="AW63" t="inlineStr">
        <is>
          <t>CNE100000205</t>
        </is>
      </c>
      <c r="AX63" t="inlineStr">
        <is>
          <t>无</t>
        </is>
      </c>
      <c r="AY63" t="inlineStr">
        <is>
          <t xml:space="preserve"> </t>
        </is>
      </c>
      <c r="AZ63" t="inlineStr">
        <is>
          <t xml:space="preserve"> </t>
        </is>
      </c>
      <c r="BA63" t="n">
        <v>2.3928</v>
      </c>
      <c r="BB63" t="n">
        <v>0</v>
      </c>
      <c r="BC63" t="inlineStr">
        <is>
          <t>缺省券商</t>
        </is>
      </c>
      <c r="BD63" t="inlineStr">
        <is>
          <t>交易所业务</t>
        </is>
      </c>
      <c r="BE63" t="inlineStr">
        <is>
          <t>不是ETF补券指令</t>
        </is>
      </c>
      <c r="BF63" t="inlineStr">
        <is>
          <t>5,435,000.00</t>
        </is>
      </c>
      <c r="BG63" t="n">
        <v>0</v>
      </c>
      <c r="BH63" t="inlineStr">
        <is>
          <t>非强平</t>
        </is>
      </c>
      <c r="BI63" t="inlineStr">
        <is>
          <t>顾吟湫</t>
        </is>
      </c>
      <c r="BJ63" t="inlineStr">
        <is>
          <t>否</t>
        </is>
      </c>
      <c r="BK63" t="inlineStr">
        <is>
          <t>增强限价盘</t>
        </is>
      </c>
      <c r="BL63" t="n">
        <v/>
      </c>
      <c r="BM63" t="n">
        <v>0</v>
      </c>
      <c r="BN63" t="n">
        <v>483.1166666666667</v>
      </c>
      <c r="BO63" t="inlineStr">
        <is>
          <t>股票</t>
        </is>
      </c>
      <c r="BP63" t="n">
        <v/>
      </c>
      <c r="BQ63" t="n">
        <v/>
      </c>
      <c r="BR63" t="n">
        <v>0</v>
      </c>
      <c r="BS63" t="inlineStr">
        <is>
          <t>已成交</t>
        </is>
      </c>
    </row>
    <row r="64">
      <c r="A64" t="n">
        <v>63</v>
      </c>
      <c r="B64" t="inlineStr">
        <is>
          <t>2026-03-12</t>
        </is>
      </c>
      <c r="C64" t="n">
        <v>3008</v>
      </c>
      <c r="D64" t="inlineStr">
        <is>
          <t>自营权益4</t>
        </is>
      </c>
      <c r="E64" t="n">
        <v>3008</v>
      </c>
      <c r="F64" t="n">
        <v>995</v>
      </c>
      <c r="G64" t="inlineStr">
        <is>
          <t>安徽皖通高速公路</t>
        </is>
      </c>
      <c r="H64" t="inlineStr">
        <is>
          <t>卖出</t>
        </is>
      </c>
      <c r="I64" t="n">
        <v>13.82</v>
      </c>
      <c r="J64" t="n">
        <v>13.9</v>
      </c>
      <c r="K64" t="n">
        <v>40000</v>
      </c>
      <c r="L64" t="n">
        <v>550600</v>
      </c>
      <c r="M64" t="n">
        <v>9</v>
      </c>
      <c r="N64" t="n">
        <v>13.75</v>
      </c>
      <c r="O64" t="n">
        <v>13.78</v>
      </c>
      <c r="P64" t="n">
        <v>13.765</v>
      </c>
      <c r="Q64" t="n">
        <v>13.765</v>
      </c>
      <c r="R64" t="n">
        <v>13.765</v>
      </c>
      <c r="S64" t="inlineStr">
        <is>
          <t>港股通（深）</t>
        </is>
      </c>
      <c r="T64" t="n">
        <v>596000</v>
      </c>
      <c r="U64" t="n">
        <v>6.7114</v>
      </c>
      <c r="V64" t="n">
        <v>8281500</v>
      </c>
      <c r="W64" t="n">
        <v>300841</v>
      </c>
      <c r="X64" t="inlineStr">
        <is>
          <t>自营权益4（深港）</t>
        </is>
      </c>
      <c r="Y64" t="n">
        <v>40000</v>
      </c>
      <c r="Z64" t="n">
        <v>14.07</v>
      </c>
      <c r="AA64" t="n">
        <v>13.65</v>
      </c>
      <c r="AB64" t="n">
        <v>4</v>
      </c>
      <c r="AC64" t="inlineStr">
        <is>
          <t>叶盛</t>
        </is>
      </c>
      <c r="AD64" t="inlineStr">
        <is>
          <t>股票资产</t>
        </is>
      </c>
      <c r="AE64" t="n">
        <v>0.5091</v>
      </c>
      <c r="AF64" t="n">
        <v>6.6486</v>
      </c>
      <c r="AG64" t="n">
        <v>-0.9363</v>
      </c>
      <c r="AH64" t="n">
        <v>40000</v>
      </c>
      <c r="AI64" t="n">
        <v>53</v>
      </c>
      <c r="AJ64" t="inlineStr">
        <is>
          <t>自营权益4（深港）</t>
        </is>
      </c>
      <c r="AK64" t="inlineStr">
        <is>
          <t>人民币</t>
        </is>
      </c>
      <c r="AL64" t="n">
        <v>6111</v>
      </c>
      <c r="AM64" t="n">
        <v/>
      </c>
      <c r="AN64" t="n">
        <v>30084</v>
      </c>
      <c r="AO64" t="n">
        <v/>
      </c>
      <c r="AP64" t="inlineStr">
        <is>
          <t>顾吟湫</t>
        </is>
      </c>
      <c r="AQ64" t="inlineStr">
        <is>
          <t>人民币</t>
        </is>
      </c>
      <c r="AR64" t="n">
        <v>483366.26</v>
      </c>
      <c r="AS64" t="n">
        <v/>
      </c>
      <c r="AT64" t="n">
        <v/>
      </c>
      <c r="AU64" t="n">
        <v/>
      </c>
      <c r="AV64" t="n">
        <v/>
      </c>
      <c r="AW64" t="inlineStr">
        <is>
          <t>CNE1000001X0</t>
        </is>
      </c>
      <c r="AX64" t="inlineStr">
        <is>
          <t>无</t>
        </is>
      </c>
      <c r="AY64" t="inlineStr">
        <is>
          <t xml:space="preserve"> </t>
        </is>
      </c>
      <c r="AZ64" t="inlineStr">
        <is>
          <t xml:space="preserve"> </t>
        </is>
      </c>
      <c r="BA64" t="n">
        <v>0.2414</v>
      </c>
      <c r="BB64" t="n">
        <v>0</v>
      </c>
      <c r="BC64" t="inlineStr">
        <is>
          <t>缺省券商</t>
        </is>
      </c>
      <c r="BD64" t="inlineStr">
        <is>
          <t>交易所业务</t>
        </is>
      </c>
      <c r="BE64" t="inlineStr">
        <is>
          <t>不是ETF补券指令</t>
        </is>
      </c>
      <c r="BF64" t="inlineStr">
        <is>
          <t>550,600.00</t>
        </is>
      </c>
      <c r="BG64" t="n">
        <v>0</v>
      </c>
      <c r="BH64" t="inlineStr">
        <is>
          <t>非强平</t>
        </is>
      </c>
      <c r="BI64" t="inlineStr">
        <is>
          <t>顾吟湫</t>
        </is>
      </c>
      <c r="BJ64" t="inlineStr">
        <is>
          <t>否</t>
        </is>
      </c>
      <c r="BK64" t="inlineStr">
        <is>
          <t>竞价限价盘</t>
        </is>
      </c>
      <c r="BL64" t="n">
        <v/>
      </c>
      <c r="BM64" t="n">
        <v>0</v>
      </c>
      <c r="BN64" t="n">
        <v>548.05</v>
      </c>
      <c r="BO64" t="inlineStr">
        <is>
          <t>股票</t>
        </is>
      </c>
      <c r="BP64" t="n">
        <v/>
      </c>
      <c r="BQ64" t="n">
        <v/>
      </c>
      <c r="BR64" t="n">
        <v>0</v>
      </c>
      <c r="BS64" t="inlineStr">
        <is>
          <t>已成交</t>
        </is>
      </c>
    </row>
    <row r="65">
      <c r="A65" t="n">
        <v>64</v>
      </c>
      <c r="B65" t="inlineStr">
        <is>
          <t>2026-03-12</t>
        </is>
      </c>
      <c r="C65" t="n">
        <v>3008</v>
      </c>
      <c r="D65" t="inlineStr">
        <is>
          <t>自营权益4</t>
        </is>
      </c>
      <c r="E65" t="n">
        <v>3008</v>
      </c>
      <c r="F65" t="n">
        <v>1368</v>
      </c>
      <c r="G65" t="inlineStr">
        <is>
          <t>特步国际</t>
        </is>
      </c>
      <c r="H65" t="inlineStr">
        <is>
          <t>卖出</t>
        </is>
      </c>
      <c r="I65" t="n">
        <v>5.02</v>
      </c>
      <c r="J65" t="n">
        <v>5.03</v>
      </c>
      <c r="K65" t="n">
        <v>300000</v>
      </c>
      <c r="L65" t="n">
        <v>1506000</v>
      </c>
      <c r="M65" t="n">
        <v>39</v>
      </c>
      <c r="N65" t="n">
        <v>5.02</v>
      </c>
      <c r="O65" t="n">
        <v>5.02</v>
      </c>
      <c r="P65" t="n">
        <v>5.02</v>
      </c>
      <c r="Q65" t="n">
        <v>5.02</v>
      </c>
      <c r="R65" t="n">
        <v>5.02</v>
      </c>
      <c r="S65" t="inlineStr">
        <is>
          <t>港股通（深）</t>
        </is>
      </c>
      <c r="T65" t="n">
        <v>3980500</v>
      </c>
      <c r="U65" t="n">
        <v>7.5367</v>
      </c>
      <c r="V65" t="n">
        <v>20019198.5</v>
      </c>
      <c r="W65" t="n">
        <v>300841</v>
      </c>
      <c r="X65" t="inlineStr">
        <is>
          <t>自营权益4（深港）</t>
        </is>
      </c>
      <c r="Y65" t="n">
        <v>300000</v>
      </c>
      <c r="Z65" t="n">
        <v>5.11</v>
      </c>
      <c r="AA65" t="n">
        <v>5.01</v>
      </c>
      <c r="AB65" t="n">
        <v>1</v>
      </c>
      <c r="AC65" t="inlineStr">
        <is>
          <t>叶盛</t>
        </is>
      </c>
      <c r="AD65" t="inlineStr">
        <is>
          <t>股票资产</t>
        </is>
      </c>
      <c r="AE65" t="n">
        <v>-1.9531</v>
      </c>
      <c r="AF65" t="n">
        <v>7.5228</v>
      </c>
      <c r="AG65" t="n">
        <v>-0.1849</v>
      </c>
      <c r="AH65" t="n">
        <v>300000</v>
      </c>
      <c r="AI65" t="n">
        <v>53</v>
      </c>
      <c r="AJ65" t="inlineStr">
        <is>
          <t>自营权益4（深港）</t>
        </is>
      </c>
      <c r="AK65" t="inlineStr">
        <is>
          <t>人民币</t>
        </is>
      </c>
      <c r="AL65" t="n">
        <v>6111</v>
      </c>
      <c r="AM65" t="n">
        <v/>
      </c>
      <c r="AN65" t="n">
        <v>30084</v>
      </c>
      <c r="AO65" t="n">
        <v/>
      </c>
      <c r="AP65" t="inlineStr">
        <is>
          <t>顾吟湫</t>
        </is>
      </c>
      <c r="AQ65" t="inlineStr">
        <is>
          <t>人民币</t>
        </is>
      </c>
      <c r="AR65" t="n">
        <v>1322102.32</v>
      </c>
      <c r="AS65" t="n">
        <v/>
      </c>
      <c r="AT65" t="n">
        <v/>
      </c>
      <c r="AU65" t="n">
        <v/>
      </c>
      <c r="AV65" t="n">
        <v/>
      </c>
      <c r="AW65" t="inlineStr">
        <is>
          <t>KYG982771092</t>
        </is>
      </c>
      <c r="AX65" t="inlineStr">
        <is>
          <t>无</t>
        </is>
      </c>
      <c r="AY65" t="inlineStr">
        <is>
          <t xml:space="preserve"> </t>
        </is>
      </c>
      <c r="AZ65" t="inlineStr">
        <is>
          <t xml:space="preserve"> </t>
        </is>
      </c>
      <c r="BA65" t="n">
        <v>0.6602</v>
      </c>
      <c r="BB65" t="n">
        <v>0</v>
      </c>
      <c r="BC65" t="inlineStr">
        <is>
          <t>缺省券商</t>
        </is>
      </c>
      <c r="BD65" t="inlineStr">
        <is>
          <t>交易所业务</t>
        </is>
      </c>
      <c r="BE65" t="inlineStr">
        <is>
          <t>不是ETF补券指令</t>
        </is>
      </c>
      <c r="BF65" t="inlineStr">
        <is>
          <t>1,506,000.00</t>
        </is>
      </c>
      <c r="BG65" t="n">
        <v>0</v>
      </c>
      <c r="BH65" t="inlineStr">
        <is>
          <t>非强平</t>
        </is>
      </c>
      <c r="BI65" t="inlineStr">
        <is>
          <t>顾吟湫</t>
        </is>
      </c>
      <c r="BJ65" t="inlineStr">
        <is>
          <t>否</t>
        </is>
      </c>
      <c r="BK65" t="inlineStr">
        <is>
          <t>增强限价盘</t>
        </is>
      </c>
      <c r="BL65" t="n">
        <v/>
      </c>
      <c r="BM65" t="n">
        <v>0</v>
      </c>
      <c r="BN65" t="n">
        <v>185.1666666666667</v>
      </c>
      <c r="BO65" t="inlineStr">
        <is>
          <t>股票</t>
        </is>
      </c>
      <c r="BP65" t="n">
        <v/>
      </c>
      <c r="BQ65" t="n">
        <v/>
      </c>
      <c r="BR65" t="n">
        <v>0</v>
      </c>
      <c r="BS65" t="inlineStr">
        <is>
          <t>已成交</t>
        </is>
      </c>
    </row>
    <row r="66">
      <c r="A66" t="n">
        <v>65</v>
      </c>
      <c r="B66" t="inlineStr">
        <is>
          <t>2026-03-12</t>
        </is>
      </c>
      <c r="C66" t="n">
        <v>3008</v>
      </c>
      <c r="D66" t="inlineStr">
        <is>
          <t>自营权益4</t>
        </is>
      </c>
      <c r="E66" t="n">
        <v>3008</v>
      </c>
      <c r="F66" t="n">
        <v>3998</v>
      </c>
      <c r="G66" t="inlineStr">
        <is>
          <t>波司登</t>
        </is>
      </c>
      <c r="H66" t="inlineStr">
        <is>
          <t>买入</t>
        </is>
      </c>
      <c r="I66" t="n">
        <v>4.1</v>
      </c>
      <c r="J66" t="n">
        <v>4.1</v>
      </c>
      <c r="K66" t="n">
        <v>450000</v>
      </c>
      <c r="L66" t="n">
        <v>1845000</v>
      </c>
      <c r="M66" t="n">
        <v>13</v>
      </c>
      <c r="N66" t="n">
        <v>4.1</v>
      </c>
      <c r="O66" t="n">
        <v>4.1</v>
      </c>
      <c r="P66" t="n">
        <v>4.1</v>
      </c>
      <c r="Q66" t="n">
        <v>4.1</v>
      </c>
      <c r="R66" t="n">
        <v>4.1</v>
      </c>
      <c r="S66" t="inlineStr">
        <is>
          <t>港股通（深）</t>
        </is>
      </c>
      <c r="T66" t="n">
        <v>42673090</v>
      </c>
      <c r="U66" t="n">
        <v>1.0545</v>
      </c>
      <c r="V66" t="n">
        <v>174811896.36</v>
      </c>
      <c r="W66" t="n">
        <v>300841</v>
      </c>
      <c r="X66" t="inlineStr">
        <is>
          <t>自营权益4（深港）</t>
        </is>
      </c>
      <c r="Y66" t="n">
        <v>450000</v>
      </c>
      <c r="Z66" t="n">
        <v>4.13</v>
      </c>
      <c r="AA66" t="n">
        <v>4.01</v>
      </c>
      <c r="AB66" t="n">
        <v>2</v>
      </c>
      <c r="AC66" t="inlineStr">
        <is>
          <t>叶盛</t>
        </is>
      </c>
      <c r="AD66" t="inlineStr">
        <is>
          <t>股票资产</t>
        </is>
      </c>
      <c r="AE66" t="n">
        <v>0.4902</v>
      </c>
      <c r="AF66" t="n">
        <v>1.0554</v>
      </c>
      <c r="AG66" t="n">
        <v>-0.0854</v>
      </c>
      <c r="AH66" t="n">
        <v>450000</v>
      </c>
      <c r="AI66" t="n">
        <v>53</v>
      </c>
      <c r="AJ66" t="inlineStr">
        <is>
          <t>自营权益4（深港）</t>
        </is>
      </c>
      <c r="AK66" t="inlineStr">
        <is>
          <t>人民币</t>
        </is>
      </c>
      <c r="AL66" t="n">
        <v>6111</v>
      </c>
      <c r="AM66" t="n">
        <v/>
      </c>
      <c r="AN66" t="n">
        <v>30084</v>
      </c>
      <c r="AO66" t="n">
        <v/>
      </c>
      <c r="AP66" t="inlineStr">
        <is>
          <t>顾吟湫</t>
        </is>
      </c>
      <c r="AQ66" t="inlineStr">
        <is>
          <t>人民币</t>
        </is>
      </c>
      <c r="AR66" t="n">
        <v>1620112.93</v>
      </c>
      <c r="AS66" t="n">
        <v/>
      </c>
      <c r="AT66" t="n">
        <v/>
      </c>
      <c r="AU66" t="n">
        <v/>
      </c>
      <c r="AV66" t="n">
        <v/>
      </c>
      <c r="AW66" t="inlineStr">
        <is>
          <t>KYG126521064</t>
        </is>
      </c>
      <c r="AX66" t="inlineStr">
        <is>
          <t>无</t>
        </is>
      </c>
      <c r="AY66" t="inlineStr">
        <is>
          <t xml:space="preserve"> </t>
        </is>
      </c>
      <c r="AZ66" t="inlineStr">
        <is>
          <t xml:space="preserve"> </t>
        </is>
      </c>
      <c r="BA66" t="n">
        <v>0.8090000000000001</v>
      </c>
      <c r="BB66" t="n">
        <v>0</v>
      </c>
      <c r="BC66" t="inlineStr">
        <is>
          <t>缺省券商</t>
        </is>
      </c>
      <c r="BD66" t="inlineStr">
        <is>
          <t>交易所业务</t>
        </is>
      </c>
      <c r="BE66" t="inlineStr">
        <is>
          <t>不是ETF补券指令</t>
        </is>
      </c>
      <c r="BF66" t="inlineStr">
        <is>
          <t>-1,845,000.00</t>
        </is>
      </c>
      <c r="BG66" t="n">
        <v>0</v>
      </c>
      <c r="BH66" t="inlineStr">
        <is>
          <t>非强平</t>
        </is>
      </c>
      <c r="BI66" t="inlineStr">
        <is>
          <t>顾吟湫</t>
        </is>
      </c>
      <c r="BJ66" t="inlineStr">
        <is>
          <t>否</t>
        </is>
      </c>
      <c r="BK66" t="inlineStr">
        <is>
          <t>增强限价盘</t>
        </is>
      </c>
      <c r="BL66" t="n">
        <v/>
      </c>
      <c r="BM66" t="n">
        <v>0</v>
      </c>
      <c r="BN66" t="n">
        <v>0</v>
      </c>
      <c r="BO66" t="inlineStr">
        <is>
          <t>股票</t>
        </is>
      </c>
      <c r="BP66" t="n">
        <v/>
      </c>
      <c r="BQ66" t="n">
        <v/>
      </c>
      <c r="BR66" t="n">
        <v>0</v>
      </c>
      <c r="BS66" t="inlineStr">
        <is>
          <t>已成交</t>
        </is>
      </c>
    </row>
    <row r="67">
      <c r="A67" t="n">
        <v>66</v>
      </c>
      <c r="B67" t="inlineStr">
        <is>
          <t>2026-03-18</t>
        </is>
      </c>
      <c r="C67" t="n">
        <v>3008</v>
      </c>
      <c r="D67" t="inlineStr">
        <is>
          <t>自营权益4</t>
        </is>
      </c>
      <c r="E67" t="n">
        <v>3008</v>
      </c>
      <c r="F67" t="n">
        <v>600908</v>
      </c>
      <c r="G67" t="inlineStr">
        <is>
          <t>无锡银行</t>
        </is>
      </c>
      <c r="H67" t="inlineStr">
        <is>
          <t>买入</t>
        </is>
      </c>
      <c r="I67" t="n">
        <v>5.97</v>
      </c>
      <c r="J67" t="n">
        <v>5.98</v>
      </c>
      <c r="K67" t="n">
        <v>110000</v>
      </c>
      <c r="L67" t="n">
        <v>657500</v>
      </c>
      <c r="M67" t="n">
        <v>55</v>
      </c>
      <c r="N67" t="n">
        <v>5.97</v>
      </c>
      <c r="O67" t="n">
        <v>5.98</v>
      </c>
      <c r="P67" t="n">
        <v>5.977272727272728</v>
      </c>
      <c r="Q67" t="n">
        <v>5.977272727272728</v>
      </c>
      <c r="R67" t="n">
        <v>5.977272727272728</v>
      </c>
      <c r="S67" t="inlineStr">
        <is>
          <t>上交所A</t>
        </is>
      </c>
      <c r="T67" t="n">
        <v>13803400</v>
      </c>
      <c r="U67" t="n">
        <v>0.7969000000000001</v>
      </c>
      <c r="V67" t="n">
        <v>82568931</v>
      </c>
      <c r="W67" t="n">
        <v>300821</v>
      </c>
      <c r="X67" t="inlineStr">
        <is>
          <t>自营权益4（场内）</t>
        </is>
      </c>
      <c r="Y67" t="n">
        <v>110000</v>
      </c>
      <c r="Z67" t="n">
        <v>6.04</v>
      </c>
      <c r="AA67" t="n">
        <v>5.95</v>
      </c>
      <c r="AB67" t="n">
        <v>2</v>
      </c>
      <c r="AC67" t="inlineStr">
        <is>
          <t>叶盛</t>
        </is>
      </c>
      <c r="AD67" t="inlineStr">
        <is>
          <t>股票资产</t>
        </is>
      </c>
      <c r="AE67" t="n">
        <v>-0.995</v>
      </c>
      <c r="AF67" t="n">
        <v>0.7963</v>
      </c>
      <c r="AG67" t="n">
        <v>0.0752</v>
      </c>
      <c r="AH67" t="n">
        <v>110000</v>
      </c>
      <c r="AI67" t="n">
        <v>46</v>
      </c>
      <c r="AJ67" t="inlineStr">
        <is>
          <t>自营权益4（场内）</t>
        </is>
      </c>
      <c r="AK67" t="inlineStr">
        <is>
          <t>人民币</t>
        </is>
      </c>
      <c r="AL67" t="n">
        <v>40878</v>
      </c>
      <c r="AM67" t="n">
        <v/>
      </c>
      <c r="AN67" t="n">
        <v>30082</v>
      </c>
      <c r="AO67" t="n">
        <v/>
      </c>
      <c r="AP67" t="inlineStr">
        <is>
          <t>顾吟湫</t>
        </is>
      </c>
      <c r="AQ67" t="inlineStr">
        <is>
          <t>人民币</t>
        </is>
      </c>
      <c r="AR67" t="n">
        <v>657500</v>
      </c>
      <c r="AS67" t="n">
        <v/>
      </c>
      <c r="AT67" t="n">
        <v/>
      </c>
      <c r="AU67" t="n">
        <v/>
      </c>
      <c r="AV67" t="n">
        <v/>
      </c>
      <c r="AW67" t="n">
        <v/>
      </c>
      <c r="AX67" t="inlineStr">
        <is>
          <t>无</t>
        </is>
      </c>
      <c r="AY67" t="inlineStr">
        <is>
          <t xml:space="preserve"> </t>
        </is>
      </c>
      <c r="AZ67" t="inlineStr">
        <is>
          <t xml:space="preserve"> </t>
        </is>
      </c>
      <c r="BA67" t="n">
        <v>0.3306</v>
      </c>
      <c r="BB67" t="n">
        <v>0</v>
      </c>
      <c r="BC67" t="inlineStr">
        <is>
          <t>缺省券商</t>
        </is>
      </c>
      <c r="BD67" t="inlineStr">
        <is>
          <t>交易所业务</t>
        </is>
      </c>
      <c r="BE67" t="inlineStr">
        <is>
          <t>不是ETF补券指令</t>
        </is>
      </c>
      <c r="BF67" t="inlineStr">
        <is>
          <t>-657,500.00</t>
        </is>
      </c>
      <c r="BG67" t="n">
        <v>6.03</v>
      </c>
      <c r="BH67" t="inlineStr">
        <is>
          <t>非强平</t>
        </is>
      </c>
      <c r="BI67" t="inlineStr">
        <is>
          <t>顾吟湫</t>
        </is>
      </c>
      <c r="BJ67" t="inlineStr">
        <is>
          <t>否</t>
        </is>
      </c>
      <c r="BK67" t="inlineStr">
        <is>
          <t>限价</t>
        </is>
      </c>
      <c r="BL67" t="n">
        <v/>
      </c>
      <c r="BM67" t="n">
        <v>0</v>
      </c>
      <c r="BN67" t="n">
        <v>426.9833333333333</v>
      </c>
      <c r="BO67" t="inlineStr">
        <is>
          <t>股票</t>
        </is>
      </c>
      <c r="BP67" t="n">
        <v/>
      </c>
      <c r="BQ67" t="n">
        <v/>
      </c>
      <c r="BR67" t="n">
        <v>0</v>
      </c>
      <c r="BS67" t="inlineStr">
        <is>
          <t>已成交</t>
        </is>
      </c>
    </row>
    <row r="68">
      <c r="A68" t="n">
        <v>67</v>
      </c>
      <c r="B68" t="inlineStr">
        <is>
          <t>2026-03-18</t>
        </is>
      </c>
      <c r="C68" t="n">
        <v>3008</v>
      </c>
      <c r="D68" t="inlineStr">
        <is>
          <t>自营权益4</t>
        </is>
      </c>
      <c r="E68" t="n">
        <v>3008</v>
      </c>
      <c r="F68" t="n">
        <v>601577</v>
      </c>
      <c r="G68" t="inlineStr">
        <is>
          <t>长沙银行</t>
        </is>
      </c>
      <c r="H68" t="inlineStr">
        <is>
          <t>买入</t>
        </is>
      </c>
      <c r="I68" t="n">
        <v>9.94</v>
      </c>
      <c r="J68" t="n">
        <v>9.949999999999999</v>
      </c>
      <c r="K68" t="n">
        <v>48000</v>
      </c>
      <c r="L68" t="n">
        <v>478560</v>
      </c>
      <c r="M68" t="n">
        <v>37</v>
      </c>
      <c r="N68" t="n">
        <v>9.970000000000001</v>
      </c>
      <c r="O68" t="n">
        <v>9.970000000000001</v>
      </c>
      <c r="P68" t="n">
        <v>9.970000000000001</v>
      </c>
      <c r="Q68" t="n">
        <v>9.970000000000001</v>
      </c>
      <c r="R68" t="n">
        <v>9.970000000000001</v>
      </c>
      <c r="S68" t="inlineStr">
        <is>
          <t>上交所A</t>
        </is>
      </c>
      <c r="T68" t="n">
        <v>14700955</v>
      </c>
      <c r="U68" t="n">
        <v>0.3265</v>
      </c>
      <c r="V68" t="n">
        <v>146297022</v>
      </c>
      <c r="W68" t="n">
        <v>300821</v>
      </c>
      <c r="X68" t="inlineStr">
        <is>
          <t>自营权益4（场内）</t>
        </is>
      </c>
      <c r="Y68" t="n">
        <v>48000</v>
      </c>
      <c r="Z68" t="n">
        <v>10.03</v>
      </c>
      <c r="AA68" t="n">
        <v>9.880000000000001</v>
      </c>
      <c r="AB68" t="n">
        <v>1</v>
      </c>
      <c r="AC68" t="inlineStr">
        <is>
          <t>叶盛</t>
        </is>
      </c>
      <c r="AD68" t="inlineStr">
        <is>
          <t>股票资产</t>
        </is>
      </c>
      <c r="AE68" t="n">
        <v>-0.6993</v>
      </c>
      <c r="AF68" t="n">
        <v>0.3271</v>
      </c>
      <c r="AG68" t="n">
        <v>-0.1859</v>
      </c>
      <c r="AH68" t="n">
        <v>48000</v>
      </c>
      <c r="AI68" t="n">
        <v>46</v>
      </c>
      <c r="AJ68" t="inlineStr">
        <is>
          <t>自营权益4（场内）</t>
        </is>
      </c>
      <c r="AK68" t="inlineStr">
        <is>
          <t>人民币</t>
        </is>
      </c>
      <c r="AL68" t="n">
        <v>40878</v>
      </c>
      <c r="AM68" t="n">
        <v/>
      </c>
      <c r="AN68" t="n">
        <v>30082</v>
      </c>
      <c r="AO68" t="n">
        <v/>
      </c>
      <c r="AP68" t="inlineStr">
        <is>
          <t>顾吟湫</t>
        </is>
      </c>
      <c r="AQ68" t="inlineStr">
        <is>
          <t>人民币</t>
        </is>
      </c>
      <c r="AR68" t="n">
        <v>478560</v>
      </c>
      <c r="AS68" t="n">
        <v/>
      </c>
      <c r="AT68" t="n">
        <v/>
      </c>
      <c r="AU68" t="n">
        <v/>
      </c>
      <c r="AV68" t="n">
        <v/>
      </c>
      <c r="AW68" t="n">
        <v/>
      </c>
      <c r="AX68" t="inlineStr">
        <is>
          <t>无</t>
        </is>
      </c>
      <c r="AY68" t="inlineStr">
        <is>
          <t xml:space="preserve"> </t>
        </is>
      </c>
      <c r="AZ68" t="inlineStr">
        <is>
          <t xml:space="preserve"> </t>
        </is>
      </c>
      <c r="BA68" t="n">
        <v>0.2406</v>
      </c>
      <c r="BB68" t="n">
        <v>0</v>
      </c>
      <c r="BC68" t="inlineStr">
        <is>
          <t>缺省券商</t>
        </is>
      </c>
      <c r="BD68" t="inlineStr">
        <is>
          <t>交易所业务</t>
        </is>
      </c>
      <c r="BE68" t="inlineStr">
        <is>
          <t>不是ETF补券指令</t>
        </is>
      </c>
      <c r="BF68" t="inlineStr">
        <is>
          <t>-478,560.00</t>
        </is>
      </c>
      <c r="BG68" t="n">
        <v>10.01</v>
      </c>
      <c r="BH68" t="inlineStr">
        <is>
          <t>非强平</t>
        </is>
      </c>
      <c r="BI68" t="inlineStr">
        <is>
          <t>顾吟湫</t>
        </is>
      </c>
      <c r="BJ68" t="inlineStr">
        <is>
          <t>否</t>
        </is>
      </c>
      <c r="BK68" t="inlineStr">
        <is>
          <t>限价</t>
        </is>
      </c>
      <c r="BL68" t="n">
        <v/>
      </c>
      <c r="BM68" t="n">
        <v>0</v>
      </c>
      <c r="BN68" t="n">
        <v>7.466666666666667</v>
      </c>
      <c r="BO68" t="inlineStr">
        <is>
          <t>股票</t>
        </is>
      </c>
      <c r="BP68" t="n">
        <v/>
      </c>
      <c r="BQ68" t="n">
        <v/>
      </c>
      <c r="BR68" t="n">
        <v>0</v>
      </c>
      <c r="BS68" t="inlineStr">
        <is>
          <t>已成交</t>
        </is>
      </c>
    </row>
    <row r="69">
      <c r="A69" t="n">
        <v>68</v>
      </c>
      <c r="B69" t="inlineStr">
        <is>
          <t>2026-03-18</t>
        </is>
      </c>
      <c r="C69" t="n">
        <v>3008</v>
      </c>
      <c r="D69" t="inlineStr">
        <is>
          <t>自营权益4</t>
        </is>
      </c>
      <c r="E69" t="n">
        <v>3008</v>
      </c>
      <c r="F69" t="n">
        <v>2807</v>
      </c>
      <c r="G69" t="inlineStr">
        <is>
          <t>江阴银行</t>
        </is>
      </c>
      <c r="H69" t="inlineStr">
        <is>
          <t>买入</t>
        </is>
      </c>
      <c r="I69" t="n">
        <v>4.65</v>
      </c>
      <c r="J69" t="n">
        <v>4.65</v>
      </c>
      <c r="K69" t="n">
        <v>96000</v>
      </c>
      <c r="L69" t="n">
        <v>446400</v>
      </c>
      <c r="M69" t="n">
        <v>1</v>
      </c>
      <c r="N69" t="n">
        <v>4.65</v>
      </c>
      <c r="O69" t="n">
        <v>4.65</v>
      </c>
      <c r="P69" t="n">
        <v>4.65</v>
      </c>
      <c r="Q69" t="n">
        <v>4.65</v>
      </c>
      <c r="R69" t="n">
        <v>4.65</v>
      </c>
      <c r="S69" t="inlineStr">
        <is>
          <t>深交所A</t>
        </is>
      </c>
      <c r="T69" t="n">
        <v>47604195</v>
      </c>
      <c r="U69" t="n">
        <v>0.2017</v>
      </c>
      <c r="V69" t="n">
        <v>221527555.8</v>
      </c>
      <c r="W69" t="n">
        <v>300821</v>
      </c>
      <c r="X69" t="inlineStr">
        <is>
          <t>自营权益4（场内）</t>
        </is>
      </c>
      <c r="Y69" t="n">
        <v>96000</v>
      </c>
      <c r="Z69" t="n">
        <v>4.71</v>
      </c>
      <c r="AA69" t="n">
        <v>4.62</v>
      </c>
      <c r="AB69" t="n">
        <v>2</v>
      </c>
      <c r="AC69" t="inlineStr">
        <is>
          <t>叶盛</t>
        </is>
      </c>
      <c r="AD69" t="inlineStr">
        <is>
          <t>股票资产</t>
        </is>
      </c>
      <c r="AE69" t="n">
        <v>-1.2739</v>
      </c>
      <c r="AF69" t="n">
        <v>0.2015</v>
      </c>
      <c r="AG69" t="n">
        <v>0.0752</v>
      </c>
      <c r="AH69" t="n">
        <v>96000</v>
      </c>
      <c r="AI69" t="n">
        <v>46</v>
      </c>
      <c r="AJ69" t="inlineStr">
        <is>
          <t>自营权益4（场内）</t>
        </is>
      </c>
      <c r="AK69" t="inlineStr">
        <is>
          <t>人民币</t>
        </is>
      </c>
      <c r="AL69" t="n">
        <v>6111</v>
      </c>
      <c r="AM69" t="n">
        <v/>
      </c>
      <c r="AN69" t="n">
        <v>30082</v>
      </c>
      <c r="AO69" t="n">
        <v/>
      </c>
      <c r="AP69" t="inlineStr">
        <is>
          <t>顾吟湫</t>
        </is>
      </c>
      <c r="AQ69" t="inlineStr">
        <is>
          <t>人民币</t>
        </is>
      </c>
      <c r="AR69" t="n">
        <v>446400</v>
      </c>
      <c r="AS69" t="n">
        <v/>
      </c>
      <c r="AT69" t="n">
        <v/>
      </c>
      <c r="AU69" t="n">
        <v/>
      </c>
      <c r="AV69" t="n">
        <v/>
      </c>
      <c r="AW69" t="n">
        <v/>
      </c>
      <c r="AX69" t="inlineStr">
        <is>
          <t>无</t>
        </is>
      </c>
      <c r="AY69" t="inlineStr">
        <is>
          <t xml:space="preserve"> </t>
        </is>
      </c>
      <c r="AZ69" t="inlineStr">
        <is>
          <t xml:space="preserve"> </t>
        </is>
      </c>
      <c r="BA69" t="n">
        <v>0.2245</v>
      </c>
      <c r="BB69" t="n">
        <v>0</v>
      </c>
      <c r="BC69" t="inlineStr">
        <is>
          <t>缺省券商</t>
        </is>
      </c>
      <c r="BD69" t="inlineStr">
        <is>
          <t>交易所业务</t>
        </is>
      </c>
      <c r="BE69" t="inlineStr">
        <is>
          <t>不是ETF补券指令</t>
        </is>
      </c>
      <c r="BF69" t="inlineStr">
        <is>
          <t>-446,400.00</t>
        </is>
      </c>
      <c r="BG69" t="n">
        <v>4.7</v>
      </c>
      <c r="BH69" t="inlineStr">
        <is>
          <t>非强平</t>
        </is>
      </c>
      <c r="BI69" t="inlineStr">
        <is>
          <t>顾吟湫</t>
        </is>
      </c>
      <c r="BJ69" t="inlineStr">
        <is>
          <t>否</t>
        </is>
      </c>
      <c r="BK69" t="inlineStr">
        <is>
          <t>限价</t>
        </is>
      </c>
      <c r="BL69" t="n">
        <v/>
      </c>
      <c r="BM69" t="n">
        <v>0</v>
      </c>
      <c r="BN69" t="n">
        <v>3.95</v>
      </c>
      <c r="BO69" t="inlineStr">
        <is>
          <t>股票</t>
        </is>
      </c>
      <c r="BP69" t="n">
        <v/>
      </c>
      <c r="BQ69" t="n">
        <v/>
      </c>
      <c r="BR69" t="n">
        <v>0</v>
      </c>
      <c r="BS69" t="inlineStr">
        <is>
          <t>已成交</t>
        </is>
      </c>
    </row>
    <row r="70">
      <c r="A70" t="n">
        <v>69</v>
      </c>
      <c r="B70" t="inlineStr">
        <is>
          <t>2026-03-18</t>
        </is>
      </c>
      <c r="C70" t="n">
        <v>3008</v>
      </c>
      <c r="D70" t="inlineStr">
        <is>
          <t>自营权益4</t>
        </is>
      </c>
      <c r="E70" t="n">
        <v>3008</v>
      </c>
      <c r="F70" t="n">
        <v>2839</v>
      </c>
      <c r="G70" t="inlineStr">
        <is>
          <t>张家港行</t>
        </is>
      </c>
      <c r="H70" t="inlineStr">
        <is>
          <t>买入</t>
        </is>
      </c>
      <c r="I70" t="n">
        <v>4.62</v>
      </c>
      <c r="J70" t="n">
        <v>4.63</v>
      </c>
      <c r="K70" t="n">
        <v>96000</v>
      </c>
      <c r="L70" t="n">
        <v>443520</v>
      </c>
      <c r="M70" t="n">
        <v>6</v>
      </c>
      <c r="N70" t="n">
        <v>4.62</v>
      </c>
      <c r="O70" t="n">
        <v>4.62</v>
      </c>
      <c r="P70" t="n">
        <v>4.62</v>
      </c>
      <c r="Q70" t="n">
        <v>4.62</v>
      </c>
      <c r="R70" t="n">
        <v>4.62</v>
      </c>
      <c r="S70" t="inlineStr">
        <is>
          <t>深交所A</t>
        </is>
      </c>
      <c r="T70" t="n">
        <v>28631590</v>
      </c>
      <c r="U70" t="n">
        <v>0.3353</v>
      </c>
      <c r="V70" t="n">
        <v>132577594.4</v>
      </c>
      <c r="W70" t="n">
        <v>300821</v>
      </c>
      <c r="X70" t="inlineStr">
        <is>
          <t>自营权益4（场内）</t>
        </is>
      </c>
      <c r="Y70" t="n">
        <v>96000</v>
      </c>
      <c r="Z70" t="n">
        <v>4.68</v>
      </c>
      <c r="AA70" t="n">
        <v>4.59</v>
      </c>
      <c r="AB70" t="n">
        <v>2</v>
      </c>
      <c r="AC70" t="inlineStr">
        <is>
          <t>叶盛</t>
        </is>
      </c>
      <c r="AD70" t="inlineStr">
        <is>
          <t>股票资产</t>
        </is>
      </c>
      <c r="AE70" t="n">
        <v>-1.0707</v>
      </c>
      <c r="AF70" t="n">
        <v>0.3345</v>
      </c>
      <c r="AG70" t="n">
        <v>0.2268</v>
      </c>
      <c r="AH70" t="n">
        <v>96000</v>
      </c>
      <c r="AI70" t="n">
        <v>46</v>
      </c>
      <c r="AJ70" t="inlineStr">
        <is>
          <t>自营权益4（场内）</t>
        </is>
      </c>
      <c r="AK70" t="inlineStr">
        <is>
          <t>人民币</t>
        </is>
      </c>
      <c r="AL70" t="n">
        <v>6111</v>
      </c>
      <c r="AM70" t="n">
        <v/>
      </c>
      <c r="AN70" t="n">
        <v>30082</v>
      </c>
      <c r="AO70" t="n">
        <v/>
      </c>
      <c r="AP70" t="inlineStr">
        <is>
          <t>顾吟湫</t>
        </is>
      </c>
      <c r="AQ70" t="inlineStr">
        <is>
          <t>人民币</t>
        </is>
      </c>
      <c r="AR70" t="n">
        <v>443520</v>
      </c>
      <c r="AS70" t="n">
        <v/>
      </c>
      <c r="AT70" t="n">
        <v/>
      </c>
      <c r="AU70" t="n">
        <v/>
      </c>
      <c r="AV70" t="n">
        <v/>
      </c>
      <c r="AW70" t="n">
        <v/>
      </c>
      <c r="AX70" t="inlineStr">
        <is>
          <t>无</t>
        </is>
      </c>
      <c r="AY70" t="inlineStr">
        <is>
          <t xml:space="preserve"> </t>
        </is>
      </c>
      <c r="AZ70" t="inlineStr">
        <is>
          <t xml:space="preserve"> </t>
        </is>
      </c>
      <c r="BA70" t="n">
        <v>0.223</v>
      </c>
      <c r="BB70" t="n">
        <v>0</v>
      </c>
      <c r="BC70" t="inlineStr">
        <is>
          <t>缺省券商</t>
        </is>
      </c>
      <c r="BD70" t="inlineStr">
        <is>
          <t>交易所业务</t>
        </is>
      </c>
      <c r="BE70" t="inlineStr">
        <is>
          <t>不是ETF补券指令</t>
        </is>
      </c>
      <c r="BF70" t="inlineStr">
        <is>
          <t>-443,520.00</t>
        </is>
      </c>
      <c r="BG70" t="n">
        <v>4.67</v>
      </c>
      <c r="BH70" t="inlineStr">
        <is>
          <t>非强平</t>
        </is>
      </c>
      <c r="BI70" t="inlineStr">
        <is>
          <t>顾吟湫</t>
        </is>
      </c>
      <c r="BJ70" t="inlineStr">
        <is>
          <t>否</t>
        </is>
      </c>
      <c r="BK70" t="inlineStr">
        <is>
          <t>限价</t>
        </is>
      </c>
      <c r="BL70" t="n">
        <v/>
      </c>
      <c r="BM70" t="n">
        <v>0</v>
      </c>
      <c r="BN70" t="n">
        <v>29.9</v>
      </c>
      <c r="BO70" t="inlineStr">
        <is>
          <t>股票</t>
        </is>
      </c>
      <c r="BP70" t="n">
        <v/>
      </c>
      <c r="BQ70" t="n">
        <v/>
      </c>
      <c r="BR70" t="n">
        <v>0</v>
      </c>
      <c r="BS70" t="inlineStr">
        <is>
          <t>已成交</t>
        </is>
      </c>
    </row>
    <row r="71">
      <c r="A71" t="n">
        <v>70</v>
      </c>
      <c r="B71" t="inlineStr">
        <is>
          <t>2026-03-18</t>
        </is>
      </c>
      <c r="C71" t="n">
        <v>3008</v>
      </c>
      <c r="D71" t="inlineStr">
        <is>
          <t>自营权益4</t>
        </is>
      </c>
      <c r="E71" t="n">
        <v>3008</v>
      </c>
      <c r="F71" t="n">
        <v>2020</v>
      </c>
      <c r="G71" t="inlineStr">
        <is>
          <t>安踏体育</t>
        </is>
      </c>
      <c r="H71" t="inlineStr">
        <is>
          <t>买入</t>
        </is>
      </c>
      <c r="I71" t="n">
        <v>78.65000000000001</v>
      </c>
      <c r="J71" t="n">
        <v>78.68000000000001</v>
      </c>
      <c r="K71" t="n">
        <v>10000</v>
      </c>
      <c r="L71" t="n">
        <v>786000</v>
      </c>
      <c r="M71" t="n">
        <v>27</v>
      </c>
      <c r="N71" t="n">
        <v>78.55</v>
      </c>
      <c r="O71" t="n">
        <v>78.65000000000001</v>
      </c>
      <c r="P71" t="n">
        <v>78.59999999999999</v>
      </c>
      <c r="Q71" t="n">
        <v>78.59999999999999</v>
      </c>
      <c r="R71" t="n">
        <v>78.59999999999999</v>
      </c>
      <c r="S71" t="inlineStr">
        <is>
          <t>港股通（深）</t>
        </is>
      </c>
      <c r="T71" t="n">
        <v>3465076</v>
      </c>
      <c r="U71" t="n">
        <v>0.2886</v>
      </c>
      <c r="V71" t="n">
        <v>272639010.85</v>
      </c>
      <c r="W71" t="n">
        <v>300841</v>
      </c>
      <c r="X71" t="inlineStr">
        <is>
          <t>自营权益4（深港）</t>
        </is>
      </c>
      <c r="Y71" t="n">
        <v>10000</v>
      </c>
      <c r="Z71" t="n">
        <v>79.95</v>
      </c>
      <c r="AA71" t="n">
        <v>78.05</v>
      </c>
      <c r="AB71" t="n">
        <v>2</v>
      </c>
      <c r="AC71" t="inlineStr">
        <is>
          <t>叶盛</t>
        </is>
      </c>
      <c r="AD71" t="inlineStr">
        <is>
          <t>股票资产</t>
        </is>
      </c>
      <c r="AE71" t="n">
        <v>-1.2555</v>
      </c>
      <c r="AF71" t="n">
        <v>0.2883</v>
      </c>
      <c r="AG71" t="n">
        <v>0.1042</v>
      </c>
      <c r="AH71" t="n">
        <v>10000</v>
      </c>
      <c r="AI71" t="n">
        <v>53</v>
      </c>
      <c r="AJ71" t="inlineStr">
        <is>
          <t>自营权益4（深港）</t>
        </is>
      </c>
      <c r="AK71" t="inlineStr">
        <is>
          <t>人民币</t>
        </is>
      </c>
      <c r="AL71" t="n">
        <v>6111</v>
      </c>
      <c r="AM71" t="n">
        <v/>
      </c>
      <c r="AN71" t="n">
        <v>30084</v>
      </c>
      <c r="AO71" t="n">
        <v/>
      </c>
      <c r="AP71" t="inlineStr">
        <is>
          <t>顾吟湫</t>
        </is>
      </c>
      <c r="AQ71" t="inlineStr">
        <is>
          <t>人民币</t>
        </is>
      </c>
      <c r="AR71" t="n">
        <v>690791.89</v>
      </c>
      <c r="AS71" t="n">
        <v/>
      </c>
      <c r="AT71" t="n">
        <v/>
      </c>
      <c r="AU71" t="n">
        <v/>
      </c>
      <c r="AV71" t="n">
        <v/>
      </c>
      <c r="AW71" t="inlineStr">
        <is>
          <t>KYG040111059</t>
        </is>
      </c>
      <c r="AX71" t="inlineStr">
        <is>
          <t>无</t>
        </is>
      </c>
      <c r="AY71" t="inlineStr">
        <is>
          <t xml:space="preserve"> </t>
        </is>
      </c>
      <c r="AZ71" t="inlineStr">
        <is>
          <t xml:space="preserve"> </t>
        </is>
      </c>
      <c r="BA71" t="n">
        <v>0.3473</v>
      </c>
      <c r="BB71" t="n">
        <v>0</v>
      </c>
      <c r="BC71" t="inlineStr">
        <is>
          <t>缺省券商</t>
        </is>
      </c>
      <c r="BD71" t="inlineStr">
        <is>
          <t>交易所业务</t>
        </is>
      </c>
      <c r="BE71" t="inlineStr">
        <is>
          <t>不是ETF补券指令</t>
        </is>
      </c>
      <c r="BF71" t="inlineStr">
        <is>
          <t>-786,000.00</t>
        </is>
      </c>
      <c r="BG71" t="n">
        <v>0</v>
      </c>
      <c r="BH71" t="inlineStr">
        <is>
          <t>非强平</t>
        </is>
      </c>
      <c r="BI71" t="inlineStr">
        <is>
          <t>顾吟湫</t>
        </is>
      </c>
      <c r="BJ71" t="inlineStr">
        <is>
          <t>否</t>
        </is>
      </c>
      <c r="BK71" t="inlineStr">
        <is>
          <t>增强限价盘</t>
        </is>
      </c>
      <c r="BL71" t="n">
        <v/>
      </c>
      <c r="BM71" t="n">
        <v>0</v>
      </c>
      <c r="BN71" t="n">
        <v>0</v>
      </c>
      <c r="BO71" t="inlineStr">
        <is>
          <t>股票</t>
        </is>
      </c>
      <c r="BP71" t="n">
        <v/>
      </c>
      <c r="BQ71" t="n">
        <v/>
      </c>
      <c r="BR71" t="n">
        <v>0</v>
      </c>
      <c r="BS71" t="inlineStr">
        <is>
          <t>已成交</t>
        </is>
      </c>
    </row>
    <row r="72">
      <c r="A72" t="n">
        <v>71</v>
      </c>
      <c r="B72" t="inlineStr">
        <is>
          <t>2026-03-18</t>
        </is>
      </c>
      <c r="C72" t="n">
        <v>3008</v>
      </c>
      <c r="D72" t="inlineStr">
        <is>
          <t>自营权益4</t>
        </is>
      </c>
      <c r="E72" t="n">
        <v>3008</v>
      </c>
      <c r="F72" t="n">
        <v>3998</v>
      </c>
      <c r="G72" t="inlineStr">
        <is>
          <t>波司登</t>
        </is>
      </c>
      <c r="H72" t="inlineStr">
        <is>
          <t>买入</t>
        </is>
      </c>
      <c r="I72" t="n">
        <v>4.09</v>
      </c>
      <c r="J72" t="n">
        <v>4.09</v>
      </c>
      <c r="K72" t="n">
        <v>150000</v>
      </c>
      <c r="L72" t="n">
        <v>615500</v>
      </c>
      <c r="M72" t="n">
        <v>11</v>
      </c>
      <c r="N72" t="n">
        <v>4.1</v>
      </c>
      <c r="O72" t="n">
        <v>4.11</v>
      </c>
      <c r="P72" t="n">
        <v>4.103333333333333</v>
      </c>
      <c r="Q72" t="n">
        <v>4.103333333333333</v>
      </c>
      <c r="R72" t="n">
        <v>4.103333333333333</v>
      </c>
      <c r="S72" t="inlineStr">
        <is>
          <t>港股通（深）</t>
        </is>
      </c>
      <c r="T72" t="n">
        <v>19909328</v>
      </c>
      <c r="U72" t="n">
        <v>0.7534</v>
      </c>
      <c r="V72" t="n">
        <v>81438578</v>
      </c>
      <c r="W72" t="n">
        <v>300841</v>
      </c>
      <c r="X72" t="inlineStr">
        <is>
          <t>自营权益4（深港）</t>
        </is>
      </c>
      <c r="Y72" t="n">
        <v>150000</v>
      </c>
      <c r="Z72" t="n">
        <v>4.14</v>
      </c>
      <c r="AA72" t="n">
        <v>4.06</v>
      </c>
      <c r="AB72" t="n">
        <v>3</v>
      </c>
      <c r="AC72" t="inlineStr">
        <is>
          <t>叶盛</t>
        </is>
      </c>
      <c r="AD72" t="inlineStr">
        <is>
          <t>股票资产</t>
        </is>
      </c>
      <c r="AE72" t="n">
        <v>-0.7282</v>
      </c>
      <c r="AF72" t="n">
        <v>0.7558</v>
      </c>
      <c r="AG72" t="n">
        <v>-0.3129</v>
      </c>
      <c r="AH72" t="n">
        <v>150000</v>
      </c>
      <c r="AI72" t="n">
        <v>53</v>
      </c>
      <c r="AJ72" t="inlineStr">
        <is>
          <t>自营权益4（深港）</t>
        </is>
      </c>
      <c r="AK72" t="inlineStr">
        <is>
          <t>人民币</t>
        </is>
      </c>
      <c r="AL72" t="n">
        <v>6111</v>
      </c>
      <c r="AM72" t="n">
        <v/>
      </c>
      <c r="AN72" t="n">
        <v>30084</v>
      </c>
      <c r="AO72" t="n">
        <v/>
      </c>
      <c r="AP72" t="inlineStr">
        <is>
          <t>混合</t>
        </is>
      </c>
      <c r="AQ72" t="inlineStr">
        <is>
          <t>人民币</t>
        </is>
      </c>
      <c r="AR72" t="n">
        <v>540944.47</v>
      </c>
      <c r="AS72" t="n">
        <v/>
      </c>
      <c r="AT72" t="n">
        <v/>
      </c>
      <c r="AU72" t="n">
        <v/>
      </c>
      <c r="AV72" t="n">
        <v/>
      </c>
      <c r="AW72" t="inlineStr">
        <is>
          <t>KYG126521064</t>
        </is>
      </c>
      <c r="AX72" t="inlineStr">
        <is>
          <t>无</t>
        </is>
      </c>
      <c r="AY72" t="inlineStr">
        <is>
          <t xml:space="preserve"> </t>
        </is>
      </c>
      <c r="AZ72" t="inlineStr">
        <is>
          <t xml:space="preserve"> </t>
        </is>
      </c>
      <c r="BA72" t="n">
        <v>0.272</v>
      </c>
      <c r="BB72" t="n">
        <v>0</v>
      </c>
      <c r="BC72" t="inlineStr">
        <is>
          <t>缺省券商</t>
        </is>
      </c>
      <c r="BD72" t="inlineStr">
        <is>
          <t>交易所业务</t>
        </is>
      </c>
      <c r="BE72" t="inlineStr">
        <is>
          <t>不是ETF补券指令</t>
        </is>
      </c>
      <c r="BF72" t="inlineStr">
        <is>
          <t>-615,500.00</t>
        </is>
      </c>
      <c r="BG72" t="n">
        <v>0</v>
      </c>
      <c r="BH72" t="inlineStr">
        <is>
          <t>非强平</t>
        </is>
      </c>
      <c r="BI72" t="inlineStr">
        <is>
          <t>混合</t>
        </is>
      </c>
      <c r="BJ72" t="inlineStr">
        <is>
          <t>否</t>
        </is>
      </c>
      <c r="BK72" t="inlineStr">
        <is>
          <t>增强限价盘</t>
        </is>
      </c>
      <c r="BL72" t="n">
        <v/>
      </c>
      <c r="BM72" t="n">
        <v>0</v>
      </c>
      <c r="BN72" t="n">
        <v>7.65</v>
      </c>
      <c r="BO72" t="inlineStr">
        <is>
          <t>股票</t>
        </is>
      </c>
      <c r="BP72" t="n">
        <v/>
      </c>
      <c r="BQ72" t="n">
        <v/>
      </c>
      <c r="BR72" t="n">
        <v>0</v>
      </c>
      <c r="BS72" t="inlineStr">
        <is>
          <t>已成交</t>
        </is>
      </c>
    </row>
    <row r="73">
      <c r="A73" t="n">
        <v>72</v>
      </c>
      <c r="B73" t="inlineStr">
        <is>
          <t>2026-03-19</t>
        </is>
      </c>
      <c r="C73" t="n">
        <v>3008</v>
      </c>
      <c r="D73" t="inlineStr">
        <is>
          <t>自营权益4</t>
        </is>
      </c>
      <c r="E73" t="n">
        <v>3008</v>
      </c>
      <c r="F73" t="n">
        <v>9985</v>
      </c>
      <c r="G73" t="inlineStr">
        <is>
          <t>卫龙美味</t>
        </is>
      </c>
      <c r="H73" t="inlineStr">
        <is>
          <t>买入</t>
        </is>
      </c>
      <c r="I73" t="n">
        <v>10.74</v>
      </c>
      <c r="J73" t="n">
        <v>10.77</v>
      </c>
      <c r="K73" t="n">
        <v>50000</v>
      </c>
      <c r="L73" t="n">
        <v>549500</v>
      </c>
      <c r="M73" t="n">
        <v>6</v>
      </c>
      <c r="N73" t="n">
        <v>10.99</v>
      </c>
      <c r="O73" t="n">
        <v>10.99</v>
      </c>
      <c r="P73" t="n">
        <v>10.99</v>
      </c>
      <c r="Q73" t="n">
        <v>10.99</v>
      </c>
      <c r="R73" t="n">
        <v>10.99</v>
      </c>
      <c r="S73" t="inlineStr">
        <is>
          <t>港股通（深）</t>
        </is>
      </c>
      <c r="T73" t="n">
        <v>8948800</v>
      </c>
      <c r="U73" t="n">
        <v>0.5587</v>
      </c>
      <c r="V73" t="n">
        <v>96375969</v>
      </c>
      <c r="W73" t="n">
        <v>300841</v>
      </c>
      <c r="X73" t="inlineStr">
        <is>
          <t>自营权益4（深港）</t>
        </is>
      </c>
      <c r="Y73" t="n">
        <v>50000</v>
      </c>
      <c r="Z73" t="n">
        <v>11.37</v>
      </c>
      <c r="AA73" t="n">
        <v>10.58</v>
      </c>
      <c r="AB73" t="n">
        <v>1</v>
      </c>
      <c r="AC73" t="inlineStr">
        <is>
          <t>叶盛</t>
        </is>
      </c>
      <c r="AD73" t="inlineStr">
        <is>
          <t>股票资产</t>
        </is>
      </c>
      <c r="AE73" t="n">
        <v>-5.5409</v>
      </c>
      <c r="AF73" t="n">
        <v>0.5702</v>
      </c>
      <c r="AG73" t="n">
        <v>-2.0456</v>
      </c>
      <c r="AH73" t="n">
        <v>50000</v>
      </c>
      <c r="AI73" t="n">
        <v>53</v>
      </c>
      <c r="AJ73" t="inlineStr">
        <is>
          <t>自营权益4（深港）</t>
        </is>
      </c>
      <c r="AK73" t="inlineStr">
        <is>
          <t>人民币</t>
        </is>
      </c>
      <c r="AL73" t="n">
        <v>6111</v>
      </c>
      <c r="AM73" t="n">
        <v/>
      </c>
      <c r="AN73" t="n">
        <v>30084</v>
      </c>
      <c r="AO73" t="n">
        <v/>
      </c>
      <c r="AP73" t="inlineStr">
        <is>
          <t>顾吟湫</t>
        </is>
      </c>
      <c r="AQ73" t="inlineStr">
        <is>
          <t>人民币</t>
        </is>
      </c>
      <c r="AR73" t="n">
        <v>482455.5</v>
      </c>
      <c r="AS73" t="n">
        <v/>
      </c>
      <c r="AT73" t="n">
        <v/>
      </c>
      <c r="AU73" t="n">
        <v/>
      </c>
      <c r="AV73" t="n">
        <v/>
      </c>
      <c r="AW73" t="inlineStr">
        <is>
          <t>KYG9T20T1051</t>
        </is>
      </c>
      <c r="AX73" t="inlineStr">
        <is>
          <t>无</t>
        </is>
      </c>
      <c r="AY73" t="inlineStr">
        <is>
          <t xml:space="preserve"> </t>
        </is>
      </c>
      <c r="AZ73" t="inlineStr">
        <is>
          <t xml:space="preserve"> </t>
        </is>
      </c>
      <c r="BA73" t="n">
        <v>0.2445</v>
      </c>
      <c r="BB73" t="n">
        <v>0</v>
      </c>
      <c r="BC73" t="inlineStr">
        <is>
          <t>缺省券商</t>
        </is>
      </c>
      <c r="BD73" t="inlineStr">
        <is>
          <t>交易所业务</t>
        </is>
      </c>
      <c r="BE73" t="inlineStr">
        <is>
          <t>不是ETF补券指令</t>
        </is>
      </c>
      <c r="BF73" t="inlineStr">
        <is>
          <t>-549,500.00</t>
        </is>
      </c>
      <c r="BG73" t="n">
        <v>0</v>
      </c>
      <c r="BH73" t="inlineStr">
        <is>
          <t>非强平</t>
        </is>
      </c>
      <c r="BI73" t="inlineStr">
        <is>
          <t>顾吟湫</t>
        </is>
      </c>
      <c r="BJ73" t="inlineStr">
        <is>
          <t>否</t>
        </is>
      </c>
      <c r="BK73" t="inlineStr">
        <is>
          <t>增强限价盘</t>
        </is>
      </c>
      <c r="BL73" t="n">
        <v/>
      </c>
      <c r="BM73" t="n">
        <v>0</v>
      </c>
      <c r="BN73" t="n">
        <v>9.283333333333333</v>
      </c>
      <c r="BO73" t="inlineStr">
        <is>
          <t>股票</t>
        </is>
      </c>
      <c r="BP73" t="n">
        <v/>
      </c>
      <c r="BQ73" t="n">
        <v/>
      </c>
      <c r="BR73" t="n">
        <v>0</v>
      </c>
      <c r="BS73" t="inlineStr">
        <is>
          <t>已成交</t>
        </is>
      </c>
    </row>
    <row r="74">
      <c r="A74" t="n">
        <v>73</v>
      </c>
      <c r="B74" t="inlineStr">
        <is>
          <t>2026-03-24</t>
        </is>
      </c>
      <c r="C74" t="n">
        <v>3008</v>
      </c>
      <c r="D74" t="inlineStr">
        <is>
          <t>自营权益4</t>
        </is>
      </c>
      <c r="E74" t="n">
        <v>3008</v>
      </c>
      <c r="F74" t="n">
        <v>1368</v>
      </c>
      <c r="G74" t="inlineStr">
        <is>
          <t>特步国际</t>
        </is>
      </c>
      <c r="H74" t="inlineStr">
        <is>
          <t>卖出</t>
        </is>
      </c>
      <c r="I74" t="n">
        <v>5.15</v>
      </c>
      <c r="J74" t="n">
        <v>5.11</v>
      </c>
      <c r="K74" t="n">
        <v>200000</v>
      </c>
      <c r="L74" t="n">
        <v>1032000</v>
      </c>
      <c r="M74" t="n">
        <v>31</v>
      </c>
      <c r="N74" t="n">
        <v>5.16</v>
      </c>
      <c r="O74" t="n">
        <v>5.16</v>
      </c>
      <c r="P74" t="n">
        <v>5.16</v>
      </c>
      <c r="Q74" t="n">
        <v>5.16</v>
      </c>
      <c r="R74" t="n">
        <v>5.16</v>
      </c>
      <c r="S74" t="inlineStr">
        <is>
          <t>港股通（深）</t>
        </is>
      </c>
      <c r="T74" t="n">
        <v>13763332</v>
      </c>
      <c r="U74" t="n">
        <v>1.4531</v>
      </c>
      <c r="V74" t="n">
        <v>70291515.3</v>
      </c>
      <c r="W74" t="n">
        <v>300841</v>
      </c>
      <c r="X74" t="inlineStr">
        <is>
          <t>自营权益4（深港）</t>
        </is>
      </c>
      <c r="Y74" t="n">
        <v>200000</v>
      </c>
      <c r="Z74" t="n">
        <v>5.2</v>
      </c>
      <c r="AA74" t="n">
        <v>4.91</v>
      </c>
      <c r="AB74" t="n">
        <v>1</v>
      </c>
      <c r="AC74" t="inlineStr">
        <is>
          <t>叶盛</t>
        </is>
      </c>
      <c r="AD74" t="inlineStr">
        <is>
          <t>股票资产</t>
        </is>
      </c>
      <c r="AE74" t="n">
        <v>4.4625</v>
      </c>
      <c r="AF74" t="n">
        <v>1.4682</v>
      </c>
      <c r="AG74" t="n">
        <v>1.0338</v>
      </c>
      <c r="AH74" t="n">
        <v>200000</v>
      </c>
      <c r="AI74" t="n">
        <v>53</v>
      </c>
      <c r="AJ74" t="inlineStr">
        <is>
          <t>自营权益4（深港）</t>
        </is>
      </c>
      <c r="AK74" t="inlineStr">
        <is>
          <t>人民币</t>
        </is>
      </c>
      <c r="AL74" t="n">
        <v>6111</v>
      </c>
      <c r="AM74" t="n">
        <v/>
      </c>
      <c r="AN74" t="n">
        <v>30084</v>
      </c>
      <c r="AO74" t="n">
        <v/>
      </c>
      <c r="AP74" t="inlineStr">
        <is>
          <t>顾吟湫</t>
        </is>
      </c>
      <c r="AQ74" t="inlineStr">
        <is>
          <t>人民币</t>
        </is>
      </c>
      <c r="AR74" t="n">
        <v>910296.23</v>
      </c>
      <c r="AS74" t="n">
        <v/>
      </c>
      <c r="AT74" t="n">
        <v/>
      </c>
      <c r="AU74" t="n">
        <v/>
      </c>
      <c r="AV74" t="n">
        <v/>
      </c>
      <c r="AW74" t="inlineStr">
        <is>
          <t>KYG982771092</t>
        </is>
      </c>
      <c r="AX74" t="inlineStr">
        <is>
          <t>无</t>
        </is>
      </c>
      <c r="AY74" t="inlineStr">
        <is>
          <t xml:space="preserve"> </t>
        </is>
      </c>
      <c r="AZ74" t="inlineStr">
        <is>
          <t xml:space="preserve"> </t>
        </is>
      </c>
      <c r="BA74" t="n">
        <v>0.4643</v>
      </c>
      <c r="BB74" t="n">
        <v>0</v>
      </c>
      <c r="BC74" t="inlineStr">
        <is>
          <t>缺省券商</t>
        </is>
      </c>
      <c r="BD74" t="inlineStr">
        <is>
          <t>交易所业务</t>
        </is>
      </c>
      <c r="BE74" t="inlineStr">
        <is>
          <t>不是ETF补券指令</t>
        </is>
      </c>
      <c r="BF74" t="inlineStr">
        <is>
          <t>1,032,000.00</t>
        </is>
      </c>
      <c r="BG74" t="n">
        <v>0</v>
      </c>
      <c r="BH74" t="inlineStr">
        <is>
          <t>非强平</t>
        </is>
      </c>
      <c r="BI74" t="inlineStr">
        <is>
          <t>顾吟湫</t>
        </is>
      </c>
      <c r="BJ74" t="inlineStr">
        <is>
          <t>否</t>
        </is>
      </c>
      <c r="BK74" t="inlineStr">
        <is>
          <t>增强限价盘</t>
        </is>
      </c>
      <c r="BL74" t="n">
        <v/>
      </c>
      <c r="BM74" t="n">
        <v>0</v>
      </c>
      <c r="BN74" t="n">
        <v>5.9</v>
      </c>
      <c r="BO74" t="inlineStr">
        <is>
          <t>股票</t>
        </is>
      </c>
      <c r="BP74" t="n">
        <v/>
      </c>
      <c r="BQ74" t="n">
        <v/>
      </c>
      <c r="BR74" t="n">
        <v>0</v>
      </c>
      <c r="BS74" t="inlineStr">
        <is>
          <t>已成交</t>
        </is>
      </c>
    </row>
    <row r="75">
      <c r="A75" t="n">
        <v>74</v>
      </c>
      <c r="B75" t="inlineStr">
        <is>
          <t>2026-03-24</t>
        </is>
      </c>
      <c r="C75" t="n">
        <v>3008</v>
      </c>
      <c r="D75" t="inlineStr">
        <is>
          <t>自营权益4</t>
        </is>
      </c>
      <c r="E75" t="n">
        <v>3008</v>
      </c>
      <c r="F75" t="n">
        <v>9985</v>
      </c>
      <c r="G75" t="inlineStr">
        <is>
          <t>卫龙美味</t>
        </is>
      </c>
      <c r="H75" t="inlineStr">
        <is>
          <t>买入</t>
        </is>
      </c>
      <c r="I75" t="n">
        <v>10.48</v>
      </c>
      <c r="J75" t="n">
        <v>10.29</v>
      </c>
      <c r="K75" t="n">
        <v>100000</v>
      </c>
      <c r="L75" t="n">
        <v>1046716</v>
      </c>
      <c r="M75" t="n">
        <v>14</v>
      </c>
      <c r="N75" t="n">
        <v>10.44</v>
      </c>
      <c r="O75" t="n">
        <v>10.47</v>
      </c>
      <c r="P75" t="n">
        <v>10.46716</v>
      </c>
      <c r="Q75" t="n">
        <v>10.46716</v>
      </c>
      <c r="R75" t="n">
        <v>10.46716</v>
      </c>
      <c r="S75" t="inlineStr">
        <is>
          <t>港股通（深）</t>
        </is>
      </c>
      <c r="T75" t="n">
        <v>3433600</v>
      </c>
      <c r="U75" t="n">
        <v>2.9124</v>
      </c>
      <c r="V75" t="n">
        <v>35325154</v>
      </c>
      <c r="W75" t="n">
        <v>300841</v>
      </c>
      <c r="X75" t="inlineStr">
        <is>
          <t>自营权益4（深港）</t>
        </is>
      </c>
      <c r="Y75" t="n">
        <v>100000</v>
      </c>
      <c r="Z75" t="n">
        <v>10.52</v>
      </c>
      <c r="AA75" t="n">
        <v>10.06</v>
      </c>
      <c r="AB75" t="n">
        <v>4</v>
      </c>
      <c r="AC75" t="inlineStr">
        <is>
          <t>叶盛</t>
        </is>
      </c>
      <c r="AD75" t="inlineStr">
        <is>
          <t>股票资产</t>
        </is>
      </c>
      <c r="AE75" t="n">
        <v>3.0482</v>
      </c>
      <c r="AF75" t="n">
        <v>2.9631</v>
      </c>
      <c r="AG75" t="n">
        <v>-1.7408</v>
      </c>
      <c r="AH75" t="n">
        <v>100000</v>
      </c>
      <c r="AI75" t="n">
        <v>53</v>
      </c>
      <c r="AJ75" t="inlineStr">
        <is>
          <t>自营权益4（深港）</t>
        </is>
      </c>
      <c r="AK75" t="inlineStr">
        <is>
          <t>人民币</t>
        </is>
      </c>
      <c r="AL75" t="n">
        <v>6111</v>
      </c>
      <c r="AM75" t="n">
        <v/>
      </c>
      <c r="AN75" t="n">
        <v>30084</v>
      </c>
      <c r="AO75" t="n">
        <v/>
      </c>
      <c r="AP75" t="inlineStr">
        <is>
          <t>顾吟湫</t>
        </is>
      </c>
      <c r="AQ75" t="inlineStr">
        <is>
          <t>人民币</t>
        </is>
      </c>
      <c r="AR75" t="n">
        <v>924595.66</v>
      </c>
      <c r="AS75" t="n">
        <v/>
      </c>
      <c r="AT75" t="n">
        <v/>
      </c>
      <c r="AU75" t="n">
        <v/>
      </c>
      <c r="AV75" t="n">
        <v/>
      </c>
      <c r="AW75" t="inlineStr">
        <is>
          <t>KYG9T20T1051</t>
        </is>
      </c>
      <c r="AX75" t="inlineStr">
        <is>
          <t>无</t>
        </is>
      </c>
      <c r="AY75" t="inlineStr">
        <is>
          <t xml:space="preserve"> </t>
        </is>
      </c>
      <c r="AZ75" t="inlineStr">
        <is>
          <t xml:space="preserve"> </t>
        </is>
      </c>
      <c r="BA75" t="n">
        <v>0.4716</v>
      </c>
      <c r="BB75" t="n">
        <v>0</v>
      </c>
      <c r="BC75" t="inlineStr">
        <is>
          <t>缺省券商</t>
        </is>
      </c>
      <c r="BD75" t="inlineStr">
        <is>
          <t>交易所业务</t>
        </is>
      </c>
      <c r="BE75" t="inlineStr">
        <is>
          <t>不是ETF补券指令</t>
        </is>
      </c>
      <c r="BF75" t="inlineStr">
        <is>
          <t>-1,046,716.00</t>
        </is>
      </c>
      <c r="BG75" t="n">
        <v>0</v>
      </c>
      <c r="BH75" t="inlineStr">
        <is>
          <t>非强平</t>
        </is>
      </c>
      <c r="BI75" t="inlineStr">
        <is>
          <t>顾吟湫</t>
        </is>
      </c>
      <c r="BJ75" t="inlineStr">
        <is>
          <t>否</t>
        </is>
      </c>
      <c r="BK75" t="inlineStr">
        <is>
          <t>增强限价盘</t>
        </is>
      </c>
      <c r="BL75" t="n">
        <v/>
      </c>
      <c r="BM75" t="n">
        <v>0</v>
      </c>
      <c r="BN75" t="n">
        <v>1.383333333333333</v>
      </c>
      <c r="BO75" t="inlineStr">
        <is>
          <t>股票</t>
        </is>
      </c>
      <c r="BP75" t="n">
        <v/>
      </c>
      <c r="BQ75" t="n">
        <v/>
      </c>
      <c r="BR75" t="n">
        <v>0</v>
      </c>
      <c r="BS75" t="inlineStr">
        <is>
          <t>已成交</t>
        </is>
      </c>
    </row>
    <row r="76">
      <c r="A76" t="n">
        <v>75</v>
      </c>
      <c r="B76" t="inlineStr">
        <is>
          <t>2026-03-25</t>
        </is>
      </c>
      <c r="C76" t="n">
        <v>3008</v>
      </c>
      <c r="D76" t="inlineStr">
        <is>
          <t>自营权益4</t>
        </is>
      </c>
      <c r="E76" t="n">
        <v>3008</v>
      </c>
      <c r="F76" t="n">
        <v>6862</v>
      </c>
      <c r="G76" t="inlineStr">
        <is>
          <t>海底捞</t>
        </is>
      </c>
      <c r="H76" t="inlineStr">
        <is>
          <t>买入</t>
        </is>
      </c>
      <c r="I76" t="n">
        <v>14.22</v>
      </c>
      <c r="J76" t="n">
        <v>14.53</v>
      </c>
      <c r="K76" t="n">
        <v>50000</v>
      </c>
      <c r="L76" t="n">
        <v>716100</v>
      </c>
      <c r="M76" t="n">
        <v>6</v>
      </c>
      <c r="N76" t="n">
        <v>14.22</v>
      </c>
      <c r="O76" t="n">
        <v>14.39</v>
      </c>
      <c r="P76" t="n">
        <v>14.322</v>
      </c>
      <c r="Q76" t="n">
        <v>14.322</v>
      </c>
      <c r="R76" t="n">
        <v>14.322</v>
      </c>
      <c r="S76" t="inlineStr">
        <is>
          <t>港股通（深）</t>
        </is>
      </c>
      <c r="T76" t="n">
        <v>93441071</v>
      </c>
      <c r="U76" t="n">
        <v>0.0535</v>
      </c>
      <c r="V76" t="n">
        <v>1357457971.68</v>
      </c>
      <c r="W76" t="n">
        <v>300841</v>
      </c>
      <c r="X76" t="inlineStr">
        <is>
          <t>自营权益4（深港）</t>
        </is>
      </c>
      <c r="Y76" t="n">
        <v>50000</v>
      </c>
      <c r="Z76" t="n">
        <v>15.6</v>
      </c>
      <c r="AA76" t="n">
        <v>14.2</v>
      </c>
      <c r="AB76" t="n">
        <v>2</v>
      </c>
      <c r="AC76" t="inlineStr">
        <is>
          <t>叶盛</t>
        </is>
      </c>
      <c r="AD76" t="inlineStr">
        <is>
          <t>股票资产</t>
        </is>
      </c>
      <c r="AE76" t="n">
        <v>-11.0694</v>
      </c>
      <c r="AF76" t="n">
        <v>0.0528</v>
      </c>
      <c r="AG76" t="n">
        <v>1.4139</v>
      </c>
      <c r="AH76" t="n">
        <v>50000</v>
      </c>
      <c r="AI76" t="n">
        <v>53</v>
      </c>
      <c r="AJ76" t="inlineStr">
        <is>
          <t>自营权益4（深港）</t>
        </is>
      </c>
      <c r="AK76" t="inlineStr">
        <is>
          <t>人民币</t>
        </is>
      </c>
      <c r="AL76" t="n">
        <v>6111</v>
      </c>
      <c r="AM76" t="n">
        <v/>
      </c>
      <c r="AN76" t="n">
        <v>30084</v>
      </c>
      <c r="AO76" t="n">
        <v/>
      </c>
      <c r="AP76" t="inlineStr">
        <is>
          <t>顾吟湫</t>
        </is>
      </c>
      <c r="AQ76" t="inlineStr">
        <is>
          <t>人民币</t>
        </is>
      </c>
      <c r="AR76" t="n">
        <v>630447.29</v>
      </c>
      <c r="AS76" t="n">
        <v/>
      </c>
      <c r="AT76" t="n">
        <v/>
      </c>
      <c r="AU76" t="n">
        <v/>
      </c>
      <c r="AV76" t="n">
        <v/>
      </c>
      <c r="AW76" t="inlineStr">
        <is>
          <t>KYG4290A1013</t>
        </is>
      </c>
      <c r="AX76" t="inlineStr">
        <is>
          <t>无</t>
        </is>
      </c>
      <c r="AY76" t="inlineStr">
        <is>
          <t xml:space="preserve"> </t>
        </is>
      </c>
      <c r="AZ76" t="inlineStr">
        <is>
          <t xml:space="preserve"> </t>
        </is>
      </c>
      <c r="BA76" t="n">
        <v>0.3199</v>
      </c>
      <c r="BB76" t="n">
        <v>0</v>
      </c>
      <c r="BC76" t="inlineStr">
        <is>
          <t>缺省券商</t>
        </is>
      </c>
      <c r="BD76" t="inlineStr">
        <is>
          <t>交易所业务</t>
        </is>
      </c>
      <c r="BE76" t="inlineStr">
        <is>
          <t>不是ETF补券指令</t>
        </is>
      </c>
      <c r="BF76" t="inlineStr">
        <is>
          <t>-716,100.00</t>
        </is>
      </c>
      <c r="BG76" t="n">
        <v>0</v>
      </c>
      <c r="BH76" t="inlineStr">
        <is>
          <t>非强平</t>
        </is>
      </c>
      <c r="BI76" t="inlineStr">
        <is>
          <t>顾吟湫</t>
        </is>
      </c>
      <c r="BJ76" t="inlineStr">
        <is>
          <t>否</t>
        </is>
      </c>
      <c r="BK76" t="inlineStr">
        <is>
          <t>增强限价盘</t>
        </is>
      </c>
      <c r="BL76" t="n">
        <v/>
      </c>
      <c r="BM76" t="n">
        <v>0</v>
      </c>
      <c r="BN76" t="n">
        <v>1.533333333333333</v>
      </c>
      <c r="BO76" t="inlineStr">
        <is>
          <t>股票</t>
        </is>
      </c>
      <c r="BP76" t="n">
        <v/>
      </c>
      <c r="BQ76" t="n">
        <v/>
      </c>
      <c r="BR76" t="n">
        <v>0</v>
      </c>
      <c r="BS76" t="inlineStr">
        <is>
          <t>已成交</t>
        </is>
      </c>
    </row>
    <row r="77">
      <c r="A77" t="n">
        <v>76</v>
      </c>
      <c r="B77" t="inlineStr">
        <is>
          <t>2026-03-27</t>
        </is>
      </c>
      <c r="C77" t="n">
        <v>3008</v>
      </c>
      <c r="D77" t="inlineStr">
        <is>
          <t>自营权益4</t>
        </is>
      </c>
      <c r="E77" t="n">
        <v>3008</v>
      </c>
      <c r="F77" t="n">
        <v>1368</v>
      </c>
      <c r="G77" t="inlineStr">
        <is>
          <t>特步国际</t>
        </is>
      </c>
      <c r="H77" t="inlineStr">
        <is>
          <t>买入</t>
        </is>
      </c>
      <c r="I77" t="n">
        <v>4.51</v>
      </c>
      <c r="J77" t="n">
        <v>4.57</v>
      </c>
      <c r="K77" t="n">
        <v>200000</v>
      </c>
      <c r="L77" t="n">
        <v>918000</v>
      </c>
      <c r="M77" t="n">
        <v>48</v>
      </c>
      <c r="N77" t="n">
        <v>4.58</v>
      </c>
      <c r="O77" t="n">
        <v>4.6</v>
      </c>
      <c r="P77" t="n">
        <v>4.59</v>
      </c>
      <c r="Q77" t="n">
        <v>4.59</v>
      </c>
      <c r="R77" t="n">
        <v>4.59</v>
      </c>
      <c r="S77" t="inlineStr">
        <is>
          <t>港股通（深）</t>
        </is>
      </c>
      <c r="T77" t="n">
        <v>48761530</v>
      </c>
      <c r="U77" t="n">
        <v>0.4102</v>
      </c>
      <c r="V77" t="n">
        <v>223002521.03</v>
      </c>
      <c r="W77" t="n">
        <v>300841</v>
      </c>
      <c r="X77" t="inlineStr">
        <is>
          <t>自营权益4（深港）</t>
        </is>
      </c>
      <c r="Y77" t="n">
        <v>200000</v>
      </c>
      <c r="Z77" t="n">
        <v>4.81</v>
      </c>
      <c r="AA77" t="n">
        <v>4.5</v>
      </c>
      <c r="AB77" t="n">
        <v>2</v>
      </c>
      <c r="AC77" t="inlineStr">
        <is>
          <t>叶盛</t>
        </is>
      </c>
      <c r="AD77" t="inlineStr">
        <is>
          <t>股票资产</t>
        </is>
      </c>
      <c r="AE77" t="n">
        <v>-5.6485</v>
      </c>
      <c r="AF77" t="n">
        <v>0.4117</v>
      </c>
      <c r="AG77" t="n">
        <v>-0.3652</v>
      </c>
      <c r="AH77" t="n">
        <v>200000</v>
      </c>
      <c r="AI77" t="n">
        <v>53</v>
      </c>
      <c r="AJ77" t="inlineStr">
        <is>
          <t>自营权益4（深港）</t>
        </is>
      </c>
      <c r="AK77" t="inlineStr">
        <is>
          <t>人民币</t>
        </is>
      </c>
      <c r="AL77" t="n">
        <v>6111</v>
      </c>
      <c r="AM77" t="n">
        <v/>
      </c>
      <c r="AN77" t="n">
        <v>30084</v>
      </c>
      <c r="AO77" t="n">
        <v/>
      </c>
      <c r="AP77" t="inlineStr">
        <is>
          <t>顾吟湫</t>
        </is>
      </c>
      <c r="AQ77" t="inlineStr">
        <is>
          <t>人民币</t>
        </is>
      </c>
      <c r="AR77" t="n">
        <v>810694.96</v>
      </c>
      <c r="AS77" t="n">
        <v/>
      </c>
      <c r="AT77" t="n">
        <v/>
      </c>
      <c r="AU77" t="n">
        <v/>
      </c>
      <c r="AV77" t="n">
        <v/>
      </c>
      <c r="AW77" t="inlineStr">
        <is>
          <t>KYG982771092</t>
        </is>
      </c>
      <c r="AX77" t="inlineStr">
        <is>
          <t>无</t>
        </is>
      </c>
      <c r="AY77" t="inlineStr">
        <is>
          <t xml:space="preserve"> </t>
        </is>
      </c>
      <c r="AZ77" t="inlineStr">
        <is>
          <t xml:space="preserve"> </t>
        </is>
      </c>
      <c r="BA77" t="n">
        <v>0.4131</v>
      </c>
      <c r="BB77" t="n">
        <v>0</v>
      </c>
      <c r="BC77" t="inlineStr">
        <is>
          <t>缺省券商</t>
        </is>
      </c>
      <c r="BD77" t="inlineStr">
        <is>
          <t>交易所业务</t>
        </is>
      </c>
      <c r="BE77" t="inlineStr">
        <is>
          <t>不是ETF补券指令</t>
        </is>
      </c>
      <c r="BF77" t="inlineStr">
        <is>
          <t>-918,000.00</t>
        </is>
      </c>
      <c r="BG77" t="n">
        <v>0</v>
      </c>
      <c r="BH77" t="inlineStr">
        <is>
          <t>非强平</t>
        </is>
      </c>
      <c r="BI77" t="inlineStr">
        <is>
          <t>顾吟湫</t>
        </is>
      </c>
      <c r="BJ77" t="inlineStr">
        <is>
          <t>否</t>
        </is>
      </c>
      <c r="BK77" t="inlineStr">
        <is>
          <t>增强限价盘</t>
        </is>
      </c>
      <c r="BL77" t="n">
        <v/>
      </c>
      <c r="BM77" t="n">
        <v>0</v>
      </c>
      <c r="BN77" t="n">
        <v>18.18333333333333</v>
      </c>
      <c r="BO77" t="inlineStr">
        <is>
          <t>股票</t>
        </is>
      </c>
      <c r="BP77" t="n">
        <v/>
      </c>
      <c r="BQ77" t="n">
        <v/>
      </c>
      <c r="BR77" t="n">
        <v>0</v>
      </c>
      <c r="BS77" t="inlineStr">
        <is>
          <t>已成交</t>
        </is>
      </c>
    </row>
    <row r="78">
      <c r="A78" t="n">
        <v>77</v>
      </c>
      <c r="B78" t="inlineStr">
        <is>
          <t>2026-04-01</t>
        </is>
      </c>
      <c r="C78" t="n">
        <v>3008</v>
      </c>
      <c r="D78" t="inlineStr">
        <is>
          <t>自营权益4</t>
        </is>
      </c>
      <c r="E78" t="n">
        <v>3008</v>
      </c>
      <c r="F78" t="n">
        <v>762</v>
      </c>
      <c r="G78" t="inlineStr">
        <is>
          <t>中国联通</t>
        </is>
      </c>
      <c r="H78" t="inlineStr">
        <is>
          <t>卖出</t>
        </is>
      </c>
      <c r="I78" t="n">
        <v>7.12</v>
      </c>
      <c r="J78" t="n">
        <v>7.12</v>
      </c>
      <c r="K78" t="n">
        <v>40000</v>
      </c>
      <c r="L78" t="n">
        <v>285200</v>
      </c>
      <c r="M78" t="n">
        <v>5</v>
      </c>
      <c r="N78" t="n">
        <v>7.13</v>
      </c>
      <c r="O78" t="n">
        <v>7.13</v>
      </c>
      <c r="P78" t="n">
        <v>7.13</v>
      </c>
      <c r="Q78" t="n">
        <v>7.13</v>
      </c>
      <c r="R78" t="n">
        <v>7.13</v>
      </c>
      <c r="S78" t="inlineStr">
        <is>
          <t>港股通（深）</t>
        </is>
      </c>
      <c r="T78" t="n">
        <v>20366363</v>
      </c>
      <c r="U78" t="n">
        <v>0.1964</v>
      </c>
      <c r="V78" t="n">
        <v>145061233.91</v>
      </c>
      <c r="W78" t="n">
        <v>300841</v>
      </c>
      <c r="X78" t="inlineStr">
        <is>
          <t>自营权益4（深港）</t>
        </is>
      </c>
      <c r="Y78" t="n">
        <v>40000</v>
      </c>
      <c r="Z78" t="n">
        <v>7.17</v>
      </c>
      <c r="AA78" t="n">
        <v>7.09</v>
      </c>
      <c r="AB78" t="n">
        <v>1</v>
      </c>
      <c r="AC78" t="inlineStr">
        <is>
          <t>叶盛</t>
        </is>
      </c>
      <c r="AD78" t="inlineStr">
        <is>
          <t>股票资产</t>
        </is>
      </c>
      <c r="AE78" t="n">
        <v>0.7072000000000001</v>
      </c>
      <c r="AF78" t="n">
        <v>0.1966</v>
      </c>
      <c r="AG78" t="n">
        <v>0.1039</v>
      </c>
      <c r="AH78" t="n">
        <v>40000</v>
      </c>
      <c r="AI78" t="n">
        <v>53</v>
      </c>
      <c r="AJ78" t="inlineStr">
        <is>
          <t>自营权益4（深港）</t>
        </is>
      </c>
      <c r="AK78" t="inlineStr">
        <is>
          <t>人民币</t>
        </is>
      </c>
      <c r="AL78" t="n">
        <v>6111</v>
      </c>
      <c r="AM78" t="n">
        <v/>
      </c>
      <c r="AN78" t="n">
        <v>30084</v>
      </c>
      <c r="AO78" t="n">
        <v/>
      </c>
      <c r="AP78" t="inlineStr">
        <is>
          <t>顾吟湫</t>
        </is>
      </c>
      <c r="AQ78" t="inlineStr">
        <is>
          <t>人民币</t>
        </is>
      </c>
      <c r="AR78" t="n">
        <v>251332.52</v>
      </c>
      <c r="AS78" t="n">
        <v/>
      </c>
      <c r="AT78" t="n">
        <v/>
      </c>
      <c r="AU78" t="n">
        <v/>
      </c>
      <c r="AV78" t="n">
        <v/>
      </c>
      <c r="AW78" t="inlineStr">
        <is>
          <t>HK0000049939</t>
        </is>
      </c>
      <c r="AX78" t="inlineStr">
        <is>
          <t>无</t>
        </is>
      </c>
      <c r="AY78" t="inlineStr">
        <is>
          <t xml:space="preserve"> </t>
        </is>
      </c>
      <c r="AZ78" t="inlineStr">
        <is>
          <t xml:space="preserve"> </t>
        </is>
      </c>
      <c r="BA78" t="n">
        <v>0.1267</v>
      </c>
      <c r="BB78" t="n">
        <v>0</v>
      </c>
      <c r="BC78" t="inlineStr">
        <is>
          <t>缺省券商</t>
        </is>
      </c>
      <c r="BD78" t="inlineStr">
        <is>
          <t>交易所业务</t>
        </is>
      </c>
      <c r="BE78" t="inlineStr">
        <is>
          <t>不是ETF补券指令</t>
        </is>
      </c>
      <c r="BF78" t="inlineStr">
        <is>
          <t>285,200.00</t>
        </is>
      </c>
      <c r="BG78" t="n">
        <v>0</v>
      </c>
      <c r="BH78" t="inlineStr">
        <is>
          <t>非强平</t>
        </is>
      </c>
      <c r="BI78" t="inlineStr">
        <is>
          <t>顾吟湫</t>
        </is>
      </c>
      <c r="BJ78" t="inlineStr">
        <is>
          <t>否</t>
        </is>
      </c>
      <c r="BK78" t="inlineStr">
        <is>
          <t>增强限价盘</t>
        </is>
      </c>
      <c r="BL78" t="n">
        <v/>
      </c>
      <c r="BM78" t="n">
        <v>0</v>
      </c>
      <c r="BN78" t="n">
        <v>45.78333333333333</v>
      </c>
      <c r="BO78" t="inlineStr">
        <is>
          <t>股票</t>
        </is>
      </c>
      <c r="BP78" t="n">
        <v/>
      </c>
      <c r="BQ78" t="n">
        <v/>
      </c>
      <c r="BR78" t="n">
        <v>0</v>
      </c>
      <c r="BS78" t="inlineStr">
        <is>
          <t>已成交</t>
        </is>
      </c>
    </row>
    <row r="79">
      <c r="A79" t="n">
        <v>78</v>
      </c>
      <c r="B79" t="inlineStr">
        <is>
          <t>2026-04-01</t>
        </is>
      </c>
      <c r="C79" t="n">
        <v>3008</v>
      </c>
      <c r="D79" t="inlineStr">
        <is>
          <t>自营权益4</t>
        </is>
      </c>
      <c r="E79" t="n">
        <v>3008</v>
      </c>
      <c r="F79" t="n">
        <v>1368</v>
      </c>
      <c r="G79" t="inlineStr">
        <is>
          <t>特步国际</t>
        </is>
      </c>
      <c r="H79" t="inlineStr">
        <is>
          <t>买入</t>
        </is>
      </c>
      <c r="I79" t="n">
        <v>4.55</v>
      </c>
      <c r="J79" t="n">
        <v>4.52</v>
      </c>
      <c r="K79" t="n">
        <v>150000</v>
      </c>
      <c r="L79" t="n">
        <v>684000</v>
      </c>
      <c r="M79" t="n">
        <v>25</v>
      </c>
      <c r="N79" t="n">
        <v>4.56</v>
      </c>
      <c r="O79" t="n">
        <v>4.56</v>
      </c>
      <c r="P79" t="n">
        <v>4.56</v>
      </c>
      <c r="Q79" t="n">
        <v>4.56</v>
      </c>
      <c r="R79" t="n">
        <v>4.56</v>
      </c>
      <c r="S79" t="inlineStr">
        <is>
          <t>港股通（深）</t>
        </is>
      </c>
      <c r="T79" t="n">
        <v>17673500</v>
      </c>
      <c r="U79" t="n">
        <v>0.8487</v>
      </c>
      <c r="V79" t="n">
        <v>79957140.5</v>
      </c>
      <c r="W79" t="n">
        <v>300841</v>
      </c>
      <c r="X79" t="inlineStr">
        <is>
          <t>自营权益4（深港）</t>
        </is>
      </c>
      <c r="Y79" t="n">
        <v>150000</v>
      </c>
      <c r="Z79" t="n">
        <v>4.58</v>
      </c>
      <c r="AA79" t="n">
        <v>4.46</v>
      </c>
      <c r="AB79" t="n">
        <v>3</v>
      </c>
      <c r="AC79" t="inlineStr">
        <is>
          <t>叶盛</t>
        </is>
      </c>
      <c r="AD79" t="inlineStr">
        <is>
          <t>股票资产</t>
        </is>
      </c>
      <c r="AE79" t="n">
        <v>1.7897</v>
      </c>
      <c r="AF79" t="n">
        <v>0.8555</v>
      </c>
      <c r="AG79" t="n">
        <v>-0.7935</v>
      </c>
      <c r="AH79" t="n">
        <v>150000</v>
      </c>
      <c r="AI79" t="n">
        <v>53</v>
      </c>
      <c r="AJ79" t="inlineStr">
        <is>
          <t>自营权益4（深港）</t>
        </is>
      </c>
      <c r="AK79" t="inlineStr">
        <is>
          <t>人民币</t>
        </is>
      </c>
      <c r="AL79" t="n">
        <v>6111</v>
      </c>
      <c r="AM79" t="n">
        <v/>
      </c>
      <c r="AN79" t="n">
        <v>30084</v>
      </c>
      <c r="AO79" t="n">
        <v/>
      </c>
      <c r="AP79" t="inlineStr">
        <is>
          <t>顾吟湫</t>
        </is>
      </c>
      <c r="AQ79" t="inlineStr">
        <is>
          <t>人民币</t>
        </is>
      </c>
      <c r="AR79" t="n">
        <v>603527.4399999999</v>
      </c>
      <c r="AS79" t="n">
        <v/>
      </c>
      <c r="AT79" t="n">
        <v/>
      </c>
      <c r="AU79" t="n">
        <v/>
      </c>
      <c r="AV79" t="n">
        <v/>
      </c>
      <c r="AW79" t="inlineStr">
        <is>
          <t>KYG982771092</t>
        </is>
      </c>
      <c r="AX79" t="inlineStr">
        <is>
          <t>无</t>
        </is>
      </c>
      <c r="AY79" t="inlineStr">
        <is>
          <t xml:space="preserve"> </t>
        </is>
      </c>
      <c r="AZ79" t="inlineStr">
        <is>
          <t xml:space="preserve"> </t>
        </is>
      </c>
      <c r="BA79" t="n">
        <v>0.3042</v>
      </c>
      <c r="BB79" t="n">
        <v>0</v>
      </c>
      <c r="BC79" t="inlineStr">
        <is>
          <t>缺省券商</t>
        </is>
      </c>
      <c r="BD79" t="inlineStr">
        <is>
          <t>交易所业务</t>
        </is>
      </c>
      <c r="BE79" t="inlineStr">
        <is>
          <t>不是ETF补券指令</t>
        </is>
      </c>
      <c r="BF79" t="inlineStr">
        <is>
          <t>-684,000.00</t>
        </is>
      </c>
      <c r="BG79" t="n">
        <v>0</v>
      </c>
      <c r="BH79" t="inlineStr">
        <is>
          <t>非强平</t>
        </is>
      </c>
      <c r="BI79" t="inlineStr">
        <is>
          <t>顾吟湫</t>
        </is>
      </c>
      <c r="BJ79" t="inlineStr">
        <is>
          <t>否</t>
        </is>
      </c>
      <c r="BK79" t="inlineStr">
        <is>
          <t>增强限价盘</t>
        </is>
      </c>
      <c r="BL79" t="n">
        <v/>
      </c>
      <c r="BM79" t="n">
        <v>0</v>
      </c>
      <c r="BN79" t="n">
        <v>151.3833333333333</v>
      </c>
      <c r="BO79" t="inlineStr">
        <is>
          <t>股票</t>
        </is>
      </c>
      <c r="BP79" t="n">
        <v/>
      </c>
      <c r="BQ79" t="n">
        <v/>
      </c>
      <c r="BR79" t="n">
        <v>0</v>
      </c>
      <c r="BS79" t="inlineStr">
        <is>
          <t>已成交</t>
        </is>
      </c>
    </row>
    <row r="80">
      <c r="A80" t="n">
        <v>79</v>
      </c>
      <c r="B80" t="inlineStr">
        <is>
          <t>2026-04-01</t>
        </is>
      </c>
      <c r="C80" t="n">
        <v>3008</v>
      </c>
      <c r="D80" t="inlineStr">
        <is>
          <t>自营权益4</t>
        </is>
      </c>
      <c r="E80" t="n">
        <v>3008</v>
      </c>
      <c r="F80" t="n">
        <v>1398</v>
      </c>
      <c r="G80" t="inlineStr">
        <is>
          <t>工商银行</t>
        </is>
      </c>
      <c r="H80" t="inlineStr">
        <is>
          <t>卖出</t>
        </is>
      </c>
      <c r="I80" t="n">
        <v>6.88</v>
      </c>
      <c r="J80" t="n">
        <v>6.9</v>
      </c>
      <c r="K80" t="n">
        <v>200000</v>
      </c>
      <c r="L80" t="n">
        <v>1376000</v>
      </c>
      <c r="M80" t="n">
        <v>1</v>
      </c>
      <c r="N80" t="n">
        <v>6.88</v>
      </c>
      <c r="O80" t="n">
        <v>6.88</v>
      </c>
      <c r="P80" t="n">
        <v>6.88</v>
      </c>
      <c r="Q80" t="n">
        <v>6.88</v>
      </c>
      <c r="R80" t="n">
        <v>6.88</v>
      </c>
      <c r="S80" t="inlineStr">
        <is>
          <t>港股通（深）</t>
        </is>
      </c>
      <c r="T80" t="n">
        <v>277117681</v>
      </c>
      <c r="U80" t="n">
        <v>0.0722</v>
      </c>
      <c r="V80" t="n">
        <v>1911746547.34</v>
      </c>
      <c r="W80" t="n">
        <v>300841</v>
      </c>
      <c r="X80" t="inlineStr">
        <is>
          <t>自营权益4（深港）</t>
        </is>
      </c>
      <c r="Y80" t="n">
        <v>200000</v>
      </c>
      <c r="Z80" t="n">
        <v>6.96</v>
      </c>
      <c r="AA80" t="n">
        <v>6.85</v>
      </c>
      <c r="AB80" t="n">
        <v>1</v>
      </c>
      <c r="AC80" t="inlineStr">
        <is>
          <t>叶盛</t>
        </is>
      </c>
      <c r="AD80" t="inlineStr">
        <is>
          <t>股票资产</t>
        </is>
      </c>
      <c r="AE80" t="n">
        <v>0.2915</v>
      </c>
      <c r="AF80" t="n">
        <v>0.07199999999999999</v>
      </c>
      <c r="AG80" t="n">
        <v>-0.2711</v>
      </c>
      <c r="AH80" t="n">
        <v>200000</v>
      </c>
      <c r="AI80" t="n">
        <v>53</v>
      </c>
      <c r="AJ80" t="inlineStr">
        <is>
          <t>自营权益4（深港）</t>
        </is>
      </c>
      <c r="AK80" t="inlineStr">
        <is>
          <t>人民币</t>
        </is>
      </c>
      <c r="AL80" t="n">
        <v>6111</v>
      </c>
      <c r="AM80" t="n">
        <v/>
      </c>
      <c r="AN80" t="n">
        <v>30084</v>
      </c>
      <c r="AO80" t="n">
        <v/>
      </c>
      <c r="AP80" t="inlineStr">
        <is>
          <t>顾吟湫</t>
        </is>
      </c>
      <c r="AQ80" t="inlineStr">
        <is>
          <t>人民币</t>
        </is>
      </c>
      <c r="AR80" t="n">
        <v>1212600</v>
      </c>
      <c r="AS80" t="n">
        <v/>
      </c>
      <c r="AT80" t="n">
        <v/>
      </c>
      <c r="AU80" t="n">
        <v/>
      </c>
      <c r="AV80" t="n">
        <v/>
      </c>
      <c r="AW80" t="inlineStr">
        <is>
          <t>CNE1000003G1</t>
        </is>
      </c>
      <c r="AX80" t="inlineStr">
        <is>
          <t>无</t>
        </is>
      </c>
      <c r="AY80" t="inlineStr">
        <is>
          <t xml:space="preserve"> </t>
        </is>
      </c>
      <c r="AZ80" t="inlineStr">
        <is>
          <t xml:space="preserve"> </t>
        </is>
      </c>
      <c r="BA80" t="n">
        <v>0.6111</v>
      </c>
      <c r="BB80" t="n">
        <v>0</v>
      </c>
      <c r="BC80" t="inlineStr">
        <is>
          <t>缺省券商</t>
        </is>
      </c>
      <c r="BD80" t="inlineStr">
        <is>
          <t>交易所业务</t>
        </is>
      </c>
      <c r="BE80" t="inlineStr">
        <is>
          <t>不是ETF补券指令</t>
        </is>
      </c>
      <c r="BF80" t="inlineStr">
        <is>
          <t>1,376,000.00</t>
        </is>
      </c>
      <c r="BG80" t="n">
        <v>0</v>
      </c>
      <c r="BH80" t="inlineStr">
        <is>
          <t>非强平</t>
        </is>
      </c>
      <c r="BI80" t="inlineStr">
        <is>
          <t>顾吟湫</t>
        </is>
      </c>
      <c r="BJ80" t="inlineStr">
        <is>
          <t>否</t>
        </is>
      </c>
      <c r="BK80" t="inlineStr">
        <is>
          <t>增强限价盘</t>
        </is>
      </c>
      <c r="BL80" t="n">
        <v/>
      </c>
      <c r="BM80" t="n">
        <v>0</v>
      </c>
      <c r="BN80" t="n">
        <v>8.583333333333334</v>
      </c>
      <c r="BO80" t="inlineStr">
        <is>
          <t>股票</t>
        </is>
      </c>
      <c r="BP80" t="n">
        <v/>
      </c>
      <c r="BQ80" t="n">
        <v/>
      </c>
      <c r="BR80" t="n">
        <v>0</v>
      </c>
      <c r="BS80" t="inlineStr">
        <is>
          <t>已成交</t>
        </is>
      </c>
    </row>
    <row r="81">
      <c r="A81" t="n">
        <v>80</v>
      </c>
      <c r="B81" t="inlineStr">
        <is>
          <t>2026-04-01</t>
        </is>
      </c>
      <c r="C81" t="n">
        <v>3008</v>
      </c>
      <c r="D81" t="inlineStr">
        <is>
          <t>自营权益4</t>
        </is>
      </c>
      <c r="E81" t="n">
        <v>3008</v>
      </c>
      <c r="F81" t="n">
        <v>3988</v>
      </c>
      <c r="G81" t="inlineStr">
        <is>
          <t>中国银行</t>
        </is>
      </c>
      <c r="H81" t="inlineStr">
        <is>
          <t>卖出</t>
        </is>
      </c>
      <c r="I81" t="n">
        <v>5.01</v>
      </c>
      <c r="J81" t="n">
        <v>5</v>
      </c>
      <c r="K81" t="n">
        <v>100000</v>
      </c>
      <c r="L81" t="n">
        <v>500000</v>
      </c>
      <c r="M81" t="n">
        <v>1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inlineStr">
        <is>
          <t>港股通（深）</t>
        </is>
      </c>
      <c r="T81" t="n">
        <v>343698026</v>
      </c>
      <c r="U81" t="n">
        <v>0.0291</v>
      </c>
      <c r="V81" t="n">
        <v>1717644288.67</v>
      </c>
      <c r="W81" t="n">
        <v>300841</v>
      </c>
      <c r="X81" t="inlineStr">
        <is>
          <t>自营权益4（深港）</t>
        </is>
      </c>
      <c r="Y81" t="n">
        <v>100000</v>
      </c>
      <c r="Z81" t="n">
        <v>5.02</v>
      </c>
      <c r="AA81" t="n">
        <v>4.96</v>
      </c>
      <c r="AB81" t="n">
        <v>1</v>
      </c>
      <c r="AC81" t="inlineStr">
        <is>
          <t>叶盛</t>
        </is>
      </c>
      <c r="AD81" t="inlineStr">
        <is>
          <t>股票资产</t>
        </is>
      </c>
      <c r="AE81" t="n">
        <v>0.8048</v>
      </c>
      <c r="AF81" t="n">
        <v>0.0291</v>
      </c>
      <c r="AG81" t="n">
        <v>0.05</v>
      </c>
      <c r="AH81" t="n">
        <v>100000</v>
      </c>
      <c r="AI81" t="n">
        <v>53</v>
      </c>
      <c r="AJ81" t="inlineStr">
        <is>
          <t>自营权益4（深港）</t>
        </is>
      </c>
      <c r="AK81" t="inlineStr">
        <is>
          <t>人民币</t>
        </is>
      </c>
      <c r="AL81" t="n">
        <v>6111</v>
      </c>
      <c r="AM81" t="n">
        <v/>
      </c>
      <c r="AN81" t="n">
        <v>30084</v>
      </c>
      <c r="AO81" t="n">
        <v/>
      </c>
      <c r="AP81" t="inlineStr">
        <is>
          <t>顾吟湫</t>
        </is>
      </c>
      <c r="AQ81" t="inlineStr">
        <is>
          <t>人民币</t>
        </is>
      </c>
      <c r="AR81" t="n">
        <v>440625</v>
      </c>
      <c r="AS81" t="n">
        <v/>
      </c>
      <c r="AT81" t="n">
        <v/>
      </c>
      <c r="AU81" t="n">
        <v/>
      </c>
      <c r="AV81" t="n">
        <v/>
      </c>
      <c r="AW81" t="inlineStr">
        <is>
          <t>CNE1000001Z5</t>
        </is>
      </c>
      <c r="AX81" t="inlineStr">
        <is>
          <t>无</t>
        </is>
      </c>
      <c r="AY81" t="inlineStr">
        <is>
          <t xml:space="preserve"> </t>
        </is>
      </c>
      <c r="AZ81" t="inlineStr">
        <is>
          <t xml:space="preserve"> </t>
        </is>
      </c>
      <c r="BA81" t="n">
        <v>0.2221</v>
      </c>
      <c r="BB81" t="n">
        <v>0</v>
      </c>
      <c r="BC81" t="inlineStr">
        <is>
          <t>缺省券商</t>
        </is>
      </c>
      <c r="BD81" t="inlineStr">
        <is>
          <t>交易所业务</t>
        </is>
      </c>
      <c r="BE81" t="inlineStr">
        <is>
          <t>不是ETF补券指令</t>
        </is>
      </c>
      <c r="BF81" t="inlineStr">
        <is>
          <t>500,000.00</t>
        </is>
      </c>
      <c r="BG81" t="n">
        <v>0</v>
      </c>
      <c r="BH81" t="inlineStr">
        <is>
          <t>非强平</t>
        </is>
      </c>
      <c r="BI81" t="inlineStr">
        <is>
          <t>顾吟湫</t>
        </is>
      </c>
      <c r="BJ81" t="inlineStr">
        <is>
          <t>否</t>
        </is>
      </c>
      <c r="BK81" t="inlineStr">
        <is>
          <t>增强限价盘</t>
        </is>
      </c>
      <c r="BL81" t="n">
        <v/>
      </c>
      <c r="BM81" t="n">
        <v>0</v>
      </c>
      <c r="BN81" t="n">
        <v>16.96666666666667</v>
      </c>
      <c r="BO81" t="inlineStr">
        <is>
          <t>股票</t>
        </is>
      </c>
      <c r="BP81" t="n">
        <v/>
      </c>
      <c r="BQ81" t="n">
        <v/>
      </c>
      <c r="BR81" t="n">
        <v>0</v>
      </c>
      <c r="BS81" t="inlineStr">
        <is>
          <t>已成交</t>
        </is>
      </c>
    </row>
    <row r="82">
      <c r="A82" t="n">
        <v>81</v>
      </c>
      <c r="B82" t="inlineStr">
        <is>
          <t>2026-04-01</t>
        </is>
      </c>
      <c r="C82" t="n">
        <v>3008</v>
      </c>
      <c r="D82" t="inlineStr">
        <is>
          <t>自营权益4</t>
        </is>
      </c>
      <c r="E82" t="n">
        <v>3008</v>
      </c>
      <c r="F82" t="n">
        <v>3998</v>
      </c>
      <c r="G82" t="inlineStr">
        <is>
          <t>波司登</t>
        </is>
      </c>
      <c r="H82" t="inlineStr">
        <is>
          <t>买入</t>
        </is>
      </c>
      <c r="I82" t="n">
        <v>4.07</v>
      </c>
      <c r="J82" t="n">
        <v>4.07</v>
      </c>
      <c r="K82" t="n">
        <v>300000</v>
      </c>
      <c r="L82" t="n">
        <v>1230520</v>
      </c>
      <c r="M82" t="n">
        <v>34</v>
      </c>
      <c r="N82" t="n">
        <v>4.1</v>
      </c>
      <c r="O82" t="n">
        <v>4.11</v>
      </c>
      <c r="P82" t="n">
        <v>4.101733333333334</v>
      </c>
      <c r="Q82" t="n">
        <v>4.101733333333334</v>
      </c>
      <c r="R82" t="n">
        <v>4.101733333333334</v>
      </c>
      <c r="S82" t="inlineStr">
        <is>
          <t>港股通（深）</t>
        </is>
      </c>
      <c r="T82" t="n">
        <v>15046817</v>
      </c>
      <c r="U82" t="n">
        <v>1.9938</v>
      </c>
      <c r="V82" t="n">
        <v>61184707.41</v>
      </c>
      <c r="W82" t="n">
        <v>300841</v>
      </c>
      <c r="X82" t="inlineStr">
        <is>
          <t>自营权益4（深港）</t>
        </is>
      </c>
      <c r="Y82" t="n">
        <v>300000</v>
      </c>
      <c r="Z82" t="n">
        <v>4.12</v>
      </c>
      <c r="AA82" t="n">
        <v>4.01</v>
      </c>
      <c r="AB82" t="n">
        <v>2</v>
      </c>
      <c r="AC82" t="inlineStr">
        <is>
          <t>叶盛</t>
        </is>
      </c>
      <c r="AD82" t="inlineStr">
        <is>
          <t>股票资产</t>
        </is>
      </c>
      <c r="AE82" t="n">
        <v>1.75</v>
      </c>
      <c r="AF82" t="n">
        <v>2.0112</v>
      </c>
      <c r="AG82" t="n">
        <v>-0.8706</v>
      </c>
      <c r="AH82" t="n">
        <v>300000</v>
      </c>
      <c r="AI82" t="n">
        <v>53</v>
      </c>
      <c r="AJ82" t="inlineStr">
        <is>
          <t>自营权益4（深港）</t>
        </is>
      </c>
      <c r="AK82" t="inlineStr">
        <is>
          <t>人民币</t>
        </is>
      </c>
      <c r="AL82" t="n">
        <v>6111</v>
      </c>
      <c r="AM82" t="n">
        <v/>
      </c>
      <c r="AN82" t="n">
        <v>30084</v>
      </c>
      <c r="AO82" t="n">
        <v/>
      </c>
      <c r="AP82" t="inlineStr">
        <is>
          <t>顾吟湫</t>
        </is>
      </c>
      <c r="AQ82" t="inlineStr">
        <is>
          <t>人民币</t>
        </is>
      </c>
      <c r="AR82" t="n">
        <v>1085749.32</v>
      </c>
      <c r="AS82" t="n">
        <v/>
      </c>
      <c r="AT82" t="n">
        <v/>
      </c>
      <c r="AU82" t="n">
        <v/>
      </c>
      <c r="AV82" t="n">
        <v/>
      </c>
      <c r="AW82" t="inlineStr">
        <is>
          <t>KYG126521064</t>
        </is>
      </c>
      <c r="AX82" t="inlineStr">
        <is>
          <t>无</t>
        </is>
      </c>
      <c r="AY82" t="inlineStr">
        <is>
          <t xml:space="preserve"> </t>
        </is>
      </c>
      <c r="AZ82" t="inlineStr">
        <is>
          <t xml:space="preserve"> </t>
        </is>
      </c>
      <c r="BA82" t="n">
        <v>0.5472</v>
      </c>
      <c r="BB82" t="n">
        <v>0</v>
      </c>
      <c r="BC82" t="inlineStr">
        <is>
          <t>缺省券商</t>
        </is>
      </c>
      <c r="BD82" t="inlineStr">
        <is>
          <t>交易所业务</t>
        </is>
      </c>
      <c r="BE82" t="inlineStr">
        <is>
          <t>不是ETF补券指令</t>
        </is>
      </c>
      <c r="BF82" t="inlineStr">
        <is>
          <t>-1,230,520.00</t>
        </is>
      </c>
      <c r="BG82" t="n">
        <v>0</v>
      </c>
      <c r="BH82" t="inlineStr">
        <is>
          <t>非强平</t>
        </is>
      </c>
      <c r="BI82" t="inlineStr">
        <is>
          <t>顾吟湫</t>
        </is>
      </c>
      <c r="BJ82" t="inlineStr">
        <is>
          <t>否</t>
        </is>
      </c>
      <c r="BK82" t="inlineStr">
        <is>
          <t>增强限价盘</t>
        </is>
      </c>
      <c r="BL82" t="n">
        <v/>
      </c>
      <c r="BM82" t="n">
        <v>0</v>
      </c>
      <c r="BN82" t="n">
        <v>6.816666666666666</v>
      </c>
      <c r="BO82" t="inlineStr">
        <is>
          <t>股票</t>
        </is>
      </c>
      <c r="BP82" t="n">
        <v/>
      </c>
      <c r="BQ82" t="n">
        <v/>
      </c>
      <c r="BR82" t="n">
        <v>0</v>
      </c>
      <c r="BS82" t="inlineStr">
        <is>
          <t>已成交</t>
        </is>
      </c>
    </row>
    <row r="83">
      <c r="A83" t="n">
        <v>82</v>
      </c>
      <c r="B83" t="inlineStr">
        <is>
          <t>2026-04-01</t>
        </is>
      </c>
      <c r="C83" t="n">
        <v>3008</v>
      </c>
      <c r="D83" t="inlineStr">
        <is>
          <t>自营权益4</t>
        </is>
      </c>
      <c r="E83" t="n">
        <v>3008</v>
      </c>
      <c r="F83" t="n">
        <v>6690</v>
      </c>
      <c r="G83" t="inlineStr">
        <is>
          <t>海尔智家</t>
        </is>
      </c>
      <c r="H83" t="inlineStr">
        <is>
          <t>买入</t>
        </is>
      </c>
      <c r="I83" t="n">
        <v>20.76</v>
      </c>
      <c r="J83" t="n">
        <v>20.97</v>
      </c>
      <c r="K83" t="n">
        <v>6000</v>
      </c>
      <c r="L83" t="n">
        <v>125720</v>
      </c>
      <c r="M83" t="n">
        <v>3</v>
      </c>
      <c r="N83" t="n">
        <v>20.94</v>
      </c>
      <c r="O83" t="n">
        <v>20.98</v>
      </c>
      <c r="P83" t="n">
        <v>20.95333333333333</v>
      </c>
      <c r="Q83" t="n">
        <v>20.95333333333333</v>
      </c>
      <c r="R83" t="n">
        <v>20.95333333333333</v>
      </c>
      <c r="S83" t="inlineStr">
        <is>
          <t>港股通（深）</t>
        </is>
      </c>
      <c r="T83" t="n">
        <v>32573602</v>
      </c>
      <c r="U83" t="n">
        <v>0.0184</v>
      </c>
      <c r="V83" t="n">
        <v>683143274.12</v>
      </c>
      <c r="W83" t="n">
        <v>300841</v>
      </c>
      <c r="X83" t="inlineStr">
        <is>
          <t>自营权益4（深港）</t>
        </is>
      </c>
      <c r="Y83" t="n">
        <v>6000</v>
      </c>
      <c r="Z83" t="n">
        <v>21.44</v>
      </c>
      <c r="AA83" t="n">
        <v>20.72</v>
      </c>
      <c r="AB83" t="n">
        <v>2</v>
      </c>
      <c r="AC83" t="inlineStr">
        <is>
          <t>叶盛</t>
        </is>
      </c>
      <c r="AD83" t="inlineStr">
        <is>
          <t>股票资产</t>
        </is>
      </c>
      <c r="AE83" t="n">
        <v>0.1931</v>
      </c>
      <c r="AF83" t="n">
        <v>0.0184</v>
      </c>
      <c r="AG83" t="n">
        <v>0.0906</v>
      </c>
      <c r="AH83" t="n">
        <v>6000</v>
      </c>
      <c r="AI83" t="n">
        <v>53</v>
      </c>
      <c r="AJ83" t="inlineStr">
        <is>
          <t>自营权益4（深港）</t>
        </is>
      </c>
      <c r="AK83" t="inlineStr">
        <is>
          <t>人民币</t>
        </is>
      </c>
      <c r="AL83" t="n">
        <v>6111</v>
      </c>
      <c r="AM83" t="n">
        <v/>
      </c>
      <c r="AN83" t="n">
        <v>30084</v>
      </c>
      <c r="AO83" t="n">
        <v/>
      </c>
      <c r="AP83" t="inlineStr">
        <is>
          <t>顾吟湫</t>
        </is>
      </c>
      <c r="AQ83" t="inlineStr">
        <is>
          <t>人民币</t>
        </is>
      </c>
      <c r="AR83" t="n">
        <v>110929.04</v>
      </c>
      <c r="AS83" t="n">
        <v/>
      </c>
      <c r="AT83" t="n">
        <v/>
      </c>
      <c r="AU83" t="n">
        <v/>
      </c>
      <c r="AV83" t="n">
        <v/>
      </c>
      <c r="AW83" t="inlineStr">
        <is>
          <t>CNE1000048K8</t>
        </is>
      </c>
      <c r="AX83" t="inlineStr">
        <is>
          <t>无</t>
        </is>
      </c>
      <c r="AY83" t="inlineStr">
        <is>
          <t xml:space="preserve"> </t>
        </is>
      </c>
      <c r="AZ83" t="inlineStr">
        <is>
          <t xml:space="preserve"> </t>
        </is>
      </c>
      <c r="BA83" t="n">
        <v>0.0559</v>
      </c>
      <c r="BB83" t="n">
        <v>0</v>
      </c>
      <c r="BC83" t="inlineStr">
        <is>
          <t>缺省券商</t>
        </is>
      </c>
      <c r="BD83" t="inlineStr">
        <is>
          <t>交易所业务</t>
        </is>
      </c>
      <c r="BE83" t="inlineStr">
        <is>
          <t>不是ETF补券指令</t>
        </is>
      </c>
      <c r="BF83" t="inlineStr">
        <is>
          <t>-125,720.00</t>
        </is>
      </c>
      <c r="BG83" t="n">
        <v>0</v>
      </c>
      <c r="BH83" t="inlineStr">
        <is>
          <t>非强平</t>
        </is>
      </c>
      <c r="BI83" t="inlineStr">
        <is>
          <t>顾吟湫</t>
        </is>
      </c>
      <c r="BJ83" t="inlineStr">
        <is>
          <t>否</t>
        </is>
      </c>
      <c r="BK83" t="inlineStr">
        <is>
          <t>增强限价盘</t>
        </is>
      </c>
      <c r="BL83" t="n">
        <v/>
      </c>
      <c r="BM83" t="n">
        <v>0</v>
      </c>
      <c r="BN83" t="n">
        <v>0.05</v>
      </c>
      <c r="BO83" t="inlineStr">
        <is>
          <t>股票</t>
        </is>
      </c>
      <c r="BP83" t="n">
        <v/>
      </c>
      <c r="BQ83" t="n">
        <v/>
      </c>
      <c r="BR83" t="n">
        <v>0</v>
      </c>
      <c r="BS83" t="inlineStr">
        <is>
          <t>已成交</t>
        </is>
      </c>
    </row>
    <row r="84">
      <c r="A84" t="n">
        <v>83</v>
      </c>
      <c r="B84" t="inlineStr">
        <is>
          <t>2026-04-02</t>
        </is>
      </c>
      <c r="C84" t="n">
        <v>3008</v>
      </c>
      <c r="D84" t="inlineStr">
        <is>
          <t>自营权益4</t>
        </is>
      </c>
      <c r="E84" t="n">
        <v>3008</v>
      </c>
      <c r="F84" t="n">
        <v>6690</v>
      </c>
      <c r="G84" t="inlineStr">
        <is>
          <t>海尔智家</t>
        </is>
      </c>
      <c r="H84" t="inlineStr">
        <is>
          <t>买入</t>
        </is>
      </c>
      <c r="I84" t="n">
        <v>20.44</v>
      </c>
      <c r="J84" t="n">
        <v>20.47</v>
      </c>
      <c r="K84" t="n">
        <v>4000</v>
      </c>
      <c r="L84" t="n">
        <v>82240</v>
      </c>
      <c r="M84" t="n">
        <v>1</v>
      </c>
      <c r="N84" t="n">
        <v>20.56</v>
      </c>
      <c r="O84" t="n">
        <v>20.56</v>
      </c>
      <c r="P84" t="n">
        <v>20.56</v>
      </c>
      <c r="Q84" t="n">
        <v>20.56</v>
      </c>
      <c r="R84" t="n">
        <v>20.56</v>
      </c>
      <c r="S84" t="inlineStr">
        <is>
          <t>港股通（深）</t>
        </is>
      </c>
      <c r="T84" t="n">
        <v>19469177</v>
      </c>
      <c r="U84" t="n">
        <v>0.0205</v>
      </c>
      <c r="V84" t="n">
        <v>398446211.8</v>
      </c>
      <c r="W84" t="n">
        <v>300841</v>
      </c>
      <c r="X84" t="inlineStr">
        <is>
          <t>自营权益4（深港）</t>
        </is>
      </c>
      <c r="Y84" t="n">
        <v>4000</v>
      </c>
      <c r="Z84" t="n">
        <v>20.82</v>
      </c>
      <c r="AA84" t="n">
        <v>20.32</v>
      </c>
      <c r="AB84" t="n">
        <v>1</v>
      </c>
      <c r="AC84" t="inlineStr">
        <is>
          <t>叶盛</t>
        </is>
      </c>
      <c r="AD84" t="inlineStr">
        <is>
          <t>股票资产</t>
        </is>
      </c>
      <c r="AE84" t="n">
        <v>-1.5414</v>
      </c>
      <c r="AF84" t="n">
        <v>0.0206</v>
      </c>
      <c r="AG84" t="n">
        <v>-0.4618</v>
      </c>
      <c r="AH84" t="n">
        <v>4000</v>
      </c>
      <c r="AI84" t="n">
        <v>53</v>
      </c>
      <c r="AJ84" t="inlineStr">
        <is>
          <t>自营权益4（深港）</t>
        </is>
      </c>
      <c r="AK84" t="inlineStr">
        <is>
          <t>人民币</t>
        </is>
      </c>
      <c r="AL84" t="n">
        <v>6111</v>
      </c>
      <c r="AM84" t="n">
        <v/>
      </c>
      <c r="AN84" t="n">
        <v>30084</v>
      </c>
      <c r="AO84" t="n">
        <v/>
      </c>
      <c r="AP84" t="inlineStr">
        <is>
          <t>顾吟湫</t>
        </is>
      </c>
      <c r="AQ84" t="inlineStr">
        <is>
          <t>人民币</t>
        </is>
      </c>
      <c r="AR84" t="n">
        <v>72196.03</v>
      </c>
      <c r="AS84" t="n">
        <v/>
      </c>
      <c r="AT84" t="n">
        <v/>
      </c>
      <c r="AU84" t="n">
        <v/>
      </c>
      <c r="AV84" t="n">
        <v/>
      </c>
      <c r="AW84" t="inlineStr">
        <is>
          <t>CNE1000048K8</t>
        </is>
      </c>
      <c r="AX84" t="inlineStr">
        <is>
          <t>无</t>
        </is>
      </c>
      <c r="AY84" t="inlineStr">
        <is>
          <t xml:space="preserve"> </t>
        </is>
      </c>
      <c r="AZ84" t="inlineStr">
        <is>
          <t xml:space="preserve"> </t>
        </is>
      </c>
      <c r="BA84" t="n">
        <v>0.0363</v>
      </c>
      <c r="BB84" t="n">
        <v>0</v>
      </c>
      <c r="BC84" t="inlineStr">
        <is>
          <t>缺省券商</t>
        </is>
      </c>
      <c r="BD84" t="inlineStr">
        <is>
          <t>交易所业务</t>
        </is>
      </c>
      <c r="BE84" t="inlineStr">
        <is>
          <t>不是ETF补券指令</t>
        </is>
      </c>
      <c r="BF84" t="inlineStr">
        <is>
          <t>-82,240.00</t>
        </is>
      </c>
      <c r="BG84" t="n">
        <v>0</v>
      </c>
      <c r="BH84" t="inlineStr">
        <is>
          <t>非强平</t>
        </is>
      </c>
      <c r="BI84" t="inlineStr">
        <is>
          <t>顾吟湫</t>
        </is>
      </c>
      <c r="BJ84" t="inlineStr">
        <is>
          <t>否</t>
        </is>
      </c>
      <c r="BK84" t="inlineStr">
        <is>
          <t>竞价限价盘</t>
        </is>
      </c>
      <c r="BL84" t="n">
        <v/>
      </c>
      <c r="BM84" t="n">
        <v>0</v>
      </c>
      <c r="BN84" t="n">
        <v>2.25</v>
      </c>
      <c r="BO84" t="inlineStr">
        <is>
          <t>股票</t>
        </is>
      </c>
      <c r="BP84" t="n">
        <v/>
      </c>
      <c r="BQ84" t="n">
        <v/>
      </c>
      <c r="BR84" t="n">
        <v>0</v>
      </c>
      <c r="BS84" t="inlineStr">
        <is>
          <t>已成交</t>
        </is>
      </c>
    </row>
    <row r="85">
      <c r="A85" t="n">
        <v>84</v>
      </c>
      <c r="B85" t="inlineStr">
        <is>
          <t>2026-04-08</t>
        </is>
      </c>
      <c r="C85" t="n">
        <v>3008</v>
      </c>
      <c r="D85" t="inlineStr">
        <is>
          <t>自营权益4</t>
        </is>
      </c>
      <c r="E85" t="n">
        <v>3008</v>
      </c>
      <c r="F85" t="n">
        <v>939</v>
      </c>
      <c r="G85" t="inlineStr">
        <is>
          <t>建设银行</t>
        </is>
      </c>
      <c r="H85" t="inlineStr">
        <is>
          <t>卖出</t>
        </is>
      </c>
      <c r="I85" t="n">
        <v>8.51</v>
      </c>
      <c r="J85" t="n">
        <v>8.49</v>
      </c>
      <c r="K85" t="n">
        <v>200000</v>
      </c>
      <c r="L85" t="n">
        <v>1700000</v>
      </c>
      <c r="M85" t="n">
        <v>1</v>
      </c>
      <c r="N85" t="n">
        <v>8.5</v>
      </c>
      <c r="O85" t="n">
        <v>8.5</v>
      </c>
      <c r="P85" t="n">
        <v>8.5</v>
      </c>
      <c r="Q85" t="n">
        <v>8.5</v>
      </c>
      <c r="R85" t="n">
        <v>8.5</v>
      </c>
      <c r="S85" t="inlineStr">
        <is>
          <t>港股通（深）</t>
        </is>
      </c>
      <c r="T85" t="n">
        <v>430895444</v>
      </c>
      <c r="U85" t="n">
        <v>0.0464</v>
      </c>
      <c r="V85" t="n">
        <v>3658833417.41</v>
      </c>
      <c r="W85" t="n">
        <v>300841</v>
      </c>
      <c r="X85" t="inlineStr">
        <is>
          <t>自营权益4（深港）</t>
        </is>
      </c>
      <c r="Y85" t="n">
        <v>200000</v>
      </c>
      <c r="Z85" t="n">
        <v>8.550000000000001</v>
      </c>
      <c r="AA85" t="n">
        <v>8.359999999999999</v>
      </c>
      <c r="AB85" t="n">
        <v>1</v>
      </c>
      <c r="AC85" t="inlineStr">
        <is>
          <t>叶盛</t>
        </is>
      </c>
      <c r="AD85" t="inlineStr">
        <is>
          <t>股票资产</t>
        </is>
      </c>
      <c r="AE85" t="n">
        <v>0.7101</v>
      </c>
      <c r="AF85" t="n">
        <v>0.0465</v>
      </c>
      <c r="AG85" t="n">
        <v>0.1036</v>
      </c>
      <c r="AH85" t="n">
        <v>200000</v>
      </c>
      <c r="AI85" t="n">
        <v>53</v>
      </c>
      <c r="AJ85" t="inlineStr">
        <is>
          <t>自营权益4（深港）</t>
        </is>
      </c>
      <c r="AK85" t="inlineStr">
        <is>
          <t>人民币</t>
        </is>
      </c>
      <c r="AL85" t="n">
        <v>6111</v>
      </c>
      <c r="AM85" t="n">
        <v/>
      </c>
      <c r="AN85" t="n">
        <v>30084</v>
      </c>
      <c r="AO85" t="n">
        <v/>
      </c>
      <c r="AP85" t="inlineStr">
        <is>
          <t>顾吟湫</t>
        </is>
      </c>
      <c r="AQ85" t="inlineStr">
        <is>
          <t>人民币</t>
        </is>
      </c>
      <c r="AR85" t="n">
        <v>1487228</v>
      </c>
      <c r="AS85" t="n">
        <v/>
      </c>
      <c r="AT85" t="n">
        <v/>
      </c>
      <c r="AU85" t="n">
        <v/>
      </c>
      <c r="AV85" t="n">
        <v/>
      </c>
      <c r="AW85" t="inlineStr">
        <is>
          <t>CNE1000002H1</t>
        </is>
      </c>
      <c r="AX85" t="inlineStr">
        <is>
          <t>无</t>
        </is>
      </c>
      <c r="AY85" t="inlineStr">
        <is>
          <t xml:space="preserve"> </t>
        </is>
      </c>
      <c r="AZ85" t="inlineStr">
        <is>
          <t xml:space="preserve"> </t>
        </is>
      </c>
      <c r="BA85" t="n">
        <v>0.7473</v>
      </c>
      <c r="BB85" t="n">
        <v>0</v>
      </c>
      <c r="BC85" t="inlineStr">
        <is>
          <t>缺省券商</t>
        </is>
      </c>
      <c r="BD85" t="inlineStr">
        <is>
          <t>交易所业务</t>
        </is>
      </c>
      <c r="BE85" t="inlineStr">
        <is>
          <t>不是ETF补券指令</t>
        </is>
      </c>
      <c r="BF85" t="inlineStr">
        <is>
          <t>1,700,000.00</t>
        </is>
      </c>
      <c r="BG85" t="n">
        <v>0</v>
      </c>
      <c r="BH85" t="inlineStr">
        <is>
          <t>非强平</t>
        </is>
      </c>
      <c r="BI85" t="inlineStr">
        <is>
          <t>顾吟湫</t>
        </is>
      </c>
      <c r="BJ85" t="inlineStr">
        <is>
          <t>否</t>
        </is>
      </c>
      <c r="BK85" t="inlineStr">
        <is>
          <t>竞价限价盘</t>
        </is>
      </c>
      <c r="BL85" t="n">
        <v/>
      </c>
      <c r="BM85" t="n">
        <v>0</v>
      </c>
      <c r="BN85" t="n">
        <v>19.45</v>
      </c>
      <c r="BO85" t="inlineStr">
        <is>
          <t>股票</t>
        </is>
      </c>
      <c r="BP85" t="n">
        <v/>
      </c>
      <c r="BQ85" t="n">
        <v/>
      </c>
      <c r="BR85" t="n">
        <v>0</v>
      </c>
      <c r="BS85" t="inlineStr">
        <is>
          <t>已成交</t>
        </is>
      </c>
    </row>
    <row r="86">
      <c r="A86" t="n">
        <v>85</v>
      </c>
      <c r="B86" t="inlineStr">
        <is>
          <t>2026-04-08</t>
        </is>
      </c>
      <c r="C86" t="n">
        <v>3008</v>
      </c>
      <c r="D86" t="inlineStr">
        <is>
          <t>自营权益4</t>
        </is>
      </c>
      <c r="E86" t="n">
        <v>3008</v>
      </c>
      <c r="F86" t="n">
        <v>1071</v>
      </c>
      <c r="G86" t="inlineStr">
        <is>
          <t>华电国际电力股份</t>
        </is>
      </c>
      <c r="H86" t="inlineStr">
        <is>
          <t>买入</t>
        </is>
      </c>
      <c r="I86" t="n">
        <v>4.06</v>
      </c>
      <c r="J86" t="n">
        <v>4.04</v>
      </c>
      <c r="K86" t="n">
        <v>500000</v>
      </c>
      <c r="L86" t="n">
        <v>2020000</v>
      </c>
      <c r="M86" t="n">
        <v>5</v>
      </c>
      <c r="N86" t="n">
        <v>4.04</v>
      </c>
      <c r="O86" t="n">
        <v>4.04</v>
      </c>
      <c r="P86" t="n">
        <v>4.04</v>
      </c>
      <c r="Q86" t="n">
        <v>4.04</v>
      </c>
      <c r="R86" t="n">
        <v>4.04</v>
      </c>
      <c r="S86" t="inlineStr">
        <is>
          <t>港股通（深）</t>
        </is>
      </c>
      <c r="T86" t="n">
        <v>19649000</v>
      </c>
      <c r="U86" t="n">
        <v>2.5447</v>
      </c>
      <c r="V86" t="n">
        <v>79418106</v>
      </c>
      <c r="W86" t="n">
        <v>300841</v>
      </c>
      <c r="X86" t="inlineStr">
        <is>
          <t>自营权益4（深港）</t>
        </is>
      </c>
      <c r="Y86" t="n">
        <v>500000</v>
      </c>
      <c r="Z86" t="n">
        <v>4.08</v>
      </c>
      <c r="AA86" t="n">
        <v>4</v>
      </c>
      <c r="AB86" t="n">
        <v>1</v>
      </c>
      <c r="AC86" t="inlineStr">
        <is>
          <t>叶盛</t>
        </is>
      </c>
      <c r="AD86" t="inlineStr">
        <is>
          <t>股票资产</t>
        </is>
      </c>
      <c r="AE86" t="n">
        <v>0.495</v>
      </c>
      <c r="AF86" t="n">
        <v>2.5435</v>
      </c>
      <c r="AG86" t="n">
        <v>0.0445</v>
      </c>
      <c r="AH86" t="n">
        <v>500000</v>
      </c>
      <c r="AI86" t="n">
        <v>53</v>
      </c>
      <c r="AJ86" t="inlineStr">
        <is>
          <t>自营权益4（深港）</t>
        </is>
      </c>
      <c r="AK86" t="inlineStr">
        <is>
          <t>人民币</t>
        </is>
      </c>
      <c r="AL86" t="n">
        <v>6111</v>
      </c>
      <c r="AM86" t="n">
        <v/>
      </c>
      <c r="AN86" t="n">
        <v>30084</v>
      </c>
      <c r="AO86" t="n">
        <v/>
      </c>
      <c r="AP86" t="inlineStr">
        <is>
          <t>顾吟湫</t>
        </is>
      </c>
      <c r="AQ86" t="inlineStr">
        <is>
          <t>人民币</t>
        </is>
      </c>
      <c r="AR86" t="n">
        <v>1769439.2</v>
      </c>
      <c r="AS86" t="n">
        <v/>
      </c>
      <c r="AT86" t="n">
        <v/>
      </c>
      <c r="AU86" t="n">
        <v/>
      </c>
      <c r="AV86" t="n">
        <v/>
      </c>
      <c r="AW86" t="inlineStr">
        <is>
          <t>CNE1000003D8</t>
        </is>
      </c>
      <c r="AX86" t="inlineStr">
        <is>
          <t>无</t>
        </is>
      </c>
      <c r="AY86" t="inlineStr">
        <is>
          <t xml:space="preserve"> </t>
        </is>
      </c>
      <c r="AZ86" t="inlineStr">
        <is>
          <t xml:space="preserve"> </t>
        </is>
      </c>
      <c r="BA86" t="n">
        <v>0.8891</v>
      </c>
      <c r="BB86" t="n">
        <v>0</v>
      </c>
      <c r="BC86" t="inlineStr">
        <is>
          <t>缺省券商</t>
        </is>
      </c>
      <c r="BD86" t="inlineStr">
        <is>
          <t>交易所业务</t>
        </is>
      </c>
      <c r="BE86" t="inlineStr">
        <is>
          <t>不是ETF补券指令</t>
        </is>
      </c>
      <c r="BF86" t="inlineStr">
        <is>
          <t>-2,020,000.00</t>
        </is>
      </c>
      <c r="BG86" t="n">
        <v>0</v>
      </c>
      <c r="BH86" t="inlineStr">
        <is>
          <t>非强平</t>
        </is>
      </c>
      <c r="BI86" t="inlineStr">
        <is>
          <t>顾吟湫</t>
        </is>
      </c>
      <c r="BJ86" t="inlineStr">
        <is>
          <t>否</t>
        </is>
      </c>
      <c r="BK86" t="inlineStr">
        <is>
          <t>增强限价盘</t>
        </is>
      </c>
      <c r="BL86" t="n">
        <v/>
      </c>
      <c r="BM86" t="n">
        <v>0</v>
      </c>
      <c r="BN86" t="n">
        <v>0</v>
      </c>
      <c r="BO86" t="inlineStr">
        <is>
          <t>股票</t>
        </is>
      </c>
      <c r="BP86" t="n">
        <v/>
      </c>
      <c r="BQ86" t="n">
        <v/>
      </c>
      <c r="BR86" t="n">
        <v>0</v>
      </c>
      <c r="BS86" t="inlineStr">
        <is>
          <t>已成交</t>
        </is>
      </c>
    </row>
    <row r="87">
      <c r="A87" t="n">
        <v>86</v>
      </c>
      <c r="B87" t="inlineStr">
        <is>
          <t>2026-04-08</t>
        </is>
      </c>
      <c r="C87" t="n">
        <v>3008</v>
      </c>
      <c r="D87" t="inlineStr">
        <is>
          <t>自营权益4</t>
        </is>
      </c>
      <c r="E87" t="n">
        <v>3008</v>
      </c>
      <c r="F87" t="n">
        <v>1368</v>
      </c>
      <c r="G87" t="inlineStr">
        <is>
          <t>特步国际</t>
        </is>
      </c>
      <c r="H87" t="inlineStr">
        <is>
          <t>买入</t>
        </is>
      </c>
      <c r="I87" t="n">
        <v>4.58</v>
      </c>
      <c r="J87" t="n">
        <v>4.57</v>
      </c>
      <c r="K87" t="n">
        <v>50000</v>
      </c>
      <c r="L87" t="n">
        <v>229000</v>
      </c>
      <c r="M87" t="n">
        <v>1</v>
      </c>
      <c r="N87" t="n">
        <v>4.58</v>
      </c>
      <c r="O87" t="n">
        <v>4.58</v>
      </c>
      <c r="P87" t="n">
        <v>4.58</v>
      </c>
      <c r="Q87" t="n">
        <v>4.58</v>
      </c>
      <c r="R87" t="n">
        <v>4.58</v>
      </c>
      <c r="S87" t="inlineStr">
        <is>
          <t>港股通（深）</t>
        </is>
      </c>
      <c r="T87" t="n">
        <v>14639511</v>
      </c>
      <c r="U87" t="n">
        <v>0.3415</v>
      </c>
      <c r="V87" t="n">
        <v>66964482.55</v>
      </c>
      <c r="W87" t="n">
        <v>300841</v>
      </c>
      <c r="X87" t="inlineStr">
        <is>
          <t>自营权益4（深港）</t>
        </is>
      </c>
      <c r="Y87" t="n">
        <v>50000</v>
      </c>
      <c r="Z87" t="n">
        <v>4.63</v>
      </c>
      <c r="AA87" t="n">
        <v>4.53</v>
      </c>
      <c r="AB87" t="n">
        <v>1</v>
      </c>
      <c r="AC87" t="inlineStr">
        <is>
          <t>叶盛</t>
        </is>
      </c>
      <c r="AD87" t="inlineStr">
        <is>
          <t>股票资产</t>
        </is>
      </c>
      <c r="AE87" t="n">
        <v>1.3274</v>
      </c>
      <c r="AF87" t="n">
        <v>0.342</v>
      </c>
      <c r="AG87" t="n">
        <v>-0.1268</v>
      </c>
      <c r="AH87" t="n">
        <v>50000</v>
      </c>
      <c r="AI87" t="n">
        <v>53</v>
      </c>
      <c r="AJ87" t="inlineStr">
        <is>
          <t>自营权益4（深港）</t>
        </is>
      </c>
      <c r="AK87" t="inlineStr">
        <is>
          <t>人民币</t>
        </is>
      </c>
      <c r="AL87" t="n">
        <v>6111</v>
      </c>
      <c r="AM87" t="n">
        <v/>
      </c>
      <c r="AN87" t="n">
        <v>30084</v>
      </c>
      <c r="AO87" t="n">
        <v/>
      </c>
      <c r="AP87" t="inlineStr">
        <is>
          <t>顾吟湫</t>
        </is>
      </c>
      <c r="AQ87" t="inlineStr">
        <is>
          <t>人民币</t>
        </is>
      </c>
      <c r="AR87" t="n">
        <v>200594.84</v>
      </c>
      <c r="AS87" t="n">
        <v/>
      </c>
      <c r="AT87" t="n">
        <v/>
      </c>
      <c r="AU87" t="n">
        <v/>
      </c>
      <c r="AV87" t="n">
        <v/>
      </c>
      <c r="AW87" t="inlineStr">
        <is>
          <t>KYG982771092</t>
        </is>
      </c>
      <c r="AX87" t="inlineStr">
        <is>
          <t>无</t>
        </is>
      </c>
      <c r="AY87" t="inlineStr">
        <is>
          <t xml:space="preserve"> </t>
        </is>
      </c>
      <c r="AZ87" t="inlineStr">
        <is>
          <t xml:space="preserve"> </t>
        </is>
      </c>
      <c r="BA87" t="n">
        <v>0.1008</v>
      </c>
      <c r="BB87" t="n">
        <v>0</v>
      </c>
      <c r="BC87" t="inlineStr">
        <is>
          <t>缺省券商</t>
        </is>
      </c>
      <c r="BD87" t="inlineStr">
        <is>
          <t>交易所业务</t>
        </is>
      </c>
      <c r="BE87" t="inlineStr">
        <is>
          <t>不是ETF补券指令</t>
        </is>
      </c>
      <c r="BF87" t="inlineStr">
        <is>
          <t>-229,000.00</t>
        </is>
      </c>
      <c r="BG87" t="n">
        <v>0</v>
      </c>
      <c r="BH87" t="inlineStr">
        <is>
          <t>非强平</t>
        </is>
      </c>
      <c r="BI87" t="inlineStr">
        <is>
          <t>顾吟湫</t>
        </is>
      </c>
      <c r="BJ87" t="inlineStr">
        <is>
          <t>否</t>
        </is>
      </c>
      <c r="BK87" t="inlineStr">
        <is>
          <t>增强限价盘</t>
        </is>
      </c>
      <c r="BL87" t="n">
        <v/>
      </c>
      <c r="BM87" t="n">
        <v>0</v>
      </c>
      <c r="BN87" t="n">
        <v>0.3333333333333333</v>
      </c>
      <c r="BO87" t="inlineStr">
        <is>
          <t>股票</t>
        </is>
      </c>
      <c r="BP87" t="n">
        <v/>
      </c>
      <c r="BQ87" t="n">
        <v/>
      </c>
      <c r="BR87" t="n">
        <v>0</v>
      </c>
      <c r="BS87" t="inlineStr">
        <is>
          <t>已成交</t>
        </is>
      </c>
    </row>
    <row r="88">
      <c r="A88" t="n">
        <v>87</v>
      </c>
      <c r="B88" t="inlineStr">
        <is>
          <t>2026-04-08</t>
        </is>
      </c>
      <c r="C88" t="n">
        <v>3008</v>
      </c>
      <c r="D88" t="inlineStr">
        <is>
          <t>自营权益4</t>
        </is>
      </c>
      <c r="E88" t="n">
        <v>3008</v>
      </c>
      <c r="F88" t="n">
        <v>1398</v>
      </c>
      <c r="G88" t="inlineStr">
        <is>
          <t>工商银行</t>
        </is>
      </c>
      <c r="H88" t="inlineStr">
        <is>
          <t>卖出</t>
        </is>
      </c>
      <c r="I88" t="n">
        <v>6.85</v>
      </c>
      <c r="J88" t="n">
        <v>6.88</v>
      </c>
      <c r="K88" t="n">
        <v>200000</v>
      </c>
      <c r="L88" t="n">
        <v>1400000</v>
      </c>
      <c r="M88" t="n">
        <v>2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inlineStr">
        <is>
          <t>港股通（深）</t>
        </is>
      </c>
      <c r="T88" t="n">
        <v>339070159</v>
      </c>
      <c r="U88" t="n">
        <v>0.059</v>
      </c>
      <c r="V88" t="n">
        <v>2333425434.81</v>
      </c>
      <c r="W88" t="n">
        <v>300841</v>
      </c>
      <c r="X88" t="inlineStr">
        <is>
          <t>自营权益4（深港）</t>
        </is>
      </c>
      <c r="Y88" t="n">
        <v>200000</v>
      </c>
      <c r="Z88" t="n">
        <v>7.02</v>
      </c>
      <c r="AA88" t="n">
        <v>6.8</v>
      </c>
      <c r="AB88" t="n">
        <v>1</v>
      </c>
      <c r="AC88" t="inlineStr">
        <is>
          <t>周啸宇</t>
        </is>
      </c>
      <c r="AD88" t="inlineStr">
        <is>
          <t>股票资产</t>
        </is>
      </c>
      <c r="AE88" t="n">
        <v>-1.5805</v>
      </c>
      <c r="AF88" t="n">
        <v>0.06</v>
      </c>
      <c r="AG88" t="n">
        <v>1.7176</v>
      </c>
      <c r="AH88" t="n">
        <v>200000</v>
      </c>
      <c r="AI88" t="n">
        <v>53</v>
      </c>
      <c r="AJ88" t="inlineStr">
        <is>
          <t>自营权益4（深港）</t>
        </is>
      </c>
      <c r="AK88" t="inlineStr">
        <is>
          <t>人民币</t>
        </is>
      </c>
      <c r="AL88" t="n">
        <v>6111</v>
      </c>
      <c r="AM88" t="n">
        <v/>
      </c>
      <c r="AN88" t="n">
        <v>30084</v>
      </c>
      <c r="AO88" t="n">
        <v/>
      </c>
      <c r="AP88" t="inlineStr">
        <is>
          <t>顾吟湫</t>
        </is>
      </c>
      <c r="AQ88" t="inlineStr">
        <is>
          <t>人民币</t>
        </is>
      </c>
      <c r="AR88" t="n">
        <v>1224776</v>
      </c>
      <c r="AS88" t="n">
        <v/>
      </c>
      <c r="AT88" t="n">
        <v/>
      </c>
      <c r="AU88" t="n">
        <v/>
      </c>
      <c r="AV88" t="n">
        <v/>
      </c>
      <c r="AW88" t="inlineStr">
        <is>
          <t>CNE1000003G1</t>
        </is>
      </c>
      <c r="AX88" t="inlineStr">
        <is>
          <t>无</t>
        </is>
      </c>
      <c r="AY88" t="inlineStr">
        <is>
          <t xml:space="preserve"> </t>
        </is>
      </c>
      <c r="AZ88" t="inlineStr">
        <is>
          <t xml:space="preserve"> </t>
        </is>
      </c>
      <c r="BA88" t="n">
        <v>0.6153999999999999</v>
      </c>
      <c r="BB88" t="n">
        <v>0</v>
      </c>
      <c r="BC88" t="inlineStr">
        <is>
          <t>缺省券商</t>
        </is>
      </c>
      <c r="BD88" t="inlineStr">
        <is>
          <t>交易所业务</t>
        </is>
      </c>
      <c r="BE88" t="inlineStr">
        <is>
          <t>不是ETF补券指令</t>
        </is>
      </c>
      <c r="BF88" t="inlineStr">
        <is>
          <t>1,400,000.00</t>
        </is>
      </c>
      <c r="BG88" t="n">
        <v>0</v>
      </c>
      <c r="BH88" t="inlineStr">
        <is>
          <t>非强平</t>
        </is>
      </c>
      <c r="BI88" t="inlineStr">
        <is>
          <t>顾吟湫</t>
        </is>
      </c>
      <c r="BJ88" t="inlineStr">
        <is>
          <t>否</t>
        </is>
      </c>
      <c r="BK88" t="inlineStr">
        <is>
          <t>竞价限价盘</t>
        </is>
      </c>
      <c r="BL88" t="n">
        <v/>
      </c>
      <c r="BM88" t="n">
        <v>0</v>
      </c>
      <c r="BN88" t="n">
        <v>37</v>
      </c>
      <c r="BO88" t="inlineStr">
        <is>
          <t>股票</t>
        </is>
      </c>
      <c r="BP88" t="n">
        <v/>
      </c>
      <c r="BQ88" t="n">
        <v/>
      </c>
      <c r="BR88" t="n">
        <v>0</v>
      </c>
      <c r="BS88" t="inlineStr">
        <is>
          <t>已成交</t>
        </is>
      </c>
    </row>
    <row r="89">
      <c r="A89" t="n">
        <v>88</v>
      </c>
      <c r="B89" t="inlineStr">
        <is>
          <t>2026-04-08</t>
        </is>
      </c>
      <c r="C89" t="n">
        <v>3008</v>
      </c>
      <c r="D89" t="inlineStr">
        <is>
          <t>自营权益4</t>
        </is>
      </c>
      <c r="E89" t="n">
        <v>3008</v>
      </c>
      <c r="F89" t="n">
        <v>6690</v>
      </c>
      <c r="G89" t="inlineStr">
        <is>
          <t>海尔智家</t>
        </is>
      </c>
      <c r="H89" t="inlineStr">
        <is>
          <t>买入</t>
        </is>
      </c>
      <c r="I89" t="n">
        <v>21.04</v>
      </c>
      <c r="J89" t="n">
        <v>20.88</v>
      </c>
      <c r="K89" t="n">
        <v>20000</v>
      </c>
      <c r="L89" t="n">
        <v>418400</v>
      </c>
      <c r="M89" t="n">
        <v>4</v>
      </c>
      <c r="N89" t="n">
        <v>20.92</v>
      </c>
      <c r="O89" t="n">
        <v>20.92</v>
      </c>
      <c r="P89" t="n">
        <v>20.92</v>
      </c>
      <c r="Q89" t="n">
        <v>20.92</v>
      </c>
      <c r="R89" t="n">
        <v>20.92</v>
      </c>
      <c r="S89" t="inlineStr">
        <is>
          <t>港股通（深）</t>
        </is>
      </c>
      <c r="T89" t="n">
        <v>21357940</v>
      </c>
      <c r="U89" t="n">
        <v>0.0936</v>
      </c>
      <c r="V89" t="n">
        <v>445903243.56</v>
      </c>
      <c r="W89" t="n">
        <v>300841</v>
      </c>
      <c r="X89" t="inlineStr">
        <is>
          <t>自营权益4（深港）</t>
        </is>
      </c>
      <c r="Y89" t="n">
        <v>20000</v>
      </c>
      <c r="Z89" t="n">
        <v>21.1</v>
      </c>
      <c r="AA89" t="n">
        <v>20.68</v>
      </c>
      <c r="AB89" t="n">
        <v>1</v>
      </c>
      <c r="AC89" t="inlineStr">
        <is>
          <t>叶盛</t>
        </is>
      </c>
      <c r="AD89" t="inlineStr">
        <is>
          <t>股票资产</t>
        </is>
      </c>
      <c r="AE89" t="n">
        <v>2.9354</v>
      </c>
      <c r="AF89" t="n">
        <v>0.09379999999999999</v>
      </c>
      <c r="AG89" t="n">
        <v>-0.2031</v>
      </c>
      <c r="AH89" t="n">
        <v>20000</v>
      </c>
      <c r="AI89" t="n">
        <v>53</v>
      </c>
      <c r="AJ89" t="inlineStr">
        <is>
          <t>自营权益4（深港）</t>
        </is>
      </c>
      <c r="AK89" t="inlineStr">
        <is>
          <t>人民币</t>
        </is>
      </c>
      <c r="AL89" t="n">
        <v>6111</v>
      </c>
      <c r="AM89" t="n">
        <v/>
      </c>
      <c r="AN89" t="n">
        <v>30084</v>
      </c>
      <c r="AO89" t="n">
        <v/>
      </c>
      <c r="AP89" t="inlineStr">
        <is>
          <t>顾吟湫</t>
        </is>
      </c>
      <c r="AQ89" t="inlineStr">
        <is>
          <t>人民币</t>
        </is>
      </c>
      <c r="AR89" t="n">
        <v>366501.66</v>
      </c>
      <c r="AS89" t="n">
        <v/>
      </c>
      <c r="AT89" t="n">
        <v/>
      </c>
      <c r="AU89" t="n">
        <v/>
      </c>
      <c r="AV89" t="n">
        <v/>
      </c>
      <c r="AW89" t="inlineStr">
        <is>
          <t>CNE1000048K8</t>
        </is>
      </c>
      <c r="AX89" t="inlineStr">
        <is>
          <t>无</t>
        </is>
      </c>
      <c r="AY89" t="inlineStr">
        <is>
          <t xml:space="preserve"> </t>
        </is>
      </c>
      <c r="AZ89" t="inlineStr">
        <is>
          <t xml:space="preserve"> </t>
        </is>
      </c>
      <c r="BA89" t="n">
        <v>0.1842</v>
      </c>
      <c r="BB89" t="n">
        <v>0</v>
      </c>
      <c r="BC89" t="inlineStr">
        <is>
          <t>缺省券商</t>
        </is>
      </c>
      <c r="BD89" t="inlineStr">
        <is>
          <t>交易所业务</t>
        </is>
      </c>
      <c r="BE89" t="inlineStr">
        <is>
          <t>不是ETF补券指令</t>
        </is>
      </c>
      <c r="BF89" t="inlineStr">
        <is>
          <t>-418,400.00</t>
        </is>
      </c>
      <c r="BG89" t="n">
        <v>0</v>
      </c>
      <c r="BH89" t="inlineStr">
        <is>
          <t>非强平</t>
        </is>
      </c>
      <c r="BI89" t="inlineStr">
        <is>
          <t>顾吟湫</t>
        </is>
      </c>
      <c r="BJ89" t="inlineStr">
        <is>
          <t>否</t>
        </is>
      </c>
      <c r="BK89" t="inlineStr">
        <is>
          <t>增强限价盘</t>
        </is>
      </c>
      <c r="BL89" t="n">
        <v/>
      </c>
      <c r="BM89" t="n">
        <v>0</v>
      </c>
      <c r="BN89" t="n">
        <v>0</v>
      </c>
      <c r="BO89" t="inlineStr">
        <is>
          <t>股票</t>
        </is>
      </c>
      <c r="BP89" t="n">
        <v/>
      </c>
      <c r="BQ89" t="n">
        <v/>
      </c>
      <c r="BR89" t="n">
        <v>0</v>
      </c>
      <c r="BS89" t="inlineStr">
        <is>
          <t>已成交</t>
        </is>
      </c>
    </row>
    <row r="90">
      <c r="A90" t="n">
        <v>89</v>
      </c>
      <c r="B90" t="inlineStr">
        <is>
          <t>2026-04-08</t>
        </is>
      </c>
      <c r="C90" t="n">
        <v>3008</v>
      </c>
      <c r="D90" t="inlineStr">
        <is>
          <t>自营权益4</t>
        </is>
      </c>
      <c r="E90" t="n">
        <v>3008</v>
      </c>
      <c r="F90" t="n">
        <v>9985</v>
      </c>
      <c r="G90" t="inlineStr">
        <is>
          <t>卫龙美味</t>
        </is>
      </c>
      <c r="H90" t="inlineStr">
        <is>
          <t>买入</t>
        </is>
      </c>
      <c r="I90" t="n">
        <v>9.77</v>
      </c>
      <c r="J90" t="n">
        <v>9.720000000000001</v>
      </c>
      <c r="K90" t="n">
        <v>20000</v>
      </c>
      <c r="L90" t="n">
        <v>193000</v>
      </c>
      <c r="M90" t="n">
        <v>1</v>
      </c>
      <c r="N90" t="n">
        <v>9.65</v>
      </c>
      <c r="O90" t="n">
        <v>9.65</v>
      </c>
      <c r="P90" t="n">
        <v>9.65</v>
      </c>
      <c r="Q90" t="n">
        <v>9.65</v>
      </c>
      <c r="R90" t="n">
        <v>9.65</v>
      </c>
      <c r="S90" t="inlineStr">
        <is>
          <t>港股通（深）</t>
        </is>
      </c>
      <c r="T90" t="n">
        <v>4073482</v>
      </c>
      <c r="U90" t="n">
        <v>0.491</v>
      </c>
      <c r="V90" t="n">
        <v>39589407.3</v>
      </c>
      <c r="W90" t="n">
        <v>300841</v>
      </c>
      <c r="X90" t="inlineStr">
        <is>
          <t>自营权益4（深港）</t>
        </is>
      </c>
      <c r="Y90" t="n">
        <v>20000</v>
      </c>
      <c r="Z90" t="n">
        <v>9.869999999999999</v>
      </c>
      <c r="AA90" t="n">
        <v>9.35</v>
      </c>
      <c r="AB90" t="n">
        <v>1</v>
      </c>
      <c r="AC90" t="inlineStr">
        <is>
          <t>叶盛</t>
        </is>
      </c>
      <c r="AD90" t="inlineStr">
        <is>
          <t>股票资产</t>
        </is>
      </c>
      <c r="AE90" t="n">
        <v>4.716</v>
      </c>
      <c r="AF90" t="n">
        <v>0.4875</v>
      </c>
      <c r="AG90" t="n">
        <v>0.7079</v>
      </c>
      <c r="AH90" t="n">
        <v>20000</v>
      </c>
      <c r="AI90" t="n">
        <v>53</v>
      </c>
      <c r="AJ90" t="inlineStr">
        <is>
          <t>自营权益4（深港）</t>
        </is>
      </c>
      <c r="AK90" t="inlineStr">
        <is>
          <t>人民币</t>
        </is>
      </c>
      <c r="AL90" t="n">
        <v>6111</v>
      </c>
      <c r="AM90" t="n">
        <v/>
      </c>
      <c r="AN90" t="n">
        <v>30084</v>
      </c>
      <c r="AO90" t="n">
        <v/>
      </c>
      <c r="AP90" t="inlineStr">
        <is>
          <t>顾吟湫</t>
        </is>
      </c>
      <c r="AQ90" t="inlineStr">
        <is>
          <t>人民币</t>
        </is>
      </c>
      <c r="AR90" t="n">
        <v>169060.28</v>
      </c>
      <c r="AS90" t="n">
        <v/>
      </c>
      <c r="AT90" t="n">
        <v/>
      </c>
      <c r="AU90" t="n">
        <v/>
      </c>
      <c r="AV90" t="n">
        <v/>
      </c>
      <c r="AW90" t="inlineStr">
        <is>
          <t>KYG9T20T1051</t>
        </is>
      </c>
      <c r="AX90" t="inlineStr">
        <is>
          <t>无</t>
        </is>
      </c>
      <c r="AY90" t="inlineStr">
        <is>
          <t xml:space="preserve"> </t>
        </is>
      </c>
      <c r="AZ90" t="inlineStr">
        <is>
          <t xml:space="preserve"> </t>
        </is>
      </c>
      <c r="BA90" t="n">
        <v>0.0849</v>
      </c>
      <c r="BB90" t="n">
        <v>0</v>
      </c>
      <c r="BC90" t="inlineStr">
        <is>
          <t>缺省券商</t>
        </is>
      </c>
      <c r="BD90" t="inlineStr">
        <is>
          <t>交易所业务</t>
        </is>
      </c>
      <c r="BE90" t="inlineStr">
        <is>
          <t>不是ETF补券指令</t>
        </is>
      </c>
      <c r="BF90" t="inlineStr">
        <is>
          <t>-193,000.00</t>
        </is>
      </c>
      <c r="BG90" t="n">
        <v>0</v>
      </c>
      <c r="BH90" t="inlineStr">
        <is>
          <t>非强平</t>
        </is>
      </c>
      <c r="BI90" t="inlineStr">
        <is>
          <t>顾吟湫</t>
        </is>
      </c>
      <c r="BJ90" t="inlineStr">
        <is>
          <t>否</t>
        </is>
      </c>
      <c r="BK90" t="inlineStr">
        <is>
          <t>增强限价盘</t>
        </is>
      </c>
      <c r="BL90" t="n">
        <v/>
      </c>
      <c r="BM90" t="n">
        <v>0</v>
      </c>
      <c r="BN90" t="n">
        <v>5.916666666666667</v>
      </c>
      <c r="BO90" t="inlineStr">
        <is>
          <t>股票</t>
        </is>
      </c>
      <c r="BP90" t="n">
        <v/>
      </c>
      <c r="BQ90" t="n">
        <v/>
      </c>
      <c r="BR90" t="n">
        <v>0</v>
      </c>
      <c r="BS90" t="inlineStr">
        <is>
          <t>已成交</t>
        </is>
      </c>
    </row>
    <row r="91">
      <c r="A91" t="n">
        <v>90</v>
      </c>
      <c r="B91" t="inlineStr">
        <is>
          <t>2026-04-09</t>
        </is>
      </c>
      <c r="C91" t="n">
        <v>3008</v>
      </c>
      <c r="D91" t="inlineStr">
        <is>
          <t>自营权益4</t>
        </is>
      </c>
      <c r="E91" t="n">
        <v>3008</v>
      </c>
      <c r="F91" t="n">
        <v>9985</v>
      </c>
      <c r="G91" t="inlineStr">
        <is>
          <t>卫龙美味</t>
        </is>
      </c>
      <c r="H91" t="inlineStr">
        <is>
          <t>买入</t>
        </is>
      </c>
      <c r="I91" t="n">
        <v>9.5</v>
      </c>
      <c r="J91" t="n">
        <v>9.58</v>
      </c>
      <c r="K91" t="n">
        <v>30000</v>
      </c>
      <c r="L91" t="n">
        <v>286000</v>
      </c>
      <c r="M91" t="n">
        <v>14</v>
      </c>
      <c r="N91" t="n">
        <v>9.5</v>
      </c>
      <c r="O91" t="n">
        <v>9.550000000000001</v>
      </c>
      <c r="P91" t="n">
        <v>9.533333333333333</v>
      </c>
      <c r="Q91" t="n">
        <v>9.533333333333333</v>
      </c>
      <c r="R91" t="n">
        <v>9.533333333333333</v>
      </c>
      <c r="S91" t="inlineStr">
        <is>
          <t>港股通（深）</t>
        </is>
      </c>
      <c r="T91" t="n">
        <v>7597576</v>
      </c>
      <c r="U91" t="n">
        <v>0.3949</v>
      </c>
      <c r="V91" t="n">
        <v>72761958.31999999</v>
      </c>
      <c r="W91" t="n">
        <v>300841</v>
      </c>
      <c r="X91" t="inlineStr">
        <is>
          <t>自营权益4（深港）</t>
        </is>
      </c>
      <c r="Y91" t="n">
        <v>30000</v>
      </c>
      <c r="Z91" t="n">
        <v>9.9</v>
      </c>
      <c r="AA91" t="n">
        <v>9.470000000000001</v>
      </c>
      <c r="AB91" t="n">
        <v>2</v>
      </c>
      <c r="AC91" t="inlineStr">
        <is>
          <t>叶盛</t>
        </is>
      </c>
      <c r="AD91" t="inlineStr">
        <is>
          <t>股票资产</t>
        </is>
      </c>
      <c r="AE91" t="n">
        <v>-2.7636</v>
      </c>
      <c r="AF91" t="n">
        <v>0.3931</v>
      </c>
      <c r="AG91" t="n">
        <v>0.4563</v>
      </c>
      <c r="AH91" t="n">
        <v>30000</v>
      </c>
      <c r="AI91" t="n">
        <v>53</v>
      </c>
      <c r="AJ91" t="inlineStr">
        <is>
          <t>自营权益4（深港）</t>
        </is>
      </c>
      <c r="AK91" t="inlineStr">
        <is>
          <t>人民币</t>
        </is>
      </c>
      <c r="AL91" t="n">
        <v>6111</v>
      </c>
      <c r="AM91" t="n">
        <v/>
      </c>
      <c r="AN91" t="n">
        <v>30084</v>
      </c>
      <c r="AO91" t="n">
        <v/>
      </c>
      <c r="AP91" t="inlineStr">
        <is>
          <t>顾吟湫</t>
        </is>
      </c>
      <c r="AQ91" t="inlineStr">
        <is>
          <t>人民币</t>
        </is>
      </c>
      <c r="AR91" t="n">
        <v>249337.65</v>
      </c>
      <c r="AS91" t="n">
        <v/>
      </c>
      <c r="AT91" t="n">
        <v/>
      </c>
      <c r="AU91" t="n">
        <v/>
      </c>
      <c r="AV91" t="n">
        <v/>
      </c>
      <c r="AW91" t="inlineStr">
        <is>
          <t>KYG9T20T1051</t>
        </is>
      </c>
      <c r="AX91" t="inlineStr">
        <is>
          <t>无</t>
        </is>
      </c>
      <c r="AY91" t="inlineStr">
        <is>
          <t xml:space="preserve"> </t>
        </is>
      </c>
      <c r="AZ91" t="inlineStr">
        <is>
          <t xml:space="preserve"> </t>
        </is>
      </c>
      <c r="BA91" t="n">
        <v>0.1261</v>
      </c>
      <c r="BB91" t="n">
        <v>0</v>
      </c>
      <c r="BC91" t="inlineStr">
        <is>
          <t>缺省券商</t>
        </is>
      </c>
      <c r="BD91" t="inlineStr">
        <is>
          <t>交易所业务</t>
        </is>
      </c>
      <c r="BE91" t="inlineStr">
        <is>
          <t>不是ETF补券指令</t>
        </is>
      </c>
      <c r="BF91" t="inlineStr">
        <is>
          <t>-286,000.00</t>
        </is>
      </c>
      <c r="BG91" t="n">
        <v>0</v>
      </c>
      <c r="BH91" t="inlineStr">
        <is>
          <t>非强平</t>
        </is>
      </c>
      <c r="BI91" t="inlineStr">
        <is>
          <t>顾吟湫</t>
        </is>
      </c>
      <c r="BJ91" t="inlineStr">
        <is>
          <t>否</t>
        </is>
      </c>
      <c r="BK91" t="inlineStr">
        <is>
          <t>增强限价盘</t>
        </is>
      </c>
      <c r="BL91" t="n">
        <v/>
      </c>
      <c r="BM91" t="n">
        <v>0</v>
      </c>
      <c r="BN91" t="n">
        <v>6.25</v>
      </c>
      <c r="BO91" t="inlineStr">
        <is>
          <t>股票</t>
        </is>
      </c>
      <c r="BP91" t="n">
        <v/>
      </c>
      <c r="BQ91" t="n">
        <v/>
      </c>
      <c r="BR91" t="n">
        <v>0</v>
      </c>
      <c r="BS91" t="inlineStr">
        <is>
          <t>已成交</t>
        </is>
      </c>
    </row>
    <row r="92">
      <c r="A92" t="n">
        <v>91</v>
      </c>
      <c r="B92" t="inlineStr">
        <is>
          <t>2026-04-10</t>
        </is>
      </c>
      <c r="C92" t="n">
        <v>3008</v>
      </c>
      <c r="D92" t="inlineStr">
        <is>
          <t>自营权益4</t>
        </is>
      </c>
      <c r="E92" t="n">
        <v>3008</v>
      </c>
      <c r="F92" t="n">
        <v>600887</v>
      </c>
      <c r="G92" t="inlineStr">
        <is>
          <t>伊利股份</t>
        </is>
      </c>
      <c r="H92" t="inlineStr">
        <is>
          <t>买入</t>
        </is>
      </c>
      <c r="I92" t="n">
        <v>26.14</v>
      </c>
      <c r="J92" t="n">
        <v>26.31</v>
      </c>
      <c r="K92" t="n">
        <v>50000</v>
      </c>
      <c r="L92" t="n">
        <v>1313500</v>
      </c>
      <c r="M92" t="n">
        <v>31</v>
      </c>
      <c r="N92" t="n">
        <v>26.27</v>
      </c>
      <c r="O92" t="n">
        <v>26.27</v>
      </c>
      <c r="P92" t="n">
        <v>26.27</v>
      </c>
      <c r="Q92" t="n">
        <v>26.27</v>
      </c>
      <c r="R92" t="n">
        <v>26.27</v>
      </c>
      <c r="S92" t="inlineStr">
        <is>
          <t>上交所A</t>
        </is>
      </c>
      <c r="T92" t="n">
        <v>28061054</v>
      </c>
      <c r="U92" t="n">
        <v>0.1782</v>
      </c>
      <c r="V92" t="n">
        <v>738245207</v>
      </c>
      <c r="W92" t="n">
        <v>300821</v>
      </c>
      <c r="X92" t="inlineStr">
        <is>
          <t>自营权益4（场内）</t>
        </is>
      </c>
      <c r="Y92" t="n">
        <v>50000</v>
      </c>
      <c r="Z92" t="n">
        <v>26.48</v>
      </c>
      <c r="AA92" t="n">
        <v>26.1</v>
      </c>
      <c r="AB92" t="n">
        <v>1</v>
      </c>
      <c r="AC92" t="inlineStr">
        <is>
          <t>叶盛</t>
        </is>
      </c>
      <c r="AD92" t="inlineStr">
        <is>
          <t>股票资产</t>
        </is>
      </c>
      <c r="AE92" t="n">
        <v>0.0766</v>
      </c>
      <c r="AF92" t="n">
        <v>0.1779</v>
      </c>
      <c r="AG92" t="n">
        <v>0.1463</v>
      </c>
      <c r="AH92" t="n">
        <v>50000</v>
      </c>
      <c r="AI92" t="n">
        <v>46</v>
      </c>
      <c r="AJ92" t="inlineStr">
        <is>
          <t>自营权益4（场内）</t>
        </is>
      </c>
      <c r="AK92" t="inlineStr">
        <is>
          <t>人民币</t>
        </is>
      </c>
      <c r="AL92" t="n">
        <v>40878</v>
      </c>
      <c r="AM92" t="n">
        <v/>
      </c>
      <c r="AN92" t="n">
        <v>30082</v>
      </c>
      <c r="AO92" t="n">
        <v/>
      </c>
      <c r="AP92" t="inlineStr">
        <is>
          <t>顾吟湫</t>
        </is>
      </c>
      <c r="AQ92" t="inlineStr">
        <is>
          <t>人民币</t>
        </is>
      </c>
      <c r="AR92" t="n">
        <v>1313500</v>
      </c>
      <c r="AS92" t="n">
        <v>600887</v>
      </c>
      <c r="AT92" t="n">
        <v>600887</v>
      </c>
      <c r="AU92" t="n">
        <v>600887</v>
      </c>
      <c r="AV92" t="n">
        <v>600887</v>
      </c>
      <c r="AW92" t="inlineStr">
        <is>
          <t>600887</t>
        </is>
      </c>
      <c r="AX92" t="inlineStr">
        <is>
          <t>无</t>
        </is>
      </c>
      <c r="AY92" t="inlineStr">
        <is>
          <t xml:space="preserve"> </t>
        </is>
      </c>
      <c r="AZ92" t="inlineStr">
        <is>
          <t xml:space="preserve"> </t>
        </is>
      </c>
      <c r="BA92" t="n">
        <v>0.662</v>
      </c>
      <c r="BB92" t="n">
        <v>0</v>
      </c>
      <c r="BC92" t="inlineStr">
        <is>
          <t>缺省券商</t>
        </is>
      </c>
      <c r="BD92" t="inlineStr">
        <is>
          <t>交易所业务</t>
        </is>
      </c>
      <c r="BE92" t="inlineStr">
        <is>
          <t>不是ETF补券指令</t>
        </is>
      </c>
      <c r="BF92" t="inlineStr">
        <is>
          <t>-1,313,500.00</t>
        </is>
      </c>
      <c r="BG92" t="n">
        <v>26.25</v>
      </c>
      <c r="BH92" t="inlineStr">
        <is>
          <t>非强平</t>
        </is>
      </c>
      <c r="BI92" t="inlineStr">
        <is>
          <t>顾吟湫</t>
        </is>
      </c>
      <c r="BJ92" t="inlineStr">
        <is>
          <t>否</t>
        </is>
      </c>
      <c r="BK92" t="inlineStr">
        <is>
          <t>限价</t>
        </is>
      </c>
      <c r="BL92" t="n">
        <v/>
      </c>
      <c r="BM92" t="n">
        <v>0</v>
      </c>
      <c r="BN92" t="n">
        <v>156.25</v>
      </c>
      <c r="BO92" t="inlineStr">
        <is>
          <t>股票</t>
        </is>
      </c>
      <c r="BP92" t="n">
        <v/>
      </c>
      <c r="BQ92" t="n">
        <v/>
      </c>
      <c r="BR92" t="n">
        <v>0</v>
      </c>
      <c r="BS92" t="inlineStr">
        <is>
          <t>已成交</t>
        </is>
      </c>
    </row>
    <row r="93">
      <c r="A93" t="n">
        <v>92</v>
      </c>
      <c r="B93" t="inlineStr">
        <is>
          <t>2026-04-10</t>
        </is>
      </c>
      <c r="C93" t="n">
        <v>3008</v>
      </c>
      <c r="D93" t="inlineStr">
        <is>
          <t>自营权益4</t>
        </is>
      </c>
      <c r="E93" t="n">
        <v>3008</v>
      </c>
      <c r="F93" t="n">
        <v>601825</v>
      </c>
      <c r="G93" t="inlineStr">
        <is>
          <t>沪农商行</t>
        </is>
      </c>
      <c r="H93" t="inlineStr">
        <is>
          <t>卖出</t>
        </is>
      </c>
      <c r="I93" t="n">
        <v>9.199999999999999</v>
      </c>
      <c r="J93" t="n">
        <v>9.17</v>
      </c>
      <c r="K93" t="n">
        <v>150000</v>
      </c>
      <c r="L93" t="n">
        <v>1380000</v>
      </c>
      <c r="M93" t="n">
        <v>95</v>
      </c>
      <c r="N93" t="n">
        <v>9.199999999999999</v>
      </c>
      <c r="O93" t="n">
        <v>9.199999999999999</v>
      </c>
      <c r="P93" t="n">
        <v>9.199999999999999</v>
      </c>
      <c r="Q93" t="n">
        <v>9.199999999999999</v>
      </c>
      <c r="R93" t="n">
        <v>9.199999999999999</v>
      </c>
      <c r="S93" t="inlineStr">
        <is>
          <t>上交所A</t>
        </is>
      </c>
      <c r="T93" t="n">
        <v>22728696</v>
      </c>
      <c r="U93" t="n">
        <v>0.66</v>
      </c>
      <c r="V93" t="n">
        <v>208461610</v>
      </c>
      <c r="W93" t="n">
        <v>300821</v>
      </c>
      <c r="X93" t="inlineStr">
        <is>
          <t>自营权益4（场内）</t>
        </is>
      </c>
      <c r="Y93" t="n">
        <v>150000</v>
      </c>
      <c r="Z93" t="n">
        <v>9.289999999999999</v>
      </c>
      <c r="AA93" t="n">
        <v>8.98</v>
      </c>
      <c r="AB93" t="n">
        <v>2</v>
      </c>
      <c r="AC93" t="inlineStr">
        <is>
          <t>叶盛</t>
        </is>
      </c>
      <c r="AD93" t="inlineStr">
        <is>
          <t>股票资产</t>
        </is>
      </c>
      <c r="AE93" t="n">
        <v>1.7699</v>
      </c>
      <c r="AF93" t="n">
        <v>0.662</v>
      </c>
      <c r="AG93" t="n">
        <v>0.3086</v>
      </c>
      <c r="AH93" t="n">
        <v>150000</v>
      </c>
      <c r="AI93" t="n">
        <v>46</v>
      </c>
      <c r="AJ93" t="inlineStr">
        <is>
          <t>自营权益4（场内）</t>
        </is>
      </c>
      <c r="AK93" t="inlineStr">
        <is>
          <t>人民币</t>
        </is>
      </c>
      <c r="AL93" t="n">
        <v>40878</v>
      </c>
      <c r="AM93" t="n">
        <v/>
      </c>
      <c r="AN93" t="n">
        <v>30082</v>
      </c>
      <c r="AO93" t="n">
        <v/>
      </c>
      <c r="AP93" t="inlineStr">
        <is>
          <t>顾吟湫</t>
        </is>
      </c>
      <c r="AQ93" t="inlineStr">
        <is>
          <t>人民币</t>
        </is>
      </c>
      <c r="AR93" t="n">
        <v>1380000</v>
      </c>
      <c r="AS93" t="n">
        <v/>
      </c>
      <c r="AT93" t="n">
        <v/>
      </c>
      <c r="AU93" t="n">
        <v/>
      </c>
      <c r="AV93" t="n">
        <v/>
      </c>
      <c r="AW93" t="n">
        <v/>
      </c>
      <c r="AX93" t="inlineStr">
        <is>
          <t>无</t>
        </is>
      </c>
      <c r="AY93" t="inlineStr">
        <is>
          <t xml:space="preserve"> </t>
        </is>
      </c>
      <c r="AZ93" t="inlineStr">
        <is>
          <t xml:space="preserve"> </t>
        </is>
      </c>
      <c r="BA93" t="n">
        <v>0.6956</v>
      </c>
      <c r="BB93" t="n">
        <v>0</v>
      </c>
      <c r="BC93" t="inlineStr">
        <is>
          <t>缺省券商</t>
        </is>
      </c>
      <c r="BD93" t="inlineStr">
        <is>
          <t>交易所业务</t>
        </is>
      </c>
      <c r="BE93" t="inlineStr">
        <is>
          <t>不是ETF补券指令</t>
        </is>
      </c>
      <c r="BF93" t="inlineStr">
        <is>
          <t>1,380,000.00</t>
        </is>
      </c>
      <c r="BG93" t="n">
        <v>9.050000000000001</v>
      </c>
      <c r="BH93" t="inlineStr">
        <is>
          <t>非强平</t>
        </is>
      </c>
      <c r="BI93" t="inlineStr">
        <is>
          <t>顾吟湫</t>
        </is>
      </c>
      <c r="BJ93" t="inlineStr">
        <is>
          <t>否</t>
        </is>
      </c>
      <c r="BK93" t="inlineStr">
        <is>
          <t>限价</t>
        </is>
      </c>
      <c r="BL93" t="n">
        <v/>
      </c>
      <c r="BM93" t="n">
        <v>0</v>
      </c>
      <c r="BN93" t="n">
        <v>1.116666666666667</v>
      </c>
      <c r="BO93" t="inlineStr">
        <is>
          <t>股票</t>
        </is>
      </c>
      <c r="BP93" t="n">
        <v/>
      </c>
      <c r="BQ93" t="n">
        <v/>
      </c>
      <c r="BR93" t="n">
        <v>0</v>
      </c>
      <c r="BS93" t="inlineStr">
        <is>
          <t>已成交</t>
        </is>
      </c>
    </row>
    <row r="94">
      <c r="A94" t="n">
        <v>93</v>
      </c>
      <c r="B94" t="inlineStr">
        <is>
          <t>2026-04-10</t>
        </is>
      </c>
      <c r="C94" t="n">
        <v>3008</v>
      </c>
      <c r="D94" t="inlineStr">
        <is>
          <t>自营权益4</t>
        </is>
      </c>
      <c r="E94" t="n">
        <v>3008</v>
      </c>
      <c r="F94" t="n">
        <v>998</v>
      </c>
      <c r="G94" t="inlineStr">
        <is>
          <t>中信银行</t>
        </is>
      </c>
      <c r="H94" t="inlineStr">
        <is>
          <t>卖出</t>
        </is>
      </c>
      <c r="I94" t="n">
        <v>7.91</v>
      </c>
      <c r="J94" t="n">
        <v>7.88</v>
      </c>
      <c r="K94" t="n">
        <v>300000</v>
      </c>
      <c r="L94" t="n">
        <v>2361000</v>
      </c>
      <c r="M94" t="n">
        <v>1</v>
      </c>
      <c r="N94" t="n">
        <v>7.87</v>
      </c>
      <c r="O94" t="n">
        <v>7.87</v>
      </c>
      <c r="P94" t="n">
        <v>7.87</v>
      </c>
      <c r="Q94" t="n">
        <v>7.87</v>
      </c>
      <c r="R94" t="n">
        <v>7.87</v>
      </c>
      <c r="S94" t="inlineStr">
        <is>
          <t>港股通（深）</t>
        </is>
      </c>
      <c r="T94" t="n">
        <v>15248818</v>
      </c>
      <c r="U94" t="n">
        <v>1.9674</v>
      </c>
      <c r="V94" t="n">
        <v>120226837.88</v>
      </c>
      <c r="W94" t="n">
        <v>300841</v>
      </c>
      <c r="X94" t="inlineStr">
        <is>
          <t>自营权益4（深港）</t>
        </is>
      </c>
      <c r="Y94" t="n">
        <v>300000</v>
      </c>
      <c r="Z94" t="n">
        <v>7.92</v>
      </c>
      <c r="AA94" t="n">
        <v>7.85</v>
      </c>
      <c r="AB94" t="n">
        <v>2</v>
      </c>
      <c r="AC94" t="inlineStr">
        <is>
          <t>叶盛</t>
        </is>
      </c>
      <c r="AD94" t="inlineStr">
        <is>
          <t>股票资产</t>
        </is>
      </c>
      <c r="AE94" t="n">
        <v>0.1266</v>
      </c>
      <c r="AF94" t="n">
        <v>1.9638</v>
      </c>
      <c r="AG94" t="n">
        <v>-0.1814</v>
      </c>
      <c r="AH94" t="n">
        <v>300000</v>
      </c>
      <c r="AI94" t="n">
        <v>53</v>
      </c>
      <c r="AJ94" t="inlineStr">
        <is>
          <t>自营权益4（深港）</t>
        </is>
      </c>
      <c r="AK94" t="inlineStr">
        <is>
          <t>人民币</t>
        </is>
      </c>
      <c r="AL94" t="n">
        <v>6111</v>
      </c>
      <c r="AM94" t="n">
        <v/>
      </c>
      <c r="AN94" t="n">
        <v>30084</v>
      </c>
      <c r="AO94" t="n">
        <v/>
      </c>
      <c r="AP94" t="inlineStr">
        <is>
          <t>顾吟湫</t>
        </is>
      </c>
      <c r="AQ94" t="inlineStr">
        <is>
          <t>人民币</t>
        </is>
      </c>
      <c r="AR94" t="n">
        <v>2061318.27</v>
      </c>
      <c r="AS94" t="n">
        <v/>
      </c>
      <c r="AT94" t="n">
        <v/>
      </c>
      <c r="AU94" t="n">
        <v/>
      </c>
      <c r="AV94" t="n">
        <v/>
      </c>
      <c r="AW94" t="inlineStr">
        <is>
          <t>CNE1000001Q4</t>
        </is>
      </c>
      <c r="AX94" t="inlineStr">
        <is>
          <t>无</t>
        </is>
      </c>
      <c r="AY94" t="inlineStr">
        <is>
          <t xml:space="preserve"> </t>
        </is>
      </c>
      <c r="AZ94" t="inlineStr">
        <is>
          <t xml:space="preserve"> </t>
        </is>
      </c>
      <c r="BA94" t="n">
        <v>1.039</v>
      </c>
      <c r="BB94" t="n">
        <v>0</v>
      </c>
      <c r="BC94" t="inlineStr">
        <is>
          <t>缺省券商</t>
        </is>
      </c>
      <c r="BD94" t="inlineStr">
        <is>
          <t>交易所业务</t>
        </is>
      </c>
      <c r="BE94" t="inlineStr">
        <is>
          <t>不是ETF补券指令</t>
        </is>
      </c>
      <c r="BF94" t="inlineStr">
        <is>
          <t>2,361,000.00</t>
        </is>
      </c>
      <c r="BG94" t="n">
        <v>0</v>
      </c>
      <c r="BH94" t="inlineStr">
        <is>
          <t>非强平</t>
        </is>
      </c>
      <c r="BI94" t="inlineStr">
        <is>
          <t>顾吟湫</t>
        </is>
      </c>
      <c r="BJ94" t="inlineStr">
        <is>
          <t>否</t>
        </is>
      </c>
      <c r="BK94" t="inlineStr">
        <is>
          <t>增强限价盘</t>
        </is>
      </c>
      <c r="BL94" t="n">
        <v/>
      </c>
      <c r="BM94" t="n">
        <v>0</v>
      </c>
      <c r="BN94" t="n">
        <v>14.86666666666667</v>
      </c>
      <c r="BO94" t="inlineStr">
        <is>
          <t>股票</t>
        </is>
      </c>
      <c r="BP94" t="n">
        <v/>
      </c>
      <c r="BQ94" t="n">
        <v/>
      </c>
      <c r="BR94" t="n">
        <v>0</v>
      </c>
      <c r="BS94" t="inlineStr">
        <is>
          <t>已成交</t>
        </is>
      </c>
    </row>
    <row r="95">
      <c r="A95" t="n">
        <v>94</v>
      </c>
      <c r="B95" t="inlineStr">
        <is>
          <t>2026-04-10</t>
        </is>
      </c>
      <c r="C95" t="n">
        <v>3008</v>
      </c>
      <c r="D95" t="inlineStr">
        <is>
          <t>自营权益4</t>
        </is>
      </c>
      <c r="E95" t="n">
        <v>3008</v>
      </c>
      <c r="F95" t="n">
        <v>1398</v>
      </c>
      <c r="G95" t="inlineStr">
        <is>
          <t>工商银行</t>
        </is>
      </c>
      <c r="H95" t="inlineStr">
        <is>
          <t>卖出</t>
        </is>
      </c>
      <c r="I95" t="n">
        <v>6.97</v>
      </c>
      <c r="J95" t="n">
        <v>6.96</v>
      </c>
      <c r="K95" t="n">
        <v>100000</v>
      </c>
      <c r="L95" t="n">
        <v>697000</v>
      </c>
      <c r="M95" t="n">
        <v>22</v>
      </c>
      <c r="N95" t="n">
        <v>6.97</v>
      </c>
      <c r="O95" t="n">
        <v>6.97</v>
      </c>
      <c r="P95" t="n">
        <v>6.97</v>
      </c>
      <c r="Q95" t="n">
        <v>6.97</v>
      </c>
      <c r="R95" t="n">
        <v>6.97</v>
      </c>
      <c r="S95" t="inlineStr">
        <is>
          <t>港股通（深）</t>
        </is>
      </c>
      <c r="T95" t="n">
        <v>140216132</v>
      </c>
      <c r="U95" t="n">
        <v>0.0713</v>
      </c>
      <c r="V95" t="n">
        <v>975595764.502</v>
      </c>
      <c r="W95" t="n">
        <v>300841</v>
      </c>
      <c r="X95" t="inlineStr">
        <is>
          <t>自营权益4（深港）</t>
        </is>
      </c>
      <c r="Y95" t="n">
        <v>200000</v>
      </c>
      <c r="Z95" t="n">
        <v>6.98</v>
      </c>
      <c r="AA95" t="n">
        <v>6.93</v>
      </c>
      <c r="AB95" t="n">
        <v>2</v>
      </c>
      <c r="AC95" t="inlineStr">
        <is>
          <t>叶盛</t>
        </is>
      </c>
      <c r="AD95" t="inlineStr">
        <is>
          <t>股票资产</t>
        </is>
      </c>
      <c r="AE95" t="n">
        <v>0.5772</v>
      </c>
      <c r="AF95" t="n">
        <v>0.07140000000000001</v>
      </c>
      <c r="AG95" t="n">
        <v>0.1753</v>
      </c>
      <c r="AH95" t="n">
        <v>200000</v>
      </c>
      <c r="AI95" t="n">
        <v>53</v>
      </c>
      <c r="AJ95" t="inlineStr">
        <is>
          <t>自营权益4（深港）</t>
        </is>
      </c>
      <c r="AK95" t="inlineStr">
        <is>
          <t>人民币</t>
        </is>
      </c>
      <c r="AL95" t="n">
        <v>6111</v>
      </c>
      <c r="AM95" t="n">
        <v/>
      </c>
      <c r="AN95" t="n">
        <v>30084</v>
      </c>
      <c r="AO95" t="n">
        <v/>
      </c>
      <c r="AP95" t="inlineStr">
        <is>
          <t>顾吟湫</t>
        </is>
      </c>
      <c r="AQ95" t="inlineStr">
        <is>
          <t>人民币</t>
        </is>
      </c>
      <c r="AR95" t="n">
        <v>608529.8199999999</v>
      </c>
      <c r="AS95" t="n">
        <v/>
      </c>
      <c r="AT95" t="n">
        <v/>
      </c>
      <c r="AU95" t="n">
        <v/>
      </c>
      <c r="AV95" t="n">
        <v/>
      </c>
      <c r="AW95" t="inlineStr">
        <is>
          <t>CNE1000003G1</t>
        </is>
      </c>
      <c r="AX95" t="inlineStr">
        <is>
          <t>无</t>
        </is>
      </c>
      <c r="AY95" t="inlineStr">
        <is>
          <t xml:space="preserve"> </t>
        </is>
      </c>
      <c r="AZ95" t="inlineStr">
        <is>
          <t xml:space="preserve"> </t>
        </is>
      </c>
      <c r="BA95" t="n">
        <v>0.3067</v>
      </c>
      <c r="BB95" t="n">
        <v>0</v>
      </c>
      <c r="BC95" t="inlineStr">
        <is>
          <t>缺省券商</t>
        </is>
      </c>
      <c r="BD95" t="inlineStr">
        <is>
          <t>交易所业务</t>
        </is>
      </c>
      <c r="BE95" t="inlineStr">
        <is>
          <t>不是ETF补券指令</t>
        </is>
      </c>
      <c r="BF95" t="inlineStr">
        <is>
          <t>697,000.00</t>
        </is>
      </c>
      <c r="BG95" t="n">
        <v>0</v>
      </c>
      <c r="BH95" t="inlineStr">
        <is>
          <t>非强平</t>
        </is>
      </c>
      <c r="BI95" t="inlineStr">
        <is>
          <t>顾吟湫</t>
        </is>
      </c>
      <c r="BJ95" t="inlineStr">
        <is>
          <t>否</t>
        </is>
      </c>
      <c r="BK95" t="inlineStr">
        <is>
          <t>增强限价盘</t>
        </is>
      </c>
      <c r="BL95" t="n">
        <v/>
      </c>
      <c r="BM95" t="n">
        <v>0</v>
      </c>
      <c r="BN95" t="n">
        <v>179.6166666666667</v>
      </c>
      <c r="BO95" t="inlineStr">
        <is>
          <t>股票</t>
        </is>
      </c>
      <c r="BP95" t="n">
        <v/>
      </c>
      <c r="BQ95" t="n">
        <v/>
      </c>
      <c r="BR95" t="n">
        <v>0</v>
      </c>
      <c r="BS95" t="inlineStr">
        <is>
          <t>已成交</t>
        </is>
      </c>
    </row>
    <row r="96">
      <c r="A96" t="n">
        <v>95</v>
      </c>
      <c r="B96" t="inlineStr">
        <is>
          <t>2026-04-10</t>
        </is>
      </c>
      <c r="C96" t="n">
        <v>3008</v>
      </c>
      <c r="D96" t="inlineStr">
        <is>
          <t>自营权益4</t>
        </is>
      </c>
      <c r="E96" t="n">
        <v>3008</v>
      </c>
      <c r="F96" t="n">
        <v>3988</v>
      </c>
      <c r="G96" t="inlineStr">
        <is>
          <t>中国银行</t>
        </is>
      </c>
      <c r="H96" t="inlineStr">
        <is>
          <t>卖出</t>
        </is>
      </c>
      <c r="I96" t="n">
        <v>5.04</v>
      </c>
      <c r="J96" t="n">
        <v>5.03</v>
      </c>
      <c r="K96" t="n">
        <v>300000</v>
      </c>
      <c r="L96" t="n">
        <v>1512000</v>
      </c>
      <c r="M96" t="n">
        <v>1</v>
      </c>
      <c r="N96" t="n">
        <v>5.04</v>
      </c>
      <c r="O96" t="n">
        <v>5.04</v>
      </c>
      <c r="P96" t="n">
        <v>5.04</v>
      </c>
      <c r="Q96" t="n">
        <v>5.04</v>
      </c>
      <c r="R96" t="n">
        <v>5.04</v>
      </c>
      <c r="S96" t="inlineStr">
        <is>
          <t>港股通（深）</t>
        </is>
      </c>
      <c r="T96" t="n">
        <v>157669567</v>
      </c>
      <c r="U96" t="n">
        <v>0.1903</v>
      </c>
      <c r="V96" t="n">
        <v>792728444.27</v>
      </c>
      <c r="W96" t="n">
        <v>300841</v>
      </c>
      <c r="X96" t="inlineStr">
        <is>
          <t>自营权益4（深港）</t>
        </is>
      </c>
      <c r="Y96" t="n">
        <v>500000</v>
      </c>
      <c r="Z96" t="n">
        <v>5.05</v>
      </c>
      <c r="AA96" t="n">
        <v>5</v>
      </c>
      <c r="AB96" t="n">
        <v>2</v>
      </c>
      <c r="AC96" t="inlineStr">
        <is>
          <t>叶盛</t>
        </is>
      </c>
      <c r="AD96" t="inlineStr">
        <is>
          <t>股票资产</t>
        </is>
      </c>
      <c r="AE96" t="n">
        <v>0.1988</v>
      </c>
      <c r="AF96" t="n">
        <v>0.1907</v>
      </c>
      <c r="AG96" t="n">
        <v>0.2427</v>
      </c>
      <c r="AH96" t="n">
        <v>500000</v>
      </c>
      <c r="AI96" t="n">
        <v>53</v>
      </c>
      <c r="AJ96" t="inlineStr">
        <is>
          <t>自营权益4（深港）</t>
        </is>
      </c>
      <c r="AK96" t="inlineStr">
        <is>
          <t>人民币</t>
        </is>
      </c>
      <c r="AL96" t="n">
        <v>6111</v>
      </c>
      <c r="AM96" t="n">
        <v/>
      </c>
      <c r="AN96" t="n">
        <v>30084</v>
      </c>
      <c r="AO96" t="n">
        <v/>
      </c>
      <c r="AP96" t="inlineStr">
        <is>
          <t>顾吟湫</t>
        </is>
      </c>
      <c r="AQ96" t="inlineStr">
        <is>
          <t>人民币</t>
        </is>
      </c>
      <c r="AR96" t="n">
        <v>1320081.84</v>
      </c>
      <c r="AS96" t="n">
        <v/>
      </c>
      <c r="AT96" t="n">
        <v/>
      </c>
      <c r="AU96" t="n">
        <v/>
      </c>
      <c r="AV96" t="n">
        <v/>
      </c>
      <c r="AW96" t="inlineStr">
        <is>
          <t>CNE1000001Z5</t>
        </is>
      </c>
      <c r="AX96" t="inlineStr">
        <is>
          <t>无</t>
        </is>
      </c>
      <c r="AY96" t="inlineStr">
        <is>
          <t xml:space="preserve"> </t>
        </is>
      </c>
      <c r="AZ96" t="inlineStr">
        <is>
          <t xml:space="preserve"> </t>
        </is>
      </c>
      <c r="BA96" t="n">
        <v>0.6654</v>
      </c>
      <c r="BB96" t="n">
        <v>0</v>
      </c>
      <c r="BC96" t="inlineStr">
        <is>
          <t>缺省券商</t>
        </is>
      </c>
      <c r="BD96" t="inlineStr">
        <is>
          <t>交易所业务</t>
        </is>
      </c>
      <c r="BE96" t="inlineStr">
        <is>
          <t>不是ETF补券指令</t>
        </is>
      </c>
      <c r="BF96" t="inlineStr">
        <is>
          <t>1,512,000.00</t>
        </is>
      </c>
      <c r="BG96" t="n">
        <v>0</v>
      </c>
      <c r="BH96" t="inlineStr">
        <is>
          <t>非强平</t>
        </is>
      </c>
      <c r="BI96" t="inlineStr">
        <is>
          <t>顾吟湫</t>
        </is>
      </c>
      <c r="BJ96" t="inlineStr">
        <is>
          <t>否</t>
        </is>
      </c>
      <c r="BK96" t="inlineStr">
        <is>
          <t>增强限价盘</t>
        </is>
      </c>
      <c r="BL96" t="n">
        <v/>
      </c>
      <c r="BM96" t="n">
        <v>0</v>
      </c>
      <c r="BN96" t="n">
        <v>56.65</v>
      </c>
      <c r="BO96" t="inlineStr">
        <is>
          <t>股票</t>
        </is>
      </c>
      <c r="BP96" t="n">
        <v/>
      </c>
      <c r="BQ96" t="n">
        <v/>
      </c>
      <c r="BR96" t="n">
        <v>0</v>
      </c>
      <c r="BS96" t="inlineStr">
        <is>
          <t>已成交</t>
        </is>
      </c>
    </row>
    <row r="97">
      <c r="A97" t="n">
        <v>96</v>
      </c>
      <c r="B97" t="inlineStr">
        <is>
          <t>2026-04-10</t>
        </is>
      </c>
      <c r="C97" t="n">
        <v>3008</v>
      </c>
      <c r="D97" t="inlineStr">
        <is>
          <t>自营权益4</t>
        </is>
      </c>
      <c r="E97" t="n">
        <v>3008</v>
      </c>
      <c r="F97" t="n">
        <v>6818</v>
      </c>
      <c r="G97" t="inlineStr">
        <is>
          <t>中国光大银行</t>
        </is>
      </c>
      <c r="H97" t="inlineStr">
        <is>
          <t>买入</t>
        </is>
      </c>
      <c r="I97" t="n">
        <v>3.12</v>
      </c>
      <c r="J97" t="n">
        <v>3.1</v>
      </c>
      <c r="K97" t="n">
        <v>780000</v>
      </c>
      <c r="L97" t="n">
        <v>2418000</v>
      </c>
      <c r="M97" t="n">
        <v>57</v>
      </c>
      <c r="N97" t="n">
        <v>3.1</v>
      </c>
      <c r="O97" t="n">
        <v>3.1</v>
      </c>
      <c r="P97" t="n">
        <v>3.1</v>
      </c>
      <c r="Q97" t="n">
        <v>3.1</v>
      </c>
      <c r="R97" t="n">
        <v>3.1</v>
      </c>
      <c r="S97" t="inlineStr">
        <is>
          <t>港股通（深）</t>
        </is>
      </c>
      <c r="T97" t="n">
        <v>9528038</v>
      </c>
      <c r="U97" t="n">
        <v>8.186400000000001</v>
      </c>
      <c r="V97" t="n">
        <v>29510882.04</v>
      </c>
      <c r="W97" t="n">
        <v>300841</v>
      </c>
      <c r="X97" t="inlineStr">
        <is>
          <t>自营权益4（深港）</t>
        </is>
      </c>
      <c r="Y97" t="n">
        <v>780000</v>
      </c>
      <c r="Z97" t="n">
        <v>3.13</v>
      </c>
      <c r="AA97" t="n">
        <v>3.06</v>
      </c>
      <c r="AB97" t="n">
        <v>2</v>
      </c>
      <c r="AC97" t="inlineStr">
        <is>
          <t>叶盛</t>
        </is>
      </c>
      <c r="AD97" t="inlineStr">
        <is>
          <t>股票资产</t>
        </is>
      </c>
      <c r="AE97" t="n">
        <v>2.2951</v>
      </c>
      <c r="AF97" t="n">
        <v>8.1936</v>
      </c>
      <c r="AG97" t="n">
        <v>-0.0872</v>
      </c>
      <c r="AH97" t="n">
        <v>780000</v>
      </c>
      <c r="AI97" t="n">
        <v>53</v>
      </c>
      <c r="AJ97" t="inlineStr">
        <is>
          <t>自营权益4（深港）</t>
        </is>
      </c>
      <c r="AK97" t="inlineStr">
        <is>
          <t>人民币</t>
        </is>
      </c>
      <c r="AL97" t="n">
        <v>6111</v>
      </c>
      <c r="AM97" t="n">
        <v/>
      </c>
      <c r="AN97" t="n">
        <v>30084</v>
      </c>
      <c r="AO97" t="n">
        <v/>
      </c>
      <c r="AP97" t="inlineStr">
        <is>
          <t>顾吟湫</t>
        </is>
      </c>
      <c r="AQ97" t="inlineStr">
        <is>
          <t>人民币</t>
        </is>
      </c>
      <c r="AR97" t="n">
        <v>2111228.39</v>
      </c>
      <c r="AS97" t="n">
        <v/>
      </c>
      <c r="AT97" t="n">
        <v/>
      </c>
      <c r="AU97" t="n">
        <v/>
      </c>
      <c r="AV97" t="n">
        <v/>
      </c>
      <c r="AW97" t="inlineStr">
        <is>
          <t>CNE100001QW3</t>
        </is>
      </c>
      <c r="AX97" t="inlineStr">
        <is>
          <t>无</t>
        </is>
      </c>
      <c r="AY97" t="inlineStr">
        <is>
          <t xml:space="preserve"> </t>
        </is>
      </c>
      <c r="AZ97" t="inlineStr">
        <is>
          <t xml:space="preserve"> </t>
        </is>
      </c>
      <c r="BA97" t="n">
        <v>1.0641</v>
      </c>
      <c r="BB97" t="n">
        <v>0</v>
      </c>
      <c r="BC97" t="inlineStr">
        <is>
          <t>缺省券商</t>
        </is>
      </c>
      <c r="BD97" t="inlineStr">
        <is>
          <t>交易所业务</t>
        </is>
      </c>
      <c r="BE97" t="inlineStr">
        <is>
          <t>不是ETF补券指令</t>
        </is>
      </c>
      <c r="BF97" t="inlineStr">
        <is>
          <t>-2,418,000.00</t>
        </is>
      </c>
      <c r="BG97" t="n">
        <v>0</v>
      </c>
      <c r="BH97" t="inlineStr">
        <is>
          <t>非强平</t>
        </is>
      </c>
      <c r="BI97" t="inlineStr">
        <is>
          <t>顾吟湫</t>
        </is>
      </c>
      <c r="BJ97" t="inlineStr">
        <is>
          <t>否</t>
        </is>
      </c>
      <c r="BK97" t="inlineStr">
        <is>
          <t>增强限价盘</t>
        </is>
      </c>
      <c r="BL97" t="n">
        <v/>
      </c>
      <c r="BM97" t="n">
        <v>0</v>
      </c>
      <c r="BN97" t="n">
        <v>0</v>
      </c>
      <c r="BO97" t="inlineStr">
        <is>
          <t>股票</t>
        </is>
      </c>
      <c r="BP97" t="n">
        <v/>
      </c>
      <c r="BQ97" t="n">
        <v/>
      </c>
      <c r="BR97" t="n">
        <v>0</v>
      </c>
      <c r="BS97" t="inlineStr">
        <is>
          <t>已成交</t>
        </is>
      </c>
    </row>
    <row r="98">
      <c r="A98" t="n">
        <v>97</v>
      </c>
      <c r="B98" t="inlineStr">
        <is>
          <t>2026-04-10</t>
        </is>
      </c>
      <c r="C98" t="n">
        <v>3008</v>
      </c>
      <c r="D98" t="inlineStr">
        <is>
          <t>自营权益4</t>
        </is>
      </c>
      <c r="E98" t="n">
        <v>3008</v>
      </c>
      <c r="F98" t="n">
        <v>9985</v>
      </c>
      <c r="G98" t="inlineStr">
        <is>
          <t>卫龙美味</t>
        </is>
      </c>
      <c r="H98" t="inlineStr">
        <is>
          <t>买入</t>
        </is>
      </c>
      <c r="I98" t="n">
        <v>9.550000000000001</v>
      </c>
      <c r="J98" t="n">
        <v>9.5</v>
      </c>
      <c r="K98" t="n">
        <v>50000</v>
      </c>
      <c r="L98" t="n">
        <v>477000</v>
      </c>
      <c r="M98" t="n">
        <v>4</v>
      </c>
      <c r="N98" t="n">
        <v>9.539999999999999</v>
      </c>
      <c r="O98" t="n">
        <v>9.539999999999999</v>
      </c>
      <c r="P98" t="n">
        <v>9.539999999999999</v>
      </c>
      <c r="Q98" t="n">
        <v>9.539999999999999</v>
      </c>
      <c r="R98" t="n">
        <v>9.539999999999999</v>
      </c>
      <c r="S98" t="inlineStr">
        <is>
          <t>港股通（深）</t>
        </is>
      </c>
      <c r="T98" t="n">
        <v>3319400</v>
      </c>
      <c r="U98" t="n">
        <v>1.5063</v>
      </c>
      <c r="V98" t="n">
        <v>31531385.4</v>
      </c>
      <c r="W98" t="n">
        <v>300841</v>
      </c>
      <c r="X98" t="inlineStr">
        <is>
          <t>自营权益4（深港）</t>
        </is>
      </c>
      <c r="Y98" t="n">
        <v>50000</v>
      </c>
      <c r="Z98" t="n">
        <v>9.619999999999999</v>
      </c>
      <c r="AA98" t="n">
        <v>9.42</v>
      </c>
      <c r="AB98" t="n">
        <v>1</v>
      </c>
      <c r="AC98" t="inlineStr">
        <is>
          <t>叶盛</t>
        </is>
      </c>
      <c r="AD98" t="inlineStr">
        <is>
          <t>股票资产</t>
        </is>
      </c>
      <c r="AE98" t="n">
        <v>0.5263</v>
      </c>
      <c r="AF98" t="n">
        <v>1.5128</v>
      </c>
      <c r="AG98" t="n">
        <v>-0.4306</v>
      </c>
      <c r="AH98" t="n">
        <v>50000</v>
      </c>
      <c r="AI98" t="n">
        <v>53</v>
      </c>
      <c r="AJ98" t="inlineStr">
        <is>
          <t>自营权益4（深港）</t>
        </is>
      </c>
      <c r="AK98" t="inlineStr">
        <is>
          <t>人民币</t>
        </is>
      </c>
      <c r="AL98" t="n">
        <v>6111</v>
      </c>
      <c r="AM98" t="n">
        <v/>
      </c>
      <c r="AN98" t="n">
        <v>30084</v>
      </c>
      <c r="AO98" t="n">
        <v/>
      </c>
      <c r="AP98" t="inlineStr">
        <is>
          <t>顾吟湫</t>
        </is>
      </c>
      <c r="AQ98" t="inlineStr">
        <is>
          <t>人民币</t>
        </is>
      </c>
      <c r="AR98" t="n">
        <v>416483</v>
      </c>
      <c r="AS98" t="n">
        <v/>
      </c>
      <c r="AT98" t="n">
        <v/>
      </c>
      <c r="AU98" t="n">
        <v/>
      </c>
      <c r="AV98" t="n">
        <v/>
      </c>
      <c r="AW98" t="inlineStr">
        <is>
          <t>KYG9T20T1051</t>
        </is>
      </c>
      <c r="AX98" t="inlineStr">
        <is>
          <t>无</t>
        </is>
      </c>
      <c r="AY98" t="inlineStr">
        <is>
          <t xml:space="preserve"> </t>
        </is>
      </c>
      <c r="AZ98" t="inlineStr">
        <is>
          <t xml:space="preserve"> </t>
        </is>
      </c>
      <c r="BA98" t="n">
        <v>0.2099</v>
      </c>
      <c r="BB98" t="n">
        <v>0</v>
      </c>
      <c r="BC98" t="inlineStr">
        <is>
          <t>缺省券商</t>
        </is>
      </c>
      <c r="BD98" t="inlineStr">
        <is>
          <t>交易所业务</t>
        </is>
      </c>
      <c r="BE98" t="inlineStr">
        <is>
          <t>不是ETF补券指令</t>
        </is>
      </c>
      <c r="BF98" t="inlineStr">
        <is>
          <t>-477,000.00</t>
        </is>
      </c>
      <c r="BG98" t="n">
        <v>0</v>
      </c>
      <c r="BH98" t="inlineStr">
        <is>
          <t>非强平</t>
        </is>
      </c>
      <c r="BI98" t="inlineStr">
        <is>
          <t>顾吟湫</t>
        </is>
      </c>
      <c r="BJ98" t="inlineStr">
        <is>
          <t>否</t>
        </is>
      </c>
      <c r="BK98" t="inlineStr">
        <is>
          <t>增强限价盘</t>
        </is>
      </c>
      <c r="BL98" t="n">
        <v/>
      </c>
      <c r="BM98" t="n">
        <v>0</v>
      </c>
      <c r="BN98" t="n">
        <v>0.5</v>
      </c>
      <c r="BO98" t="inlineStr">
        <is>
          <t>股票</t>
        </is>
      </c>
      <c r="BP98" t="n">
        <v/>
      </c>
      <c r="BQ98" t="n">
        <v/>
      </c>
      <c r="BR98" t="n">
        <v>0</v>
      </c>
      <c r="BS98" t="inlineStr">
        <is>
          <t>已成交</t>
        </is>
      </c>
    </row>
    <row r="99">
      <c r="A99" t="n">
        <v>98</v>
      </c>
      <c r="B99" t="inlineStr">
        <is>
          <t>2026-04-13</t>
        </is>
      </c>
      <c r="C99" t="n">
        <v>3008</v>
      </c>
      <c r="D99" t="inlineStr">
        <is>
          <t>自营权益4</t>
        </is>
      </c>
      <c r="E99" t="n">
        <v>3008</v>
      </c>
      <c r="F99" t="n">
        <v>3933</v>
      </c>
      <c r="G99" t="inlineStr">
        <is>
          <t>联邦制药</t>
        </is>
      </c>
      <c r="H99" t="inlineStr">
        <is>
          <t>买入</t>
        </is>
      </c>
      <c r="I99" t="n">
        <v>9.800000000000001</v>
      </c>
      <c r="J99" t="n">
        <v>9.82</v>
      </c>
      <c r="K99" t="n">
        <v>20000</v>
      </c>
      <c r="L99" t="n">
        <v>196000</v>
      </c>
      <c r="M99" t="n">
        <v>5</v>
      </c>
      <c r="N99" t="n">
        <v>9.800000000000001</v>
      </c>
      <c r="O99" t="n">
        <v>9.800000000000001</v>
      </c>
      <c r="P99" t="n">
        <v>9.800000000000001</v>
      </c>
      <c r="Q99" t="n">
        <v>9.800000000000001</v>
      </c>
      <c r="R99" t="n">
        <v>9.800000000000001</v>
      </c>
      <c r="S99" t="inlineStr">
        <is>
          <t>港股通（深）</t>
        </is>
      </c>
      <c r="T99" t="n">
        <v>5255920</v>
      </c>
      <c r="U99" t="n">
        <v>0.3805</v>
      </c>
      <c r="V99" t="n">
        <v>51601795.2</v>
      </c>
      <c r="W99" t="n">
        <v>300841</v>
      </c>
      <c r="X99" t="inlineStr">
        <is>
          <t>自营权益4（深港）</t>
        </is>
      </c>
      <c r="Y99" t="n">
        <v>20000</v>
      </c>
      <c r="Z99" t="n">
        <v>10.14</v>
      </c>
      <c r="AA99" t="n">
        <v>9.76</v>
      </c>
      <c r="AB99" t="n">
        <v>1</v>
      </c>
      <c r="AC99" t="inlineStr">
        <is>
          <t>叶盛</t>
        </is>
      </c>
      <c r="AD99" t="inlineStr">
        <is>
          <t>股票资产</t>
        </is>
      </c>
      <c r="AE99" t="n">
        <v>-2.8741</v>
      </c>
      <c r="AF99" t="n">
        <v>0.3798</v>
      </c>
      <c r="AG99" t="n">
        <v>0.1813</v>
      </c>
      <c r="AH99" t="n">
        <v>20000</v>
      </c>
      <c r="AI99" t="n">
        <v>53</v>
      </c>
      <c r="AJ99" t="inlineStr">
        <is>
          <t>自营权益4（深港）</t>
        </is>
      </c>
      <c r="AK99" t="inlineStr">
        <is>
          <t>人民币</t>
        </is>
      </c>
      <c r="AL99" t="n">
        <v>6111</v>
      </c>
      <c r="AM99" t="n">
        <v/>
      </c>
      <c r="AN99" t="n">
        <v>30084</v>
      </c>
      <c r="AO99" t="n">
        <v/>
      </c>
      <c r="AP99" t="inlineStr">
        <is>
          <t>顾吟湫</t>
        </is>
      </c>
      <c r="AQ99" t="inlineStr">
        <is>
          <t>人民币</t>
        </is>
      </c>
      <c r="AR99" t="n">
        <v>170990.4</v>
      </c>
      <c r="AS99" t="n">
        <v/>
      </c>
      <c r="AT99" t="n">
        <v/>
      </c>
      <c r="AU99" t="n">
        <v/>
      </c>
      <c r="AV99" t="n">
        <v/>
      </c>
      <c r="AW99" t="inlineStr">
        <is>
          <t>KYG8813K1085</t>
        </is>
      </c>
      <c r="AX99" t="inlineStr">
        <is>
          <t>无</t>
        </is>
      </c>
      <c r="AY99" t="inlineStr">
        <is>
          <t xml:space="preserve"> </t>
        </is>
      </c>
      <c r="AZ99" t="inlineStr">
        <is>
          <t xml:space="preserve"> </t>
        </is>
      </c>
      <c r="BA99" t="n">
        <v>0.0866</v>
      </c>
      <c r="BB99" t="n">
        <v>0</v>
      </c>
      <c r="BC99" t="inlineStr">
        <is>
          <t>缺省券商</t>
        </is>
      </c>
      <c r="BD99" t="inlineStr">
        <is>
          <t>交易所业务</t>
        </is>
      </c>
      <c r="BE99" t="inlineStr">
        <is>
          <t>不是ETF补券指令</t>
        </is>
      </c>
      <c r="BF99" t="inlineStr">
        <is>
          <t>-196,000.00</t>
        </is>
      </c>
      <c r="BG99" t="n">
        <v>0</v>
      </c>
      <c r="BH99" t="inlineStr">
        <is>
          <t>非强平</t>
        </is>
      </c>
      <c r="BI99" t="inlineStr">
        <is>
          <t>顾吟湫</t>
        </is>
      </c>
      <c r="BJ99" t="inlineStr">
        <is>
          <t>否</t>
        </is>
      </c>
      <c r="BK99" t="inlineStr">
        <is>
          <t>增强限价盘</t>
        </is>
      </c>
      <c r="BL99" t="n">
        <v/>
      </c>
      <c r="BM99" t="n">
        <v>0</v>
      </c>
      <c r="BN99" t="n">
        <v>13.46666666666667</v>
      </c>
      <c r="BO99" t="inlineStr">
        <is>
          <t>股票</t>
        </is>
      </c>
      <c r="BP99" t="n">
        <v/>
      </c>
      <c r="BQ99" t="n">
        <v/>
      </c>
      <c r="BR99" t="n">
        <v>0</v>
      </c>
      <c r="BS99" t="inlineStr">
        <is>
          <t>已成交</t>
        </is>
      </c>
    </row>
    <row r="100">
      <c r="A100" t="n">
        <v>99</v>
      </c>
      <c r="B100" t="inlineStr">
        <is>
          <t>2026-04-13</t>
        </is>
      </c>
      <c r="C100" t="n">
        <v>3008</v>
      </c>
      <c r="D100" t="inlineStr">
        <is>
          <t>自营权益4</t>
        </is>
      </c>
      <c r="E100" t="n">
        <v>3008</v>
      </c>
      <c r="F100" t="n">
        <v>6818</v>
      </c>
      <c r="G100" t="inlineStr">
        <is>
          <t>中国光大银行</t>
        </is>
      </c>
      <c r="H100" t="inlineStr">
        <is>
          <t>买入</t>
        </is>
      </c>
      <c r="I100" t="n">
        <v>3.12</v>
      </c>
      <c r="J100" t="n">
        <v>3.12</v>
      </c>
      <c r="K100" t="n">
        <v>420000</v>
      </c>
      <c r="L100" t="n">
        <v>1303920</v>
      </c>
      <c r="M100" t="n">
        <v>65</v>
      </c>
      <c r="N100" t="n">
        <v>3.1</v>
      </c>
      <c r="O100" t="n">
        <v>3.13</v>
      </c>
      <c r="P100" t="n">
        <v>3.104571428571429</v>
      </c>
      <c r="Q100" t="n">
        <v>3.104571428571429</v>
      </c>
      <c r="R100" t="n">
        <v>3.104571428571429</v>
      </c>
      <c r="S100" t="inlineStr">
        <is>
          <t>港股通（深）</t>
        </is>
      </c>
      <c r="T100" t="n">
        <v>16794025</v>
      </c>
      <c r="U100" t="n">
        <v>2.5009</v>
      </c>
      <c r="V100" t="n">
        <v>52344552.25</v>
      </c>
      <c r="W100" t="n">
        <v>300841</v>
      </c>
      <c r="X100" t="inlineStr">
        <is>
          <t>自营权益4（深港）</t>
        </is>
      </c>
      <c r="Y100" t="n">
        <v>420000</v>
      </c>
      <c r="Z100" t="n">
        <v>3.13</v>
      </c>
      <c r="AA100" t="n">
        <v>3.07</v>
      </c>
      <c r="AB100" t="n">
        <v>7</v>
      </c>
      <c r="AC100" t="inlineStr">
        <is>
          <t>叶盛</t>
        </is>
      </c>
      <c r="AD100" t="inlineStr">
        <is>
          <t>股票资产</t>
        </is>
      </c>
      <c r="AE100" t="n">
        <v>0</v>
      </c>
      <c r="AF100" t="n">
        <v>2.491</v>
      </c>
      <c r="AG100" t="n">
        <v>0.3946</v>
      </c>
      <c r="AH100" t="n">
        <v>420000</v>
      </c>
      <c r="AI100" t="n">
        <v>53</v>
      </c>
      <c r="AJ100" t="inlineStr">
        <is>
          <t>自营权益4（深港）</t>
        </is>
      </c>
      <c r="AK100" t="inlineStr">
        <is>
          <t>人民币</t>
        </is>
      </c>
      <c r="AL100" t="n">
        <v>6111</v>
      </c>
      <c r="AM100" t="n">
        <v/>
      </c>
      <c r="AN100" t="n">
        <v>30084</v>
      </c>
      <c r="AO100" t="n">
        <v/>
      </c>
      <c r="AP100" t="inlineStr">
        <is>
          <t>顾吟湫</t>
        </is>
      </c>
      <c r="AQ100" t="inlineStr">
        <is>
          <t>人民币</t>
        </is>
      </c>
      <c r="AR100" t="n">
        <v>1137539.81</v>
      </c>
      <c r="AS100" t="n">
        <v/>
      </c>
      <c r="AT100" t="n">
        <v/>
      </c>
      <c r="AU100" t="n">
        <v/>
      </c>
      <c r="AV100" t="n">
        <v/>
      </c>
      <c r="AW100" t="inlineStr">
        <is>
          <t>CNE100001QW3</t>
        </is>
      </c>
      <c r="AX100" t="inlineStr">
        <is>
          <t>无</t>
        </is>
      </c>
      <c r="AY100" t="inlineStr">
        <is>
          <t xml:space="preserve"> </t>
        </is>
      </c>
      <c r="AZ100" t="inlineStr">
        <is>
          <t xml:space="preserve"> </t>
        </is>
      </c>
      <c r="BA100" t="n">
        <v>0.5762</v>
      </c>
      <c r="BB100" t="n">
        <v>0</v>
      </c>
      <c r="BC100" t="inlineStr">
        <is>
          <t>缺省券商</t>
        </is>
      </c>
      <c r="BD100" t="inlineStr">
        <is>
          <t>交易所业务</t>
        </is>
      </c>
      <c r="BE100" t="inlineStr">
        <is>
          <t>不是ETF补券指令</t>
        </is>
      </c>
      <c r="BF100" t="inlineStr">
        <is>
          <t>-1,303,920.00</t>
        </is>
      </c>
      <c r="BG100" t="n">
        <v>0</v>
      </c>
      <c r="BH100" t="inlineStr">
        <is>
          <t>非强平</t>
        </is>
      </c>
      <c r="BI100" t="inlineStr">
        <is>
          <t>顾吟湫</t>
        </is>
      </c>
      <c r="BJ100" t="inlineStr">
        <is>
          <t>否</t>
        </is>
      </c>
      <c r="BK100" t="inlineStr">
        <is>
          <t>增强限价盘</t>
        </is>
      </c>
      <c r="BL100" t="n">
        <v/>
      </c>
      <c r="BM100" t="n">
        <v>0</v>
      </c>
      <c r="BN100" t="n">
        <v>439.1333333333333</v>
      </c>
      <c r="BO100" t="inlineStr">
        <is>
          <t>股票</t>
        </is>
      </c>
      <c r="BP100" t="n">
        <v/>
      </c>
      <c r="BQ100" t="n">
        <v/>
      </c>
      <c r="BR100" t="n">
        <v>0</v>
      </c>
      <c r="BS100" t="inlineStr">
        <is>
          <t>已成交</t>
        </is>
      </c>
    </row>
    <row r="101">
      <c r="A101" t="n">
        <v>100</v>
      </c>
      <c r="B101" t="inlineStr">
        <is>
          <t>2026-04-13</t>
        </is>
      </c>
      <c r="C101" t="n">
        <v>3008</v>
      </c>
      <c r="D101" t="inlineStr">
        <is>
          <t>自营权益4</t>
        </is>
      </c>
      <c r="E101" t="n">
        <v>3008</v>
      </c>
      <c r="F101" t="n">
        <v>9985</v>
      </c>
      <c r="G101" t="inlineStr">
        <is>
          <t>卫龙美味</t>
        </is>
      </c>
      <c r="H101" t="inlineStr">
        <is>
          <t>买入</t>
        </is>
      </c>
      <c r="I101" t="n">
        <v>9.34</v>
      </c>
      <c r="J101" t="n">
        <v>9.34</v>
      </c>
      <c r="K101" t="n">
        <v>20000</v>
      </c>
      <c r="L101" t="n">
        <v>186600</v>
      </c>
      <c r="M101" t="n">
        <v>5</v>
      </c>
      <c r="N101" t="n">
        <v>9.33</v>
      </c>
      <c r="O101" t="n">
        <v>9.33</v>
      </c>
      <c r="P101" t="n">
        <v>9.33</v>
      </c>
      <c r="Q101" t="n">
        <v>9.33</v>
      </c>
      <c r="R101" t="n">
        <v>9.33</v>
      </c>
      <c r="S101" t="inlineStr">
        <is>
          <t>港股通（深）</t>
        </is>
      </c>
      <c r="T101" t="n">
        <v>3447400</v>
      </c>
      <c r="U101" t="n">
        <v>0.5800999999999999</v>
      </c>
      <c r="V101" t="n">
        <v>32196379.4</v>
      </c>
      <c r="W101" t="n">
        <v>300841</v>
      </c>
      <c r="X101" t="inlineStr">
        <is>
          <t>自营权益4（深港）</t>
        </is>
      </c>
      <c r="Y101" t="n">
        <v>20000</v>
      </c>
      <c r="Z101" t="n">
        <v>9.51</v>
      </c>
      <c r="AA101" t="n">
        <v>9.25</v>
      </c>
      <c r="AB101" t="n">
        <v>1</v>
      </c>
      <c r="AC101" t="inlineStr">
        <is>
          <t>叶盛</t>
        </is>
      </c>
      <c r="AD101" t="inlineStr">
        <is>
          <t>股票资产</t>
        </is>
      </c>
      <c r="AE101" t="n">
        <v>-2.199</v>
      </c>
      <c r="AF101" t="n">
        <v>0.5796</v>
      </c>
      <c r="AG101" t="n">
        <v>0.09959999999999999</v>
      </c>
      <c r="AH101" t="n">
        <v>20000</v>
      </c>
      <c r="AI101" t="n">
        <v>53</v>
      </c>
      <c r="AJ101" t="inlineStr">
        <is>
          <t>自营权益4（深港）</t>
        </is>
      </c>
      <c r="AK101" t="inlineStr">
        <is>
          <t>人民币</t>
        </is>
      </c>
      <c r="AL101" t="n">
        <v>6111</v>
      </c>
      <c r="AM101" t="n">
        <v/>
      </c>
      <c r="AN101" t="n">
        <v>30084</v>
      </c>
      <c r="AO101" t="n">
        <v/>
      </c>
      <c r="AP101" t="inlineStr">
        <is>
          <t>顾吟湫</t>
        </is>
      </c>
      <c r="AQ101" t="inlineStr">
        <is>
          <t>人民币</t>
        </is>
      </c>
      <c r="AR101" t="n">
        <v>162789.85</v>
      </c>
      <c r="AS101" t="n">
        <v/>
      </c>
      <c r="AT101" t="n">
        <v/>
      </c>
      <c r="AU101" t="n">
        <v/>
      </c>
      <c r="AV101" t="n">
        <v/>
      </c>
      <c r="AW101" t="inlineStr">
        <is>
          <t>KYG9T20T1051</t>
        </is>
      </c>
      <c r="AX101" t="inlineStr">
        <is>
          <t>无</t>
        </is>
      </c>
      <c r="AY101" t="inlineStr">
        <is>
          <t xml:space="preserve"> </t>
        </is>
      </c>
      <c r="AZ101" t="inlineStr">
        <is>
          <t xml:space="preserve"> </t>
        </is>
      </c>
      <c r="BA101" t="n">
        <v>0.0825</v>
      </c>
      <c r="BB101" t="n">
        <v>0</v>
      </c>
      <c r="BC101" t="inlineStr">
        <is>
          <t>缺省券商</t>
        </is>
      </c>
      <c r="BD101" t="inlineStr">
        <is>
          <t>交易所业务</t>
        </is>
      </c>
      <c r="BE101" t="inlineStr">
        <is>
          <t>不是ETF补券指令</t>
        </is>
      </c>
      <c r="BF101" t="inlineStr">
        <is>
          <t>-186,600.00</t>
        </is>
      </c>
      <c r="BG101" t="n">
        <v>0</v>
      </c>
      <c r="BH101" t="inlineStr">
        <is>
          <t>非强平</t>
        </is>
      </c>
      <c r="BI101" t="inlineStr">
        <is>
          <t>顾吟湫</t>
        </is>
      </c>
      <c r="BJ101" t="inlineStr">
        <is>
          <t>否</t>
        </is>
      </c>
      <c r="BK101" t="inlineStr">
        <is>
          <t>增强限价盘</t>
        </is>
      </c>
      <c r="BL101" t="n">
        <v/>
      </c>
      <c r="BM101" t="n">
        <v>0</v>
      </c>
      <c r="BN101" t="n">
        <v>1.25</v>
      </c>
      <c r="BO101" t="inlineStr">
        <is>
          <t>股票</t>
        </is>
      </c>
      <c r="BP101" t="n">
        <v/>
      </c>
      <c r="BQ101" t="n">
        <v/>
      </c>
      <c r="BR101" t="n">
        <v>0</v>
      </c>
      <c r="BS101" t="inlineStr">
        <is>
          <t>已成交</t>
        </is>
      </c>
    </row>
    <row r="102">
      <c r="A102" t="n">
        <v>101</v>
      </c>
      <c r="B102" t="inlineStr">
        <is>
          <t>2026-04-14</t>
        </is>
      </c>
      <c r="C102" t="n">
        <v>3008</v>
      </c>
      <c r="D102" t="inlineStr">
        <is>
          <t>自营权益4</t>
        </is>
      </c>
      <c r="E102" t="n">
        <v>3008</v>
      </c>
      <c r="F102" t="n">
        <v>3988</v>
      </c>
      <c r="G102" t="inlineStr">
        <is>
          <t>中国银行</t>
        </is>
      </c>
      <c r="H102" t="inlineStr">
        <is>
          <t>卖出</t>
        </is>
      </c>
      <c r="I102" t="n">
        <v>5.11</v>
      </c>
      <c r="J102" t="n">
        <v>5.09</v>
      </c>
      <c r="K102" t="n">
        <v>200000</v>
      </c>
      <c r="L102" t="n">
        <v>1020000</v>
      </c>
      <c r="M102" t="n">
        <v>12</v>
      </c>
      <c r="N102" t="n">
        <v>5.1</v>
      </c>
      <c r="O102" t="n">
        <v>5.1</v>
      </c>
      <c r="P102" t="n">
        <v>5.1</v>
      </c>
      <c r="Q102" t="n">
        <v>5.1</v>
      </c>
      <c r="R102" t="n">
        <v>5.1</v>
      </c>
      <c r="S102" t="inlineStr">
        <is>
          <t>港股通（深）</t>
        </is>
      </c>
      <c r="T102" t="n">
        <v>203974553</v>
      </c>
      <c r="U102" t="n">
        <v>0.09810000000000001</v>
      </c>
      <c r="V102" t="n">
        <v>1038605295.68</v>
      </c>
      <c r="W102" t="n">
        <v>300841</v>
      </c>
      <c r="X102" t="inlineStr">
        <is>
          <t>自营权益4（深港）</t>
        </is>
      </c>
      <c r="Y102" t="n">
        <v>200000</v>
      </c>
      <c r="Z102" t="n">
        <v>5.12</v>
      </c>
      <c r="AA102" t="n">
        <v>5.02</v>
      </c>
      <c r="AB102" t="n">
        <v>1</v>
      </c>
      <c r="AC102" t="inlineStr">
        <is>
          <t>叶盛</t>
        </is>
      </c>
      <c r="AD102" t="inlineStr">
        <is>
          <t>股票资产</t>
        </is>
      </c>
      <c r="AE102" t="n">
        <v>1.3889</v>
      </c>
      <c r="AF102" t="n">
        <v>0.0982</v>
      </c>
      <c r="AG102" t="n">
        <v>0.161</v>
      </c>
      <c r="AH102" t="n">
        <v>200000</v>
      </c>
      <c r="AI102" t="n">
        <v>53</v>
      </c>
      <c r="AJ102" t="inlineStr">
        <is>
          <t>自营权益4（深港）</t>
        </is>
      </c>
      <c r="AK102" t="inlineStr">
        <is>
          <t>人民币</t>
        </is>
      </c>
      <c r="AL102" t="n">
        <v>6111</v>
      </c>
      <c r="AM102" t="n">
        <v/>
      </c>
      <c r="AN102" t="n">
        <v>30084</v>
      </c>
      <c r="AO102" t="n">
        <v/>
      </c>
      <c r="AP102" t="inlineStr">
        <is>
          <t>顾吟湫</t>
        </is>
      </c>
      <c r="AQ102" t="inlineStr">
        <is>
          <t>人民币</t>
        </is>
      </c>
      <c r="AR102" t="n">
        <v>889929.6</v>
      </c>
      <c r="AS102" t="n">
        <v/>
      </c>
      <c r="AT102" t="n">
        <v/>
      </c>
      <c r="AU102" t="n">
        <v/>
      </c>
      <c r="AV102" t="n">
        <v/>
      </c>
      <c r="AW102" t="inlineStr">
        <is>
          <t>CNE1000001Z5</t>
        </is>
      </c>
      <c r="AX102" t="inlineStr">
        <is>
          <t>无</t>
        </is>
      </c>
      <c r="AY102" t="inlineStr">
        <is>
          <t xml:space="preserve"> </t>
        </is>
      </c>
      <c r="AZ102" t="inlineStr">
        <is>
          <t xml:space="preserve"> </t>
        </is>
      </c>
      <c r="BA102" t="n">
        <v>0.4476</v>
      </c>
      <c r="BB102" t="n">
        <v>0</v>
      </c>
      <c r="BC102" t="inlineStr">
        <is>
          <t>缺省券商</t>
        </is>
      </c>
      <c r="BD102" t="inlineStr">
        <is>
          <t>交易所业务</t>
        </is>
      </c>
      <c r="BE102" t="inlineStr">
        <is>
          <t>不是ETF补券指令</t>
        </is>
      </c>
      <c r="BF102" t="inlineStr">
        <is>
          <t>1,020,000.00</t>
        </is>
      </c>
      <c r="BG102" t="n">
        <v>0</v>
      </c>
      <c r="BH102" t="inlineStr">
        <is>
          <t>非强平</t>
        </is>
      </c>
      <c r="BI102" t="inlineStr">
        <is>
          <t>顾吟湫</t>
        </is>
      </c>
      <c r="BJ102" t="inlineStr">
        <is>
          <t>否</t>
        </is>
      </c>
      <c r="BK102" t="inlineStr">
        <is>
          <t>增强限价盘</t>
        </is>
      </c>
      <c r="BL102" t="n">
        <v/>
      </c>
      <c r="BM102" t="n">
        <v>0</v>
      </c>
      <c r="BN102" t="n">
        <v>0</v>
      </c>
      <c r="BO102" t="inlineStr">
        <is>
          <t>股票</t>
        </is>
      </c>
      <c r="BP102" t="n">
        <v/>
      </c>
      <c r="BQ102" t="n">
        <v/>
      </c>
      <c r="BR102" t="n">
        <v>0</v>
      </c>
      <c r="BS102" t="inlineStr">
        <is>
          <t>已成交</t>
        </is>
      </c>
    </row>
    <row r="103">
      <c r="A103" t="n">
        <v>102</v>
      </c>
      <c r="B103" t="inlineStr">
        <is>
          <t>2026-04-14</t>
        </is>
      </c>
      <c r="C103" t="n">
        <v>3008</v>
      </c>
      <c r="D103" t="inlineStr">
        <is>
          <t>自营权益4</t>
        </is>
      </c>
      <c r="E103" t="n">
        <v>3008</v>
      </c>
      <c r="F103" t="n">
        <v>6818</v>
      </c>
      <c r="G103" t="inlineStr">
        <is>
          <t>中国光大银行</t>
        </is>
      </c>
      <c r="H103" t="inlineStr">
        <is>
          <t>买入</t>
        </is>
      </c>
      <c r="I103" t="n">
        <v>3.14</v>
      </c>
      <c r="J103" t="n">
        <v>3.12</v>
      </c>
      <c r="K103" t="n">
        <v>300000</v>
      </c>
      <c r="L103" t="n">
        <v>939000</v>
      </c>
      <c r="M103" t="n">
        <v>5</v>
      </c>
      <c r="N103" t="n">
        <v>3.13</v>
      </c>
      <c r="O103" t="n">
        <v>3.13</v>
      </c>
      <c r="P103" t="n">
        <v>3.13</v>
      </c>
      <c r="Q103" t="n">
        <v>3.13</v>
      </c>
      <c r="R103" t="n">
        <v>3.13</v>
      </c>
      <c r="S103" t="inlineStr">
        <is>
          <t>港股通（深）</t>
        </is>
      </c>
      <c r="T103" t="n">
        <v>16556000</v>
      </c>
      <c r="U103" t="n">
        <v>1.812</v>
      </c>
      <c r="V103" t="n">
        <v>51734778</v>
      </c>
      <c r="W103" t="n">
        <v>300841</v>
      </c>
      <c r="X103" t="inlineStr">
        <is>
          <t>自营权益4（深港）</t>
        </is>
      </c>
      <c r="Y103" t="n">
        <v>300000</v>
      </c>
      <c r="Z103" t="n">
        <v>3.16</v>
      </c>
      <c r="AA103" t="n">
        <v>3.09</v>
      </c>
      <c r="AB103" t="n">
        <v>2</v>
      </c>
      <c r="AC103" t="inlineStr">
        <is>
          <t>叶盛</t>
        </is>
      </c>
      <c r="AD103" t="inlineStr">
        <is>
          <t>股票资产</t>
        </is>
      </c>
      <c r="AE103" t="n">
        <v>0.641</v>
      </c>
      <c r="AF103" t="n">
        <v>1.815</v>
      </c>
      <c r="AG103" t="n">
        <v>-0.1664</v>
      </c>
      <c r="AH103" t="n">
        <v>300000</v>
      </c>
      <c r="AI103" t="n">
        <v>53</v>
      </c>
      <c r="AJ103" t="inlineStr">
        <is>
          <t>自营权益4（深港）</t>
        </is>
      </c>
      <c r="AK103" t="inlineStr">
        <is>
          <t>人民币</t>
        </is>
      </c>
      <c r="AL103" t="n">
        <v>6111</v>
      </c>
      <c r="AM103" t="n">
        <v/>
      </c>
      <c r="AN103" t="n">
        <v>30084</v>
      </c>
      <c r="AO103" t="n">
        <v/>
      </c>
      <c r="AP103" t="inlineStr">
        <is>
          <t>顾吟湫</t>
        </is>
      </c>
      <c r="AQ103" t="inlineStr">
        <is>
          <t>人民币</t>
        </is>
      </c>
      <c r="AR103" t="n">
        <v>819484.08</v>
      </c>
      <c r="AS103" t="n">
        <v/>
      </c>
      <c r="AT103" t="n">
        <v/>
      </c>
      <c r="AU103" t="n">
        <v/>
      </c>
      <c r="AV103" t="n">
        <v/>
      </c>
      <c r="AW103" t="inlineStr">
        <is>
          <t>CNE100001QW3</t>
        </is>
      </c>
      <c r="AX103" t="inlineStr">
        <is>
          <t>无</t>
        </is>
      </c>
      <c r="AY103" t="inlineStr">
        <is>
          <t xml:space="preserve"> </t>
        </is>
      </c>
      <c r="AZ103" t="inlineStr">
        <is>
          <t xml:space="preserve"> </t>
        </is>
      </c>
      <c r="BA103" t="n">
        <v>0.4122</v>
      </c>
      <c r="BB103" t="n">
        <v>0</v>
      </c>
      <c r="BC103" t="inlineStr">
        <is>
          <t>缺省券商</t>
        </is>
      </c>
      <c r="BD103" t="inlineStr">
        <is>
          <t>交易所业务</t>
        </is>
      </c>
      <c r="BE103" t="inlineStr">
        <is>
          <t>不是ETF补券指令</t>
        </is>
      </c>
      <c r="BF103" t="inlineStr">
        <is>
          <t>-939,000.00</t>
        </is>
      </c>
      <c r="BG103" t="n">
        <v>0</v>
      </c>
      <c r="BH103" t="inlineStr">
        <is>
          <t>非强平</t>
        </is>
      </c>
      <c r="BI103" t="inlineStr">
        <is>
          <t>顾吟湫</t>
        </is>
      </c>
      <c r="BJ103" t="inlineStr">
        <is>
          <t>否</t>
        </is>
      </c>
      <c r="BK103" t="inlineStr">
        <is>
          <t>增强限价盘</t>
        </is>
      </c>
      <c r="BL103" t="n">
        <v/>
      </c>
      <c r="BM103" t="n">
        <v>0</v>
      </c>
      <c r="BN103" t="n">
        <v>0</v>
      </c>
      <c r="BO103" t="inlineStr">
        <is>
          <t>股票</t>
        </is>
      </c>
      <c r="BP103" t="n">
        <v/>
      </c>
      <c r="BQ103" t="n">
        <v/>
      </c>
      <c r="BR103" t="n">
        <v>0</v>
      </c>
      <c r="BS103" t="inlineStr">
        <is>
          <t>已成交</t>
        </is>
      </c>
    </row>
    <row r="104">
      <c r="A104" t="n">
        <v>103</v>
      </c>
      <c r="B104" t="inlineStr">
        <is>
          <t>2026-04-15</t>
        </is>
      </c>
      <c r="C104" t="n">
        <v>3008</v>
      </c>
      <c r="D104" t="inlineStr">
        <is>
          <t>自营权益4</t>
        </is>
      </c>
      <c r="E104" t="n">
        <v>3008</v>
      </c>
      <c r="F104" t="n">
        <v>600690</v>
      </c>
      <c r="G104" t="inlineStr">
        <is>
          <t>海尔智家</t>
        </is>
      </c>
      <c r="H104" t="inlineStr">
        <is>
          <t>买入</t>
        </is>
      </c>
      <c r="I104" t="n">
        <v>21.05</v>
      </c>
      <c r="J104" t="n">
        <v>21.09</v>
      </c>
      <c r="K104" t="n">
        <v>90000</v>
      </c>
      <c r="L104" t="n">
        <v>1908810</v>
      </c>
      <c r="M104" t="n">
        <v>42</v>
      </c>
      <c r="N104" t="n">
        <v>21.2</v>
      </c>
      <c r="O104" t="n">
        <v>21.21</v>
      </c>
      <c r="P104" t="n">
        <v>21.209</v>
      </c>
      <c r="Q104" t="n">
        <v>21.209</v>
      </c>
      <c r="R104" t="n">
        <v>21.209</v>
      </c>
      <c r="S104" t="inlineStr">
        <is>
          <t>上交所A</t>
        </is>
      </c>
      <c r="T104" t="n">
        <v>46258157</v>
      </c>
      <c r="U104" t="n">
        <v>0.1946</v>
      </c>
      <c r="V104" t="n">
        <v>975587540</v>
      </c>
      <c r="W104" t="n">
        <v>300821</v>
      </c>
      <c r="X104" t="inlineStr">
        <is>
          <t>自营权益4（场内）</t>
        </is>
      </c>
      <c r="Y104" t="n">
        <v>90000</v>
      </c>
      <c r="Z104" t="n">
        <v>21.25</v>
      </c>
      <c r="AA104" t="n">
        <v>20.95</v>
      </c>
      <c r="AB104" t="n">
        <v>3</v>
      </c>
      <c r="AC104" t="inlineStr">
        <is>
          <t>叶盛</t>
        </is>
      </c>
      <c r="AD104" t="inlineStr">
        <is>
          <t>股票资产</t>
        </is>
      </c>
      <c r="AE104" t="n">
        <v>0.5253</v>
      </c>
      <c r="AF104" t="n">
        <v>0.1957</v>
      </c>
      <c r="AG104" t="n">
        <v>-0.5638</v>
      </c>
      <c r="AH104" t="n">
        <v>90000</v>
      </c>
      <c r="AI104" t="n">
        <v>46</v>
      </c>
      <c r="AJ104" t="inlineStr">
        <is>
          <t>自营权益4（场内）</t>
        </is>
      </c>
      <c r="AK104" t="inlineStr">
        <is>
          <t>人民币</t>
        </is>
      </c>
      <c r="AL104" t="n">
        <v>40878</v>
      </c>
      <c r="AM104" t="n">
        <v/>
      </c>
      <c r="AN104" t="n">
        <v>30082</v>
      </c>
      <c r="AO104" t="n">
        <v/>
      </c>
      <c r="AP104" t="inlineStr">
        <is>
          <t>顾吟湫</t>
        </is>
      </c>
      <c r="AQ104" t="inlineStr">
        <is>
          <t>人民币</t>
        </is>
      </c>
      <c r="AR104" t="n">
        <v>1908810</v>
      </c>
      <c r="AS104" t="n">
        <v>600690</v>
      </c>
      <c r="AT104" t="n">
        <v>600690</v>
      </c>
      <c r="AU104" t="n">
        <v>600690</v>
      </c>
      <c r="AV104" t="n">
        <v>600690</v>
      </c>
      <c r="AW104" t="inlineStr">
        <is>
          <t>600690</t>
        </is>
      </c>
      <c r="AX104" t="inlineStr">
        <is>
          <t>无</t>
        </is>
      </c>
      <c r="AY104" t="inlineStr">
        <is>
          <t xml:space="preserve"> </t>
        </is>
      </c>
      <c r="AZ104" t="inlineStr">
        <is>
          <t xml:space="preserve"> </t>
        </is>
      </c>
      <c r="BA104" t="n">
        <v>0.9607</v>
      </c>
      <c r="BB104" t="n">
        <v>0</v>
      </c>
      <c r="BC104" t="inlineStr">
        <is>
          <t>缺省券商</t>
        </is>
      </c>
      <c r="BD104" t="inlineStr">
        <is>
          <t>交易所业务</t>
        </is>
      </c>
      <c r="BE104" t="inlineStr">
        <is>
          <t>不是ETF补券指令</t>
        </is>
      </c>
      <c r="BF104" t="inlineStr">
        <is>
          <t>-1,908,810.00</t>
        </is>
      </c>
      <c r="BG104" t="n">
        <v>21.06</v>
      </c>
      <c r="BH104" t="inlineStr">
        <is>
          <t>非强平</t>
        </is>
      </c>
      <c r="BI104" t="inlineStr">
        <is>
          <t>顾吟湫</t>
        </is>
      </c>
      <c r="BJ104" t="inlineStr">
        <is>
          <t>否</t>
        </is>
      </c>
      <c r="BK104" t="inlineStr">
        <is>
          <t>限价</t>
        </is>
      </c>
      <c r="BL104" t="n">
        <v/>
      </c>
      <c r="BM104" t="n">
        <v>0</v>
      </c>
      <c r="BN104" t="n">
        <v>6.716666666666667</v>
      </c>
      <c r="BO104" t="inlineStr">
        <is>
          <t>股票</t>
        </is>
      </c>
      <c r="BP104" t="n">
        <v/>
      </c>
      <c r="BQ104" t="n">
        <v/>
      </c>
      <c r="BR104" t="n">
        <v>0</v>
      </c>
      <c r="BS104" t="inlineStr">
        <is>
          <t>已成交</t>
        </is>
      </c>
    </row>
    <row r="105">
      <c r="A105" t="n">
        <v>104</v>
      </c>
      <c r="B105" t="inlineStr">
        <is>
          <t>2026-04-15</t>
        </is>
      </c>
      <c r="C105" t="n">
        <v>3008</v>
      </c>
      <c r="D105" t="inlineStr">
        <is>
          <t>自营权益4</t>
        </is>
      </c>
      <c r="E105" t="n">
        <v>3008</v>
      </c>
      <c r="F105" t="n">
        <v>600908</v>
      </c>
      <c r="G105" t="inlineStr">
        <is>
          <t>无锡银行</t>
        </is>
      </c>
      <c r="H105" t="inlineStr">
        <is>
          <t>卖出</t>
        </is>
      </c>
      <c r="I105" t="n">
        <v>5.69</v>
      </c>
      <c r="J105" t="n">
        <v>5.68</v>
      </c>
      <c r="K105" t="n">
        <v>200000</v>
      </c>
      <c r="L105" t="n">
        <v>1134000</v>
      </c>
      <c r="M105" t="n">
        <v>112</v>
      </c>
      <c r="N105" t="n">
        <v>5.67</v>
      </c>
      <c r="O105" t="n">
        <v>5.67</v>
      </c>
      <c r="P105" t="n">
        <v>5.67</v>
      </c>
      <c r="Q105" t="n">
        <v>5.67</v>
      </c>
      <c r="R105" t="n">
        <v>5.67</v>
      </c>
      <c r="S105" t="inlineStr">
        <is>
          <t>上交所A</t>
        </is>
      </c>
      <c r="T105" t="n">
        <v>13570678</v>
      </c>
      <c r="U105" t="n">
        <v>1.4738</v>
      </c>
      <c r="V105" t="n">
        <v>77052107</v>
      </c>
      <c r="W105" t="n">
        <v>300821</v>
      </c>
      <c r="X105" t="inlineStr">
        <is>
          <t>自营权益4（场内）</t>
        </is>
      </c>
      <c r="Y105" t="n">
        <v>200000</v>
      </c>
      <c r="Z105" t="n">
        <v>5.7</v>
      </c>
      <c r="AA105" t="n">
        <v>5.63</v>
      </c>
      <c r="AB105" t="n">
        <v>1</v>
      </c>
      <c r="AC105" t="inlineStr">
        <is>
          <t>叶盛</t>
        </is>
      </c>
      <c r="AD105" t="inlineStr">
        <is>
          <t>股票资产</t>
        </is>
      </c>
      <c r="AE105" t="n">
        <v>0.8865</v>
      </c>
      <c r="AF105" t="n">
        <v>1.4717</v>
      </c>
      <c r="AG105" t="n">
        <v>-0.1374</v>
      </c>
      <c r="AH105" t="n">
        <v>200000</v>
      </c>
      <c r="AI105" t="n">
        <v>46</v>
      </c>
      <c r="AJ105" t="inlineStr">
        <is>
          <t>自营权益4（场内）</t>
        </is>
      </c>
      <c r="AK105" t="inlineStr">
        <is>
          <t>人民币</t>
        </is>
      </c>
      <c r="AL105" t="n">
        <v>40878</v>
      </c>
      <c r="AM105" t="n">
        <v/>
      </c>
      <c r="AN105" t="n">
        <v>30082</v>
      </c>
      <c r="AO105" t="n">
        <v/>
      </c>
      <c r="AP105" t="inlineStr">
        <is>
          <t>顾吟湫</t>
        </is>
      </c>
      <c r="AQ105" t="inlineStr">
        <is>
          <t>人民币</t>
        </is>
      </c>
      <c r="AR105" t="n">
        <v>1134000</v>
      </c>
      <c r="AS105" t="n">
        <v/>
      </c>
      <c r="AT105" t="n">
        <v/>
      </c>
      <c r="AU105" t="n">
        <v/>
      </c>
      <c r="AV105" t="n">
        <v/>
      </c>
      <c r="AW105" t="n">
        <v/>
      </c>
      <c r="AX105" t="inlineStr">
        <is>
          <t>无</t>
        </is>
      </c>
      <c r="AY105" t="inlineStr">
        <is>
          <t xml:space="preserve"> </t>
        </is>
      </c>
      <c r="AZ105" t="inlineStr">
        <is>
          <t xml:space="preserve"> </t>
        </is>
      </c>
      <c r="BA105" t="n">
        <v>0.5707</v>
      </c>
      <c r="BB105" t="n">
        <v>0</v>
      </c>
      <c r="BC105" t="inlineStr">
        <is>
          <t>缺省券商</t>
        </is>
      </c>
      <c r="BD105" t="inlineStr">
        <is>
          <t>交易所业务</t>
        </is>
      </c>
      <c r="BE105" t="inlineStr">
        <is>
          <t>不是ETF补券指令</t>
        </is>
      </c>
      <c r="BF105" t="inlineStr">
        <is>
          <t>1,134,000.00</t>
        </is>
      </c>
      <c r="BG105" t="n">
        <v>5.64</v>
      </c>
      <c r="BH105" t="inlineStr">
        <is>
          <t>非强平</t>
        </is>
      </c>
      <c r="BI105" t="inlineStr">
        <is>
          <t>顾吟湫</t>
        </is>
      </c>
      <c r="BJ105" t="inlineStr">
        <is>
          <t>否</t>
        </is>
      </c>
      <c r="BK105" t="inlineStr">
        <is>
          <t>限价</t>
        </is>
      </c>
      <c r="BL105" t="n">
        <v/>
      </c>
      <c r="BM105" t="n">
        <v>0</v>
      </c>
      <c r="BN105" t="n">
        <v>0.03333333333333333</v>
      </c>
      <c r="BO105" t="inlineStr">
        <is>
          <t>股票</t>
        </is>
      </c>
      <c r="BP105" t="n">
        <v/>
      </c>
      <c r="BQ105" t="n">
        <v/>
      </c>
      <c r="BR105" t="n">
        <v>0</v>
      </c>
      <c r="BS105" t="inlineStr">
        <is>
          <t>已成交</t>
        </is>
      </c>
    </row>
    <row r="106">
      <c r="A106" t="n">
        <v>105</v>
      </c>
      <c r="B106" t="inlineStr">
        <is>
          <t>2026-04-15</t>
        </is>
      </c>
      <c r="C106" t="n">
        <v>3008</v>
      </c>
      <c r="D106" t="inlineStr">
        <is>
          <t>自营权益4</t>
        </is>
      </c>
      <c r="E106" t="n">
        <v>3008</v>
      </c>
      <c r="F106" t="n">
        <v>600919</v>
      </c>
      <c r="G106" t="inlineStr">
        <is>
          <t>江苏银行</t>
        </is>
      </c>
      <c r="H106" t="inlineStr">
        <is>
          <t>卖出</t>
        </is>
      </c>
      <c r="I106" t="n">
        <v>10.95</v>
      </c>
      <c r="J106" t="n">
        <v>10.89</v>
      </c>
      <c r="K106" t="n">
        <v>180000</v>
      </c>
      <c r="L106" t="n">
        <v>1958400</v>
      </c>
      <c r="M106" t="n">
        <v>77</v>
      </c>
      <c r="N106" t="n">
        <v>10.88</v>
      </c>
      <c r="O106" t="n">
        <v>10.88</v>
      </c>
      <c r="P106" t="n">
        <v>10.88</v>
      </c>
      <c r="Q106" t="n">
        <v>10.88</v>
      </c>
      <c r="R106" t="n">
        <v>10.88</v>
      </c>
      <c r="S106" t="inlineStr">
        <is>
          <t>上交所A</t>
        </is>
      </c>
      <c r="T106" t="n">
        <v>66740966</v>
      </c>
      <c r="U106" t="n">
        <v>0.2697</v>
      </c>
      <c r="V106" t="n">
        <v>726655764</v>
      </c>
      <c r="W106" t="n">
        <v>300821</v>
      </c>
      <c r="X106" t="inlineStr">
        <is>
          <t>自营权益4（场内）</t>
        </is>
      </c>
      <c r="Y106" t="n">
        <v>180000</v>
      </c>
      <c r="Z106" t="n">
        <v>10.96</v>
      </c>
      <c r="AA106" t="n">
        <v>10.79</v>
      </c>
      <c r="AB106" t="n">
        <v>1</v>
      </c>
      <c r="AC106" t="inlineStr">
        <is>
          <t>叶盛</t>
        </is>
      </c>
      <c r="AD106" t="inlineStr">
        <is>
          <t>股票资产</t>
        </is>
      </c>
      <c r="AE106" t="n">
        <v>1.2015</v>
      </c>
      <c r="AF106" t="n">
        <v>0.2695</v>
      </c>
      <c r="AG106" t="n">
        <v>-0.0707</v>
      </c>
      <c r="AH106" t="n">
        <v>180000</v>
      </c>
      <c r="AI106" t="n">
        <v>46</v>
      </c>
      <c r="AJ106" t="inlineStr">
        <is>
          <t>自营权益4（场内）</t>
        </is>
      </c>
      <c r="AK106" t="inlineStr">
        <is>
          <t>人民币</t>
        </is>
      </c>
      <c r="AL106" t="n">
        <v>40878</v>
      </c>
      <c r="AM106" t="n">
        <v/>
      </c>
      <c r="AN106" t="n">
        <v>30082</v>
      </c>
      <c r="AO106" t="n">
        <v/>
      </c>
      <c r="AP106" t="inlineStr">
        <is>
          <t>顾吟湫</t>
        </is>
      </c>
      <c r="AQ106" t="inlineStr">
        <is>
          <t>人民币</t>
        </is>
      </c>
      <c r="AR106" t="n">
        <v>1958400</v>
      </c>
      <c r="AS106" t="n">
        <v/>
      </c>
      <c r="AT106" t="n">
        <v/>
      </c>
      <c r="AU106" t="n">
        <v/>
      </c>
      <c r="AV106" t="n">
        <v/>
      </c>
      <c r="AW106" t="n">
        <v/>
      </c>
      <c r="AX106" t="inlineStr">
        <is>
          <t>无</t>
        </is>
      </c>
      <c r="AY106" t="inlineStr">
        <is>
          <t xml:space="preserve"> </t>
        </is>
      </c>
      <c r="AZ106" t="inlineStr">
        <is>
          <t xml:space="preserve"> </t>
        </is>
      </c>
      <c r="BA106" t="n">
        <v>0.9857</v>
      </c>
      <c r="BB106" t="n">
        <v>0</v>
      </c>
      <c r="BC106" t="inlineStr">
        <is>
          <t>缺省券商</t>
        </is>
      </c>
      <c r="BD106" t="inlineStr">
        <is>
          <t>交易所业务</t>
        </is>
      </c>
      <c r="BE106" t="inlineStr">
        <is>
          <t>不是ETF补券指令</t>
        </is>
      </c>
      <c r="BF106" t="inlineStr">
        <is>
          <t>1,958,400.00</t>
        </is>
      </c>
      <c r="BG106" t="n">
        <v>10.8</v>
      </c>
      <c r="BH106" t="inlineStr">
        <is>
          <t>非强平</t>
        </is>
      </c>
      <c r="BI106" t="inlineStr">
        <is>
          <t>顾吟湫</t>
        </is>
      </c>
      <c r="BJ106" t="inlineStr">
        <is>
          <t>否</t>
        </is>
      </c>
      <c r="BK106" t="inlineStr">
        <is>
          <t>限价</t>
        </is>
      </c>
      <c r="BL106" t="n">
        <v/>
      </c>
      <c r="BM106" t="n">
        <v>0</v>
      </c>
      <c r="BN106" t="n">
        <v>0.7</v>
      </c>
      <c r="BO106" t="inlineStr">
        <is>
          <t>股票</t>
        </is>
      </c>
      <c r="BP106" t="n">
        <v/>
      </c>
      <c r="BQ106" t="n">
        <v/>
      </c>
      <c r="BR106" t="n">
        <v>0</v>
      </c>
      <c r="BS106" t="inlineStr">
        <is>
          <t>已成交</t>
        </is>
      </c>
    </row>
    <row r="107">
      <c r="A107" t="n">
        <v>106</v>
      </c>
      <c r="B107" t="inlineStr">
        <is>
          <t>2026-04-15</t>
        </is>
      </c>
      <c r="C107" t="n">
        <v>3008</v>
      </c>
      <c r="D107" t="inlineStr">
        <is>
          <t>自营权益4</t>
        </is>
      </c>
      <c r="E107" t="n">
        <v>3008</v>
      </c>
      <c r="F107" t="n">
        <v>601577</v>
      </c>
      <c r="G107" t="inlineStr">
        <is>
          <t>长沙银行</t>
        </is>
      </c>
      <c r="H107" t="inlineStr">
        <is>
          <t>卖出</t>
        </is>
      </c>
      <c r="I107" t="n">
        <v>9.470000000000001</v>
      </c>
      <c r="J107" t="n">
        <v>9.460000000000001</v>
      </c>
      <c r="K107" t="n">
        <v>100000</v>
      </c>
      <c r="L107" t="n">
        <v>945000</v>
      </c>
      <c r="M107" t="n">
        <v>23</v>
      </c>
      <c r="N107" t="n">
        <v>9.449999999999999</v>
      </c>
      <c r="O107" t="n">
        <v>9.449999999999999</v>
      </c>
      <c r="P107" t="n">
        <v>9.449999999999999</v>
      </c>
      <c r="Q107" t="n">
        <v>9.449999999999999</v>
      </c>
      <c r="R107" t="n">
        <v>9.449999999999999</v>
      </c>
      <c r="S107" t="inlineStr">
        <is>
          <t>上交所A</t>
        </is>
      </c>
      <c r="T107" t="n">
        <v>14974821</v>
      </c>
      <c r="U107" t="n">
        <v>0.6677999999999999</v>
      </c>
      <c r="V107" t="n">
        <v>141611422</v>
      </c>
      <c r="W107" t="n">
        <v>300821</v>
      </c>
      <c r="X107" t="inlineStr">
        <is>
          <t>自营权益4（场内）</t>
        </is>
      </c>
      <c r="Y107" t="n">
        <v>100000</v>
      </c>
      <c r="Z107" t="n">
        <v>9.5</v>
      </c>
      <c r="AA107" t="n">
        <v>9.4</v>
      </c>
      <c r="AB107" t="n">
        <v>1</v>
      </c>
      <c r="AC107" t="inlineStr">
        <is>
          <t>叶盛</t>
        </is>
      </c>
      <c r="AD107" t="inlineStr">
        <is>
          <t>股票资产</t>
        </is>
      </c>
      <c r="AE107" t="n">
        <v>0.852</v>
      </c>
      <c r="AF107" t="n">
        <v>0.6673</v>
      </c>
      <c r="AG107" t="n">
        <v>-0.0698</v>
      </c>
      <c r="AH107" t="n">
        <v>100000</v>
      </c>
      <c r="AI107" t="n">
        <v>46</v>
      </c>
      <c r="AJ107" t="inlineStr">
        <is>
          <t>自营权益4（场内）</t>
        </is>
      </c>
      <c r="AK107" t="inlineStr">
        <is>
          <t>人民币</t>
        </is>
      </c>
      <c r="AL107" t="n">
        <v>40878</v>
      </c>
      <c r="AM107" t="n">
        <v/>
      </c>
      <c r="AN107" t="n">
        <v>30082</v>
      </c>
      <c r="AO107" t="n">
        <v/>
      </c>
      <c r="AP107" t="inlineStr">
        <is>
          <t>顾吟湫</t>
        </is>
      </c>
      <c r="AQ107" t="inlineStr">
        <is>
          <t>人民币</t>
        </is>
      </c>
      <c r="AR107" t="n">
        <v>945000</v>
      </c>
      <c r="AS107" t="n">
        <v/>
      </c>
      <c r="AT107" t="n">
        <v/>
      </c>
      <c r="AU107" t="n">
        <v/>
      </c>
      <c r="AV107" t="n">
        <v/>
      </c>
      <c r="AW107" t="n">
        <v/>
      </c>
      <c r="AX107" t="inlineStr">
        <is>
          <t>无</t>
        </is>
      </c>
      <c r="AY107" t="inlineStr">
        <is>
          <t xml:space="preserve"> </t>
        </is>
      </c>
      <c r="AZ107" t="inlineStr">
        <is>
          <t xml:space="preserve"> </t>
        </is>
      </c>
      <c r="BA107" t="n">
        <v>0.4756</v>
      </c>
      <c r="BB107" t="n">
        <v>0</v>
      </c>
      <c r="BC107" t="inlineStr">
        <is>
          <t>缺省券商</t>
        </is>
      </c>
      <c r="BD107" t="inlineStr">
        <is>
          <t>交易所业务</t>
        </is>
      </c>
      <c r="BE107" t="inlineStr">
        <is>
          <t>不是ETF补券指令</t>
        </is>
      </c>
      <c r="BF107" t="inlineStr">
        <is>
          <t>945,000.00</t>
        </is>
      </c>
      <c r="BG107" t="n">
        <v>9.44</v>
      </c>
      <c r="BH107" t="inlineStr">
        <is>
          <t>非强平</t>
        </is>
      </c>
      <c r="BI107" t="inlineStr">
        <is>
          <t>顾吟湫</t>
        </is>
      </c>
      <c r="BJ107" t="inlineStr">
        <is>
          <t>否</t>
        </is>
      </c>
      <c r="BK107" t="inlineStr">
        <is>
          <t>限价</t>
        </is>
      </c>
      <c r="BL107" t="n">
        <v/>
      </c>
      <c r="BM107" t="n">
        <v>0</v>
      </c>
      <c r="BN107" t="n">
        <v>0</v>
      </c>
      <c r="BO107" t="inlineStr">
        <is>
          <t>股票</t>
        </is>
      </c>
      <c r="BP107" t="n">
        <v/>
      </c>
      <c r="BQ107" t="n">
        <v/>
      </c>
      <c r="BR107" t="n">
        <v>0</v>
      </c>
      <c r="BS107" t="inlineStr">
        <is>
          <t>已成交</t>
        </is>
      </c>
    </row>
    <row r="108">
      <c r="A108" t="n">
        <v>107</v>
      </c>
      <c r="B108" t="inlineStr">
        <is>
          <t>2026-04-15</t>
        </is>
      </c>
      <c r="C108" t="n">
        <v>3008</v>
      </c>
      <c r="D108" t="inlineStr">
        <is>
          <t>自营权益4</t>
        </is>
      </c>
      <c r="E108" t="n">
        <v>3008</v>
      </c>
      <c r="F108" t="n">
        <v>333</v>
      </c>
      <c r="G108" t="inlineStr">
        <is>
          <t>美的集团</t>
        </is>
      </c>
      <c r="H108" t="inlineStr">
        <is>
          <t>买入</t>
        </is>
      </c>
      <c r="I108" t="n">
        <v>77.48999999999999</v>
      </c>
      <c r="J108" t="n">
        <v>77.29000000000001</v>
      </c>
      <c r="K108" t="n">
        <v>50000</v>
      </c>
      <c r="L108" t="n">
        <v>3871600</v>
      </c>
      <c r="M108" t="n">
        <v>62</v>
      </c>
      <c r="N108" t="n">
        <v>77.43000000000001</v>
      </c>
      <c r="O108" t="n">
        <v>77.44</v>
      </c>
      <c r="P108" t="n">
        <v>77.432</v>
      </c>
      <c r="Q108" t="n">
        <v>77.432</v>
      </c>
      <c r="R108" t="n">
        <v>77.432</v>
      </c>
      <c r="S108" t="inlineStr">
        <is>
          <t>深交所A</t>
        </is>
      </c>
      <c r="T108" t="n">
        <v>31845072</v>
      </c>
      <c r="U108" t="n">
        <v>0.157</v>
      </c>
      <c r="V108" t="n">
        <v>2461286852.72</v>
      </c>
      <c r="W108" t="n">
        <v>300821</v>
      </c>
      <c r="X108" t="inlineStr">
        <is>
          <t>自营权益4（场内）</t>
        </is>
      </c>
      <c r="Y108" t="n">
        <v>50000</v>
      </c>
      <c r="Z108" t="n">
        <v>77.88</v>
      </c>
      <c r="AA108" t="n">
        <v>76.2</v>
      </c>
      <c r="AB108" t="n">
        <v>4</v>
      </c>
      <c r="AC108" t="inlineStr">
        <is>
          <t>叶盛</t>
        </is>
      </c>
      <c r="AD108" t="inlineStr">
        <is>
          <t>股票资产</t>
        </is>
      </c>
      <c r="AE108" t="n">
        <v>1.228</v>
      </c>
      <c r="AF108" t="n">
        <v>0.1573</v>
      </c>
      <c r="AG108" t="n">
        <v>-0.1845</v>
      </c>
      <c r="AH108" t="n">
        <v>50000</v>
      </c>
      <c r="AI108" t="n">
        <v>46</v>
      </c>
      <c r="AJ108" t="inlineStr">
        <is>
          <t>自营权益4（场内）</t>
        </is>
      </c>
      <c r="AK108" t="inlineStr">
        <is>
          <t>人民币</t>
        </is>
      </c>
      <c r="AL108" t="n">
        <v>6111</v>
      </c>
      <c r="AM108" t="n">
        <v/>
      </c>
      <c r="AN108" t="n">
        <v>30082</v>
      </c>
      <c r="AO108" t="n">
        <v/>
      </c>
      <c r="AP108" t="inlineStr">
        <is>
          <t>顾吟湫</t>
        </is>
      </c>
      <c r="AQ108" t="inlineStr">
        <is>
          <t>人民币</t>
        </is>
      </c>
      <c r="AR108" t="n">
        <v>3871600</v>
      </c>
      <c r="AS108" t="n">
        <v>333</v>
      </c>
      <c r="AT108" t="n">
        <v>333</v>
      </c>
      <c r="AU108" t="n">
        <v>333</v>
      </c>
      <c r="AV108" t="n">
        <v>333</v>
      </c>
      <c r="AW108" t="inlineStr">
        <is>
          <t>000333</t>
        </is>
      </c>
      <c r="AX108" t="inlineStr">
        <is>
          <t>无</t>
        </is>
      </c>
      <c r="AY108" t="inlineStr">
        <is>
          <t xml:space="preserve"> </t>
        </is>
      </c>
      <c r="AZ108" t="inlineStr">
        <is>
          <t xml:space="preserve"> </t>
        </is>
      </c>
      <c r="BA108" t="n">
        <v>1.9486</v>
      </c>
      <c r="BB108" t="n">
        <v>0</v>
      </c>
      <c r="BC108" t="inlineStr">
        <is>
          <t>缺省券商</t>
        </is>
      </c>
      <c r="BD108" t="inlineStr">
        <is>
          <t>交易所业务</t>
        </is>
      </c>
      <c r="BE108" t="inlineStr">
        <is>
          <t>不是ETF补券指令</t>
        </is>
      </c>
      <c r="BF108" t="inlineStr">
        <is>
          <t>-3,871,600.00</t>
        </is>
      </c>
      <c r="BG108" t="n">
        <v>76.55</v>
      </c>
      <c r="BH108" t="inlineStr">
        <is>
          <t>非强平</t>
        </is>
      </c>
      <c r="BI108" t="inlineStr">
        <is>
          <t>顾吟湫</t>
        </is>
      </c>
      <c r="BJ108" t="inlineStr">
        <is>
          <t>否</t>
        </is>
      </c>
      <c r="BK108" t="inlineStr">
        <is>
          <t>限价</t>
        </is>
      </c>
      <c r="BL108" t="n">
        <v/>
      </c>
      <c r="BM108" t="n">
        <v>0</v>
      </c>
      <c r="BN108" t="n">
        <v>64.03333333333333</v>
      </c>
      <c r="BO108" t="inlineStr">
        <is>
          <t>股票</t>
        </is>
      </c>
      <c r="BP108" t="n">
        <v/>
      </c>
      <c r="BQ108" t="n">
        <v/>
      </c>
      <c r="BR108" t="n">
        <v>0</v>
      </c>
      <c r="BS108" t="inlineStr">
        <is>
          <t>已成交</t>
        </is>
      </c>
    </row>
    <row r="109">
      <c r="A109" t="n">
        <v>108</v>
      </c>
      <c r="B109" t="inlineStr">
        <is>
          <t>2026-04-15</t>
        </is>
      </c>
      <c r="C109" t="n">
        <v>3008</v>
      </c>
      <c r="D109" t="inlineStr">
        <is>
          <t>自营权益4</t>
        </is>
      </c>
      <c r="E109" t="n">
        <v>3008</v>
      </c>
      <c r="F109" t="n">
        <v>2807</v>
      </c>
      <c r="G109" t="inlineStr">
        <is>
          <t>江阴银行</t>
        </is>
      </c>
      <c r="H109" t="inlineStr">
        <is>
          <t>卖出</t>
        </is>
      </c>
      <c r="I109" t="n">
        <v>4.59</v>
      </c>
      <c r="J109" t="n">
        <v>4.58</v>
      </c>
      <c r="K109" t="n">
        <v>200000</v>
      </c>
      <c r="L109" t="n">
        <v>916000</v>
      </c>
      <c r="M109" t="n">
        <v>43</v>
      </c>
      <c r="N109" t="n">
        <v>4.58</v>
      </c>
      <c r="O109" t="n">
        <v>4.58</v>
      </c>
      <c r="P109" t="n">
        <v>4.58</v>
      </c>
      <c r="Q109" t="n">
        <v>4.58</v>
      </c>
      <c r="R109" t="n">
        <v>4.58</v>
      </c>
      <c r="S109" t="inlineStr">
        <is>
          <t>深交所A</t>
        </is>
      </c>
      <c r="T109" t="n">
        <v>30949687</v>
      </c>
      <c r="U109" t="n">
        <v>0.6462</v>
      </c>
      <c r="V109" t="n">
        <v>141707059.56</v>
      </c>
      <c r="W109" t="n">
        <v>300821</v>
      </c>
      <c r="X109" t="inlineStr">
        <is>
          <t>自营权益4（场内）</t>
        </is>
      </c>
      <c r="Y109" t="n">
        <v>200000</v>
      </c>
      <c r="Z109" t="n">
        <v>4.6</v>
      </c>
      <c r="AA109" t="n">
        <v>4.54</v>
      </c>
      <c r="AB109" t="n">
        <v>1</v>
      </c>
      <c r="AC109" t="inlineStr">
        <is>
          <t>叶盛</t>
        </is>
      </c>
      <c r="AD109" t="inlineStr">
        <is>
          <t>股票资产</t>
        </is>
      </c>
      <c r="AE109" t="n">
        <v>0.8791</v>
      </c>
      <c r="AF109" t="n">
        <v>0.6464</v>
      </c>
      <c r="AG109" t="n">
        <v>0.0306</v>
      </c>
      <c r="AH109" t="n">
        <v>200000</v>
      </c>
      <c r="AI109" t="n">
        <v>46</v>
      </c>
      <c r="AJ109" t="inlineStr">
        <is>
          <t>自营权益4（场内）</t>
        </is>
      </c>
      <c r="AK109" t="inlineStr">
        <is>
          <t>人民币</t>
        </is>
      </c>
      <c r="AL109" t="n">
        <v>6111</v>
      </c>
      <c r="AM109" t="n">
        <v/>
      </c>
      <c r="AN109" t="n">
        <v>30082</v>
      </c>
      <c r="AO109" t="n">
        <v/>
      </c>
      <c r="AP109" t="inlineStr">
        <is>
          <t>顾吟湫</t>
        </is>
      </c>
      <c r="AQ109" t="inlineStr">
        <is>
          <t>人民币</t>
        </is>
      </c>
      <c r="AR109" t="n">
        <v>916000</v>
      </c>
      <c r="AS109" t="n">
        <v/>
      </c>
      <c r="AT109" t="n">
        <v/>
      </c>
      <c r="AU109" t="n">
        <v/>
      </c>
      <c r="AV109" t="n">
        <v/>
      </c>
      <c r="AW109" t="n">
        <v/>
      </c>
      <c r="AX109" t="inlineStr">
        <is>
          <t>无</t>
        </is>
      </c>
      <c r="AY109" t="inlineStr">
        <is>
          <t xml:space="preserve"> </t>
        </is>
      </c>
      <c r="AZ109" t="inlineStr">
        <is>
          <t xml:space="preserve"> </t>
        </is>
      </c>
      <c r="BA109" t="n">
        <v>0.461</v>
      </c>
      <c r="BB109" t="n">
        <v>0</v>
      </c>
      <c r="BC109" t="inlineStr">
        <is>
          <t>缺省券商</t>
        </is>
      </c>
      <c r="BD109" t="inlineStr">
        <is>
          <t>交易所业务</t>
        </is>
      </c>
      <c r="BE109" t="inlineStr">
        <is>
          <t>不是ETF补券指令</t>
        </is>
      </c>
      <c r="BF109" t="inlineStr">
        <is>
          <t>916,000.00</t>
        </is>
      </c>
      <c r="BG109" t="n">
        <v>4.55</v>
      </c>
      <c r="BH109" t="inlineStr">
        <is>
          <t>非强平</t>
        </is>
      </c>
      <c r="BI109" t="inlineStr">
        <is>
          <t>顾吟湫</t>
        </is>
      </c>
      <c r="BJ109" t="inlineStr">
        <is>
          <t>否</t>
        </is>
      </c>
      <c r="BK109" t="inlineStr">
        <is>
          <t>限价</t>
        </is>
      </c>
      <c r="BL109" t="n">
        <v/>
      </c>
      <c r="BM109" t="n">
        <v>0</v>
      </c>
      <c r="BN109" t="n">
        <v>0.7166666666666667</v>
      </c>
      <c r="BO109" t="inlineStr">
        <is>
          <t>股票</t>
        </is>
      </c>
      <c r="BP109" t="n">
        <v/>
      </c>
      <c r="BQ109" t="n">
        <v/>
      </c>
      <c r="BR109" t="n">
        <v>0</v>
      </c>
      <c r="BS109" t="inlineStr">
        <is>
          <t>已成交</t>
        </is>
      </c>
    </row>
    <row r="110">
      <c r="A110" t="n">
        <v>109</v>
      </c>
      <c r="B110" t="inlineStr">
        <is>
          <t>2026-04-15</t>
        </is>
      </c>
      <c r="C110" t="n">
        <v>3008</v>
      </c>
      <c r="D110" t="inlineStr">
        <is>
          <t>自营权益4</t>
        </is>
      </c>
      <c r="E110" t="n">
        <v>3008</v>
      </c>
      <c r="F110" t="n">
        <v>2839</v>
      </c>
      <c r="G110" t="inlineStr">
        <is>
          <t>张家港行</t>
        </is>
      </c>
      <c r="H110" t="inlineStr">
        <is>
          <t>卖出</t>
        </is>
      </c>
      <c r="I110" t="n">
        <v>4.51</v>
      </c>
      <c r="J110" t="n">
        <v>4.5</v>
      </c>
      <c r="K110" t="n">
        <v>200000</v>
      </c>
      <c r="L110" t="n">
        <v>900000</v>
      </c>
      <c r="M110" t="n">
        <v>6</v>
      </c>
      <c r="N110" t="n">
        <v>4.5</v>
      </c>
      <c r="O110" t="n">
        <v>4.5</v>
      </c>
      <c r="P110" t="n">
        <v>4.5</v>
      </c>
      <c r="Q110" t="n">
        <v>4.5</v>
      </c>
      <c r="R110" t="n">
        <v>4.5</v>
      </c>
      <c r="S110" t="inlineStr">
        <is>
          <t>深交所A</t>
        </is>
      </c>
      <c r="T110" t="n">
        <v>22258159</v>
      </c>
      <c r="U110" t="n">
        <v>0.8985</v>
      </c>
      <c r="V110" t="n">
        <v>100094165.89</v>
      </c>
      <c r="W110" t="n">
        <v>300821</v>
      </c>
      <c r="X110" t="inlineStr">
        <is>
          <t>自营权益4（场内）</t>
        </is>
      </c>
      <c r="Y110" t="n">
        <v>200000</v>
      </c>
      <c r="Z110" t="n">
        <v>4.52</v>
      </c>
      <c r="AA110" t="n">
        <v>4.46</v>
      </c>
      <c r="AB110" t="n">
        <v>1</v>
      </c>
      <c r="AC110" t="inlineStr">
        <is>
          <t>叶盛</t>
        </is>
      </c>
      <c r="AD110" t="inlineStr">
        <is>
          <t>股票资产</t>
        </is>
      </c>
      <c r="AE110" t="n">
        <v>0.8949</v>
      </c>
      <c r="AF110" t="n">
        <v>0.8992</v>
      </c>
      <c r="AG110" t="n">
        <v>0.0667</v>
      </c>
      <c r="AH110" t="n">
        <v>200000</v>
      </c>
      <c r="AI110" t="n">
        <v>46</v>
      </c>
      <c r="AJ110" t="inlineStr">
        <is>
          <t>自营权益4（场内）</t>
        </is>
      </c>
      <c r="AK110" t="inlineStr">
        <is>
          <t>人民币</t>
        </is>
      </c>
      <c r="AL110" t="n">
        <v>6111</v>
      </c>
      <c r="AM110" t="n">
        <v/>
      </c>
      <c r="AN110" t="n">
        <v>30082</v>
      </c>
      <c r="AO110" t="n">
        <v/>
      </c>
      <c r="AP110" t="inlineStr">
        <is>
          <t>顾吟湫</t>
        </is>
      </c>
      <c r="AQ110" t="inlineStr">
        <is>
          <t>人民币</t>
        </is>
      </c>
      <c r="AR110" t="n">
        <v>900000</v>
      </c>
      <c r="AS110" t="n">
        <v/>
      </c>
      <c r="AT110" t="n">
        <v/>
      </c>
      <c r="AU110" t="n">
        <v/>
      </c>
      <c r="AV110" t="n">
        <v/>
      </c>
      <c r="AW110" t="n">
        <v/>
      </c>
      <c r="AX110" t="inlineStr">
        <is>
          <t>无</t>
        </is>
      </c>
      <c r="AY110" t="inlineStr">
        <is>
          <t xml:space="preserve"> </t>
        </is>
      </c>
      <c r="AZ110" t="inlineStr">
        <is>
          <t xml:space="preserve"> </t>
        </is>
      </c>
      <c r="BA110" t="n">
        <v>0.453</v>
      </c>
      <c r="BB110" t="n">
        <v>0</v>
      </c>
      <c r="BC110" t="inlineStr">
        <is>
          <t>缺省券商</t>
        </is>
      </c>
      <c r="BD110" t="inlineStr">
        <is>
          <t>交易所业务</t>
        </is>
      </c>
      <c r="BE110" t="inlineStr">
        <is>
          <t>不是ETF补券指令</t>
        </is>
      </c>
      <c r="BF110" t="inlineStr">
        <is>
          <t>900,000.00</t>
        </is>
      </c>
      <c r="BG110" t="n">
        <v>4.47</v>
      </c>
      <c r="BH110" t="inlineStr">
        <is>
          <t>非强平</t>
        </is>
      </c>
      <c r="BI110" t="inlineStr">
        <is>
          <t>顾吟湫</t>
        </is>
      </c>
      <c r="BJ110" t="inlineStr">
        <is>
          <t>否</t>
        </is>
      </c>
      <c r="BK110" t="inlineStr">
        <is>
          <t>限价</t>
        </is>
      </c>
      <c r="BL110" t="n">
        <v/>
      </c>
      <c r="BM110" t="n">
        <v>0</v>
      </c>
      <c r="BN110" t="n">
        <v>0</v>
      </c>
      <c r="BO110" t="inlineStr">
        <is>
          <t>股票</t>
        </is>
      </c>
      <c r="BP110" t="n">
        <v/>
      </c>
      <c r="BQ110" t="n">
        <v/>
      </c>
      <c r="BR110" t="n">
        <v>0</v>
      </c>
      <c r="BS110" t="inlineStr">
        <is>
          <t>已成交</t>
        </is>
      </c>
    </row>
    <row r="111">
      <c r="A111" t="n">
        <v>110</v>
      </c>
      <c r="B111" t="inlineStr">
        <is>
          <t>2026-04-15</t>
        </is>
      </c>
      <c r="C111" t="n">
        <v>3008</v>
      </c>
      <c r="D111" t="inlineStr">
        <is>
          <t>自营权益4</t>
        </is>
      </c>
      <c r="E111" t="n">
        <v>3008</v>
      </c>
      <c r="F111" t="n">
        <v>9985</v>
      </c>
      <c r="G111" t="inlineStr">
        <is>
          <t>卫龙美味</t>
        </is>
      </c>
      <c r="H111" t="inlineStr">
        <is>
          <t>买入</t>
        </is>
      </c>
      <c r="I111" t="n">
        <v>9.32</v>
      </c>
      <c r="J111" t="n">
        <v>9.31</v>
      </c>
      <c r="K111" t="n">
        <v>10000</v>
      </c>
      <c r="L111" t="n">
        <v>93000</v>
      </c>
      <c r="M111" t="n">
        <v>3</v>
      </c>
      <c r="N111" t="n">
        <v>9.300000000000001</v>
      </c>
      <c r="O111" t="n">
        <v>9.300000000000001</v>
      </c>
      <c r="P111" t="n">
        <v>9.300000000000001</v>
      </c>
      <c r="Q111" t="n">
        <v>9.300000000000001</v>
      </c>
      <c r="R111" t="n">
        <v>9.300000000000001</v>
      </c>
      <c r="S111" t="inlineStr">
        <is>
          <t>港股通（深）</t>
        </is>
      </c>
      <c r="T111" t="n">
        <v>2798200</v>
      </c>
      <c r="U111" t="n">
        <v>0.3574</v>
      </c>
      <c r="V111" t="n">
        <v>26051674</v>
      </c>
      <c r="W111" t="n">
        <v>300841</v>
      </c>
      <c r="X111" t="inlineStr">
        <is>
          <t>自营权益4（深港）</t>
        </is>
      </c>
      <c r="Y111" t="n">
        <v>40000</v>
      </c>
      <c r="Z111" t="n">
        <v>9.470000000000001</v>
      </c>
      <c r="AA111" t="n">
        <v>9.199999999999999</v>
      </c>
      <c r="AB111" t="n">
        <v>4</v>
      </c>
      <c r="AC111" t="inlineStr">
        <is>
          <t>叶盛</t>
        </is>
      </c>
      <c r="AD111" t="inlineStr">
        <is>
          <t>股票资产</t>
        </is>
      </c>
      <c r="AE111" t="n">
        <v>0.5394</v>
      </c>
      <c r="AF111" t="n">
        <v>0.357</v>
      </c>
      <c r="AG111" t="n">
        <v>0.1096</v>
      </c>
      <c r="AH111" t="n">
        <v>10000</v>
      </c>
      <c r="AI111" t="n">
        <v>53</v>
      </c>
      <c r="AJ111" t="inlineStr">
        <is>
          <t>自营权益4（深港）</t>
        </is>
      </c>
      <c r="AK111" t="inlineStr">
        <is>
          <t>人民币</t>
        </is>
      </c>
      <c r="AL111" t="n">
        <v>6111</v>
      </c>
      <c r="AM111" t="n">
        <v/>
      </c>
      <c r="AN111" t="n">
        <v>30084</v>
      </c>
      <c r="AO111" t="n">
        <v/>
      </c>
      <c r="AP111" t="inlineStr">
        <is>
          <t>顾吟湫</t>
        </is>
      </c>
      <c r="AQ111" t="inlineStr">
        <is>
          <t>人民币</t>
        </is>
      </c>
      <c r="AR111" t="n">
        <v>80883.96000000001</v>
      </c>
      <c r="AS111" t="n">
        <v/>
      </c>
      <c r="AT111" t="n">
        <v/>
      </c>
      <c r="AU111" t="n">
        <v/>
      </c>
      <c r="AV111" t="n">
        <v/>
      </c>
      <c r="AW111" t="inlineStr">
        <is>
          <t>KYG9T20T1051</t>
        </is>
      </c>
      <c r="AX111" t="inlineStr">
        <is>
          <t>无</t>
        </is>
      </c>
      <c r="AY111" t="inlineStr">
        <is>
          <t xml:space="preserve"> </t>
        </is>
      </c>
      <c r="AZ111" t="inlineStr">
        <is>
          <t xml:space="preserve"> </t>
        </is>
      </c>
      <c r="BA111" t="n">
        <v>0.0407</v>
      </c>
      <c r="BB111" t="n">
        <v>0</v>
      </c>
      <c r="BC111" t="inlineStr">
        <is>
          <t>缺省券商</t>
        </is>
      </c>
      <c r="BD111" t="inlineStr">
        <is>
          <t>交易所业务</t>
        </is>
      </c>
      <c r="BE111" t="inlineStr">
        <is>
          <t>不是ETF补券指令</t>
        </is>
      </c>
      <c r="BF111" t="inlineStr">
        <is>
          <t>-93,000.00</t>
        </is>
      </c>
      <c r="BG111" t="n">
        <v>0</v>
      </c>
      <c r="BH111" t="inlineStr">
        <is>
          <t>非强平</t>
        </is>
      </c>
      <c r="BI111" t="inlineStr">
        <is>
          <t>顾吟湫</t>
        </is>
      </c>
      <c r="BJ111" t="inlineStr">
        <is>
          <t>否</t>
        </is>
      </c>
      <c r="BK111" t="inlineStr">
        <is>
          <t>增强限价盘</t>
        </is>
      </c>
      <c r="BL111" t="n">
        <v/>
      </c>
      <c r="BM111" t="n">
        <v>0</v>
      </c>
      <c r="BN111" t="n">
        <v>2.466666666666667</v>
      </c>
      <c r="BO111" t="inlineStr">
        <is>
          <t>股票</t>
        </is>
      </c>
      <c r="BP111" t="n">
        <v/>
      </c>
      <c r="BQ111" t="n">
        <v/>
      </c>
      <c r="BR111" t="n">
        <v>0</v>
      </c>
      <c r="BS111" t="inlineStr">
        <is>
          <t>已成交</t>
        </is>
      </c>
    </row>
    <row r="112">
      <c r="A112" t="n">
        <v>111</v>
      </c>
      <c r="B112" t="inlineStr">
        <is>
          <t>2026-04-16</t>
        </is>
      </c>
      <c r="C112" t="n">
        <v>3008</v>
      </c>
      <c r="D112" t="inlineStr">
        <is>
          <t>自营权益4</t>
        </is>
      </c>
      <c r="E112" t="n">
        <v>3008</v>
      </c>
      <c r="F112" t="n">
        <v>941</v>
      </c>
      <c r="G112" t="inlineStr">
        <is>
          <t>中国移动</t>
        </is>
      </c>
      <c r="H112" t="inlineStr">
        <is>
          <t>卖出</t>
        </is>
      </c>
      <c r="I112" t="n">
        <v>81.59999999999999</v>
      </c>
      <c r="J112" t="n">
        <v>81.69</v>
      </c>
      <c r="K112" t="n">
        <v>20000</v>
      </c>
      <c r="L112" t="n">
        <v>1631500</v>
      </c>
      <c r="M112" t="n">
        <v>3</v>
      </c>
      <c r="N112" t="n">
        <v>81.5</v>
      </c>
      <c r="O112" t="n">
        <v>81.65000000000001</v>
      </c>
      <c r="P112" t="n">
        <v>81.575</v>
      </c>
      <c r="Q112" t="n">
        <v>81.575</v>
      </c>
      <c r="R112" t="n">
        <v>81.575</v>
      </c>
      <c r="S112" t="inlineStr">
        <is>
          <t>港股通（深）</t>
        </is>
      </c>
      <c r="T112" t="n">
        <v>18754345</v>
      </c>
      <c r="U112" t="n">
        <v>0.1066</v>
      </c>
      <c r="V112" t="n">
        <v>1531960907.8</v>
      </c>
      <c r="W112" t="n">
        <v>300841</v>
      </c>
      <c r="X112" t="inlineStr">
        <is>
          <t>自营权益4（深港）</t>
        </is>
      </c>
      <c r="Y112" t="n">
        <v>20000</v>
      </c>
      <c r="Z112" t="n">
        <v>82</v>
      </c>
      <c r="AA112" t="n">
        <v>81.3</v>
      </c>
      <c r="AB112" t="n">
        <v>3</v>
      </c>
      <c r="AC112" t="inlineStr">
        <is>
          <t>叶盛</t>
        </is>
      </c>
      <c r="AD112" t="inlineStr">
        <is>
          <t>股票资产</t>
        </is>
      </c>
      <c r="AE112" t="n">
        <v>0.3073</v>
      </c>
      <c r="AF112" t="n">
        <v>0.1065</v>
      </c>
      <c r="AG112" t="n">
        <v>-0.1355</v>
      </c>
      <c r="AH112" t="n">
        <v>20000</v>
      </c>
      <c r="AI112" t="n">
        <v>53</v>
      </c>
      <c r="AJ112" t="inlineStr">
        <is>
          <t>自营权益4（深港）</t>
        </is>
      </c>
      <c r="AK112" t="inlineStr">
        <is>
          <t>人民币</t>
        </is>
      </c>
      <c r="AL112" t="n">
        <v>6111</v>
      </c>
      <c r="AM112" t="n">
        <v/>
      </c>
      <c r="AN112" t="n">
        <v>30084</v>
      </c>
      <c r="AO112" t="n">
        <v/>
      </c>
      <c r="AP112" t="inlineStr">
        <is>
          <t>顾吟湫</t>
        </is>
      </c>
      <c r="AQ112" t="inlineStr">
        <is>
          <t>人民币</t>
        </is>
      </c>
      <c r="AR112" t="n">
        <v>1419192.9</v>
      </c>
      <c r="AS112" t="n">
        <v/>
      </c>
      <c r="AT112" t="n">
        <v/>
      </c>
      <c r="AU112" t="n">
        <v/>
      </c>
      <c r="AV112" t="n">
        <v/>
      </c>
      <c r="AW112" t="inlineStr">
        <is>
          <t>HK0941009539</t>
        </is>
      </c>
      <c r="AX112" t="inlineStr">
        <is>
          <t>无</t>
        </is>
      </c>
      <c r="AY112" t="inlineStr">
        <is>
          <t xml:space="preserve"> </t>
        </is>
      </c>
      <c r="AZ112" t="inlineStr">
        <is>
          <t xml:space="preserve"> </t>
        </is>
      </c>
      <c r="BA112" t="n">
        <v>0.7144</v>
      </c>
      <c r="BB112" t="n">
        <v>0</v>
      </c>
      <c r="BC112" t="inlineStr">
        <is>
          <t>缺省券商</t>
        </is>
      </c>
      <c r="BD112" t="inlineStr">
        <is>
          <t>交易所业务</t>
        </is>
      </c>
      <c r="BE112" t="inlineStr">
        <is>
          <t>不是ETF补券指令</t>
        </is>
      </c>
      <c r="BF112" t="inlineStr">
        <is>
          <t>1,631,500.00</t>
        </is>
      </c>
      <c r="BG112" t="n">
        <v>0</v>
      </c>
      <c r="BH112" t="inlineStr">
        <is>
          <t>非强平</t>
        </is>
      </c>
      <c r="BI112" t="inlineStr">
        <is>
          <t>顾吟湫</t>
        </is>
      </c>
      <c r="BJ112" t="inlineStr">
        <is>
          <t>否</t>
        </is>
      </c>
      <c r="BK112" t="inlineStr">
        <is>
          <t>增强限价盘</t>
        </is>
      </c>
      <c r="BL112" t="n">
        <v/>
      </c>
      <c r="BM112" t="n">
        <v>0</v>
      </c>
      <c r="BN112" t="n">
        <v>0</v>
      </c>
      <c r="BO112" t="inlineStr">
        <is>
          <t>股票</t>
        </is>
      </c>
      <c r="BP112" t="n">
        <v/>
      </c>
      <c r="BQ112" t="n">
        <v/>
      </c>
      <c r="BR112" t="n">
        <v>0</v>
      </c>
      <c r="BS112" t="inlineStr">
        <is>
          <t>已成交</t>
        </is>
      </c>
    </row>
    <row r="113">
      <c r="A113" t="n">
        <v>112</v>
      </c>
      <c r="B113" t="inlineStr">
        <is>
          <t>2026-04-16</t>
        </is>
      </c>
      <c r="C113" t="n">
        <v>3008</v>
      </c>
      <c r="D113" t="inlineStr">
        <is>
          <t>自营权益4</t>
        </is>
      </c>
      <c r="E113" t="n">
        <v>3008</v>
      </c>
      <c r="F113" t="n">
        <v>1071</v>
      </c>
      <c r="G113" t="inlineStr">
        <is>
          <t>华电国际电力股份</t>
        </is>
      </c>
      <c r="H113" t="inlineStr">
        <is>
          <t>买入</t>
        </is>
      </c>
      <c r="I113" t="n">
        <v>4.03</v>
      </c>
      <c r="J113" t="n">
        <v>4.02</v>
      </c>
      <c r="K113" t="n">
        <v>240000</v>
      </c>
      <c r="L113" t="n">
        <v>966200</v>
      </c>
      <c r="M113" t="n">
        <v>16</v>
      </c>
      <c r="N113" t="n">
        <v>4.01</v>
      </c>
      <c r="O113" t="n">
        <v>4.03</v>
      </c>
      <c r="P113" t="n">
        <v>4.025833333333333</v>
      </c>
      <c r="Q113" t="n">
        <v>4.025833333333333</v>
      </c>
      <c r="R113" t="n">
        <v>4.025833333333333</v>
      </c>
      <c r="S113" t="inlineStr">
        <is>
          <t>港股通（深）</t>
        </is>
      </c>
      <c r="T113" t="n">
        <v>12134089</v>
      </c>
      <c r="U113" t="n">
        <v>1.9779</v>
      </c>
      <c r="V113" t="n">
        <v>48823858.67</v>
      </c>
      <c r="W113" t="n">
        <v>300841</v>
      </c>
      <c r="X113" t="inlineStr">
        <is>
          <t>自营权益4（深港）</t>
        </is>
      </c>
      <c r="Y113" t="n">
        <v>240000</v>
      </c>
      <c r="Z113" t="n">
        <v>4.06</v>
      </c>
      <c r="AA113" t="n">
        <v>3.99</v>
      </c>
      <c r="AB113" t="n">
        <v>3</v>
      </c>
      <c r="AC113" t="inlineStr">
        <is>
          <t>叶盛</t>
        </is>
      </c>
      <c r="AD113" t="inlineStr">
        <is>
          <t>股票资产</t>
        </is>
      </c>
      <c r="AE113" t="n">
        <v>0.2488</v>
      </c>
      <c r="AF113" t="n">
        <v>1.979</v>
      </c>
      <c r="AG113" t="n">
        <v>-0.0522</v>
      </c>
      <c r="AH113" t="n">
        <v>240000</v>
      </c>
      <c r="AI113" t="n">
        <v>53</v>
      </c>
      <c r="AJ113" t="inlineStr">
        <is>
          <t>自营权益4（深港）</t>
        </is>
      </c>
      <c r="AK113" t="inlineStr">
        <is>
          <t>人民币</t>
        </is>
      </c>
      <c r="AL113" t="n">
        <v>6111</v>
      </c>
      <c r="AM113" t="n">
        <v/>
      </c>
      <c r="AN113" t="n">
        <v>30084</v>
      </c>
      <c r="AO113" t="n">
        <v/>
      </c>
      <c r="AP113" t="inlineStr">
        <is>
          <t>顾吟湫</t>
        </is>
      </c>
      <c r="AQ113" t="inlineStr">
        <is>
          <t>人民币</t>
        </is>
      </c>
      <c r="AR113" t="n">
        <v>840526.36</v>
      </c>
      <c r="AS113" t="n">
        <v/>
      </c>
      <c r="AT113" t="n">
        <v/>
      </c>
      <c r="AU113" t="n">
        <v/>
      </c>
      <c r="AV113" t="n">
        <v/>
      </c>
      <c r="AW113" t="inlineStr">
        <is>
          <t>CNE1000003D8</t>
        </is>
      </c>
      <c r="AX113" t="inlineStr">
        <is>
          <t>无</t>
        </is>
      </c>
      <c r="AY113" t="inlineStr">
        <is>
          <t xml:space="preserve"> </t>
        </is>
      </c>
      <c r="AZ113" t="inlineStr">
        <is>
          <t xml:space="preserve"> </t>
        </is>
      </c>
      <c r="BA113" t="n">
        <v>0.4231</v>
      </c>
      <c r="BB113" t="n">
        <v>0</v>
      </c>
      <c r="BC113" t="inlineStr">
        <is>
          <t>缺省券商</t>
        </is>
      </c>
      <c r="BD113" t="inlineStr">
        <is>
          <t>交易所业务</t>
        </is>
      </c>
      <c r="BE113" t="inlineStr">
        <is>
          <t>不是ETF补券指令</t>
        </is>
      </c>
      <c r="BF113" t="inlineStr">
        <is>
          <t>-966,200.00</t>
        </is>
      </c>
      <c r="BG113" t="n">
        <v>0</v>
      </c>
      <c r="BH113" t="inlineStr">
        <is>
          <t>非强平</t>
        </is>
      </c>
      <c r="BI113" t="inlineStr">
        <is>
          <t>顾吟湫</t>
        </is>
      </c>
      <c r="BJ113" t="inlineStr">
        <is>
          <t>否</t>
        </is>
      </c>
      <c r="BK113" t="inlineStr">
        <is>
          <t>增强限价盘</t>
        </is>
      </c>
      <c r="BL113" t="n">
        <v/>
      </c>
      <c r="BM113" t="n">
        <v>0</v>
      </c>
      <c r="BN113" t="n">
        <v>45.53333333333333</v>
      </c>
      <c r="BO113" t="inlineStr">
        <is>
          <t>股票</t>
        </is>
      </c>
      <c r="BP113" t="n">
        <v/>
      </c>
      <c r="BQ113" t="n">
        <v/>
      </c>
      <c r="BR113" t="n">
        <v>0</v>
      </c>
      <c r="BS113" t="inlineStr">
        <is>
          <t>已成交</t>
        </is>
      </c>
    </row>
    <row r="114">
      <c r="A114" t="n">
        <v>113</v>
      </c>
      <c r="B114" t="inlineStr">
        <is>
          <t>2026-04-16</t>
        </is>
      </c>
      <c r="C114" t="n">
        <v>3008</v>
      </c>
      <c r="D114" t="inlineStr">
        <is>
          <t>自营权益4</t>
        </is>
      </c>
      <c r="E114" t="n">
        <v>3008</v>
      </c>
      <c r="F114" t="n">
        <v>9985</v>
      </c>
      <c r="G114" t="inlineStr">
        <is>
          <t>卫龙美味</t>
        </is>
      </c>
      <c r="H114" t="inlineStr">
        <is>
          <t>买入</t>
        </is>
      </c>
      <c r="I114" t="n">
        <v>9.220000000000001</v>
      </c>
      <c r="J114" t="n">
        <v>9.24</v>
      </c>
      <c r="K114" t="n">
        <v>70000</v>
      </c>
      <c r="L114" t="n">
        <v>647984</v>
      </c>
      <c r="M114" t="n">
        <v>14</v>
      </c>
      <c r="N114" t="n">
        <v>9.25</v>
      </c>
      <c r="O114" t="n">
        <v>9.300000000000001</v>
      </c>
      <c r="P114" t="n">
        <v>9.256914285714286</v>
      </c>
      <c r="Q114" t="n">
        <v>9.256914285714286</v>
      </c>
      <c r="R114" t="n">
        <v>9.256914285714286</v>
      </c>
      <c r="S114" t="inlineStr">
        <is>
          <t>港股通（深）</t>
        </is>
      </c>
      <c r="T114" t="n">
        <v>4712800</v>
      </c>
      <c r="U114" t="n">
        <v>1.4853</v>
      </c>
      <c r="V114" t="n">
        <v>43525803</v>
      </c>
      <c r="W114" t="n">
        <v>300841</v>
      </c>
      <c r="X114" t="inlineStr">
        <is>
          <t>自营权益4（深港）</t>
        </is>
      </c>
      <c r="Y114" t="n">
        <v>80000</v>
      </c>
      <c r="Z114" t="n">
        <v>9.41</v>
      </c>
      <c r="AA114" t="n">
        <v>9.17</v>
      </c>
      <c r="AB114" t="n">
        <v>4</v>
      </c>
      <c r="AC114" t="inlineStr">
        <is>
          <t>叶盛</t>
        </is>
      </c>
      <c r="AD114" t="inlineStr">
        <is>
          <t>股票资产</t>
        </is>
      </c>
      <c r="AE114" t="n">
        <v>-1.073</v>
      </c>
      <c r="AF114" t="n">
        <v>1.4887</v>
      </c>
      <c r="AG114" t="n">
        <v>-0.2295</v>
      </c>
      <c r="AH114" t="n">
        <v>70000</v>
      </c>
      <c r="AI114" t="n">
        <v>53</v>
      </c>
      <c r="AJ114" t="inlineStr">
        <is>
          <t>自营权益4（深港）</t>
        </is>
      </c>
      <c r="AK114" t="inlineStr">
        <is>
          <t>人民币</t>
        </is>
      </c>
      <c r="AL114" t="n">
        <v>6111</v>
      </c>
      <c r="AM114" t="n">
        <v/>
      </c>
      <c r="AN114" t="n">
        <v>30084</v>
      </c>
      <c r="AO114" t="n">
        <v/>
      </c>
      <c r="AP114" t="inlineStr">
        <is>
          <t>顾吟湫</t>
        </is>
      </c>
      <c r="AQ114" t="inlineStr">
        <is>
          <t>人民币</t>
        </is>
      </c>
      <c r="AR114" t="n">
        <v>563700.71</v>
      </c>
      <c r="AS114" t="n">
        <v/>
      </c>
      <c r="AT114" t="n">
        <v/>
      </c>
      <c r="AU114" t="n">
        <v/>
      </c>
      <c r="AV114" t="n">
        <v/>
      </c>
      <c r="AW114" t="inlineStr">
        <is>
          <t>KYG9T20T1051</t>
        </is>
      </c>
      <c r="AX114" t="inlineStr">
        <is>
          <t>无</t>
        </is>
      </c>
      <c r="AY114" t="inlineStr">
        <is>
          <t xml:space="preserve"> </t>
        </is>
      </c>
      <c r="AZ114" t="inlineStr">
        <is>
          <t xml:space="preserve"> </t>
        </is>
      </c>
      <c r="BA114" t="n">
        <v>0.2838</v>
      </c>
      <c r="BB114" t="n">
        <v>0</v>
      </c>
      <c r="BC114" t="inlineStr">
        <is>
          <t>缺省券商</t>
        </is>
      </c>
      <c r="BD114" t="inlineStr">
        <is>
          <t>交易所业务</t>
        </is>
      </c>
      <c r="BE114" t="inlineStr">
        <is>
          <t>不是ETF补券指令</t>
        </is>
      </c>
      <c r="BF114" t="inlineStr">
        <is>
          <t>-647,984.00</t>
        </is>
      </c>
      <c r="BG114" t="n">
        <v>0</v>
      </c>
      <c r="BH114" t="inlineStr">
        <is>
          <t>非强平</t>
        </is>
      </c>
      <c r="BI114" t="inlineStr">
        <is>
          <t>顾吟湫</t>
        </is>
      </c>
      <c r="BJ114" t="inlineStr">
        <is>
          <t>否</t>
        </is>
      </c>
      <c r="BK114" t="inlineStr">
        <is>
          <t>增强限价盘</t>
        </is>
      </c>
      <c r="BL114" t="n">
        <v/>
      </c>
      <c r="BM114" t="n">
        <v>0</v>
      </c>
      <c r="BN114" t="n">
        <v>5.9</v>
      </c>
      <c r="BO114" t="inlineStr">
        <is>
          <t>股票</t>
        </is>
      </c>
      <c r="BP114" t="n">
        <v/>
      </c>
      <c r="BQ114" t="n">
        <v/>
      </c>
      <c r="BR114" t="n">
        <v>0</v>
      </c>
      <c r="BS114" t="inlineStr">
        <is>
          <t>已成交</t>
        </is>
      </c>
    </row>
    <row r="115">
      <c r="A115" t="n">
        <v>114</v>
      </c>
      <c r="B115" t="inlineStr">
        <is>
          <t>2026-04-17</t>
        </is>
      </c>
      <c r="C115" t="n">
        <v>3008</v>
      </c>
      <c r="D115" t="inlineStr">
        <is>
          <t>自营权益4</t>
        </is>
      </c>
      <c r="E115" t="n">
        <v>3008</v>
      </c>
      <c r="F115" t="n">
        <v>728</v>
      </c>
      <c r="G115" t="inlineStr">
        <is>
          <t>中国电信</t>
        </is>
      </c>
      <c r="H115" t="inlineStr">
        <is>
          <t>卖出</t>
        </is>
      </c>
      <c r="I115" t="n">
        <v>4.9</v>
      </c>
      <c r="J115" t="n">
        <v>4.89</v>
      </c>
      <c r="K115" t="n">
        <v>16000</v>
      </c>
      <c r="L115" t="n">
        <v>78560</v>
      </c>
      <c r="M115" t="n">
        <v>2</v>
      </c>
      <c r="N115" t="n">
        <v>4.91</v>
      </c>
      <c r="O115" t="n">
        <v>4.91</v>
      </c>
      <c r="P115" t="n">
        <v>4.91</v>
      </c>
      <c r="Q115" t="n">
        <v>4.91</v>
      </c>
      <c r="R115" t="n">
        <v>4.91</v>
      </c>
      <c r="S115" t="inlineStr">
        <is>
          <t>港股通（深）</t>
        </is>
      </c>
      <c r="T115" t="n">
        <v>33102115</v>
      </c>
      <c r="U115" t="n">
        <v>0.0483</v>
      </c>
      <c r="V115" t="n">
        <v>161975919.75</v>
      </c>
      <c r="W115" t="n">
        <v>300841</v>
      </c>
      <c r="X115" t="inlineStr">
        <is>
          <t>自营权益4（深港）</t>
        </is>
      </c>
      <c r="Y115" t="n">
        <v>300000</v>
      </c>
      <c r="Z115" t="n">
        <v>4.91</v>
      </c>
      <c r="AA115" t="n">
        <v>4.87</v>
      </c>
      <c r="AB115" t="n">
        <v>4</v>
      </c>
      <c r="AC115" t="inlineStr">
        <is>
          <t>叶盛</t>
        </is>
      </c>
      <c r="AD115" t="inlineStr">
        <is>
          <t>股票资产</t>
        </is>
      </c>
      <c r="AE115" t="n">
        <v>0.2045</v>
      </c>
      <c r="AF115" t="n">
        <v>0.0485</v>
      </c>
      <c r="AG115" t="n">
        <v>0.3433</v>
      </c>
      <c r="AH115" t="n">
        <v>100000</v>
      </c>
      <c r="AI115" t="n">
        <v>53</v>
      </c>
      <c r="AJ115" t="inlineStr">
        <is>
          <t>自营权益4（深港）</t>
        </is>
      </c>
      <c r="AK115" t="inlineStr">
        <is>
          <t>人民币</t>
        </is>
      </c>
      <c r="AL115" t="n">
        <v>6111</v>
      </c>
      <c r="AM115" t="n">
        <v/>
      </c>
      <c r="AN115" t="n">
        <v>30084</v>
      </c>
      <c r="AO115" t="n">
        <v/>
      </c>
      <c r="AP115" t="inlineStr">
        <is>
          <t>李荣庆</t>
        </is>
      </c>
      <c r="AQ115" t="inlineStr">
        <is>
          <t>人民币</t>
        </is>
      </c>
      <c r="AR115" t="n">
        <v>68413.98</v>
      </c>
      <c r="AS115" t="n">
        <v/>
      </c>
      <c r="AT115" t="n">
        <v/>
      </c>
      <c r="AU115" t="n">
        <v/>
      </c>
      <c r="AV115" t="n">
        <v/>
      </c>
      <c r="AW115" t="inlineStr">
        <is>
          <t>CNE1000002V2</t>
        </is>
      </c>
      <c r="AX115" t="inlineStr">
        <is>
          <t>无</t>
        </is>
      </c>
      <c r="AY115" t="inlineStr">
        <is>
          <t xml:space="preserve"> </t>
        </is>
      </c>
      <c r="AZ115" t="inlineStr">
        <is>
          <t xml:space="preserve"> </t>
        </is>
      </c>
      <c r="BA115" t="n">
        <v>0.0346</v>
      </c>
      <c r="BB115" t="n">
        <v>0</v>
      </c>
      <c r="BC115" t="inlineStr">
        <is>
          <t>缺省券商</t>
        </is>
      </c>
      <c r="BD115" t="inlineStr">
        <is>
          <t>交易所业务</t>
        </is>
      </c>
      <c r="BE115" t="inlineStr">
        <is>
          <t>不是ETF补券指令</t>
        </is>
      </c>
      <c r="BF115" t="inlineStr">
        <is>
          <t>78,560.00</t>
        </is>
      </c>
      <c r="BG115" t="n">
        <v>0</v>
      </c>
      <c r="BH115" t="inlineStr">
        <is>
          <t>非强平</t>
        </is>
      </c>
      <c r="BI115" t="inlineStr">
        <is>
          <t>李荣庆</t>
        </is>
      </c>
      <c r="BJ115" t="inlineStr">
        <is>
          <t>否</t>
        </is>
      </c>
      <c r="BK115" t="inlineStr">
        <is>
          <t>增强限价盘</t>
        </is>
      </c>
      <c r="BL115" t="n">
        <v/>
      </c>
      <c r="BM115" t="n">
        <v>0</v>
      </c>
      <c r="BN115" t="n">
        <v>91.63333333333334</v>
      </c>
      <c r="BO115" t="inlineStr">
        <is>
          <t>股票</t>
        </is>
      </c>
      <c r="BP115" t="n">
        <v/>
      </c>
      <c r="BQ115" t="n">
        <v/>
      </c>
      <c r="BR115" t="n">
        <v>0</v>
      </c>
      <c r="BS115" t="inlineStr">
        <is>
          <t>已成交</t>
        </is>
      </c>
    </row>
    <row r="116">
      <c r="A116" t="n">
        <v>115</v>
      </c>
      <c r="B116" t="inlineStr">
        <is>
          <t>2026-04-17</t>
        </is>
      </c>
      <c r="C116" t="n">
        <v>3008</v>
      </c>
      <c r="D116" t="inlineStr">
        <is>
          <t>自营权益4</t>
        </is>
      </c>
      <c r="E116" t="n">
        <v>3008</v>
      </c>
      <c r="F116" t="n">
        <v>1071</v>
      </c>
      <c r="G116" t="inlineStr">
        <is>
          <t>华电国际电力股份</t>
        </is>
      </c>
      <c r="H116" t="inlineStr">
        <is>
          <t>买入</t>
        </is>
      </c>
      <c r="I116" t="n">
        <v>4.02</v>
      </c>
      <c r="J116" t="n">
        <v>4.01</v>
      </c>
      <c r="K116" t="n">
        <v>60000</v>
      </c>
      <c r="L116" t="n">
        <v>240000</v>
      </c>
      <c r="M116" t="n">
        <v>2</v>
      </c>
      <c r="N116" t="n">
        <v>4</v>
      </c>
      <c r="O116" t="n">
        <v>4</v>
      </c>
      <c r="P116" t="n">
        <v>4</v>
      </c>
      <c r="Q116" t="n">
        <v>4</v>
      </c>
      <c r="R116" t="n">
        <v>4</v>
      </c>
      <c r="S116" t="inlineStr">
        <is>
          <t>港股通（深）</t>
        </is>
      </c>
      <c r="T116" t="n">
        <v>14264905</v>
      </c>
      <c r="U116" t="n">
        <v>0.4206</v>
      </c>
      <c r="V116" t="n">
        <v>57155188.1</v>
      </c>
      <c r="W116" t="n">
        <v>300841</v>
      </c>
      <c r="X116" t="inlineStr">
        <is>
          <t>自营权益4（深港）</t>
        </is>
      </c>
      <c r="Y116" t="n">
        <v>60000</v>
      </c>
      <c r="Z116" t="n">
        <v>4.06</v>
      </c>
      <c r="AA116" t="n">
        <v>3.98</v>
      </c>
      <c r="AB116" t="n">
        <v>2</v>
      </c>
      <c r="AC116" t="inlineStr">
        <is>
          <t>叶盛</t>
        </is>
      </c>
      <c r="AD116" t="inlineStr">
        <is>
          <t>股票资产</t>
        </is>
      </c>
      <c r="AE116" t="n">
        <v>-0.2481</v>
      </c>
      <c r="AF116" t="n">
        <v>0.4199</v>
      </c>
      <c r="AG116" t="n">
        <v>0.1672</v>
      </c>
      <c r="AH116" t="n">
        <v>60000</v>
      </c>
      <c r="AI116" t="n">
        <v>53</v>
      </c>
      <c r="AJ116" t="inlineStr">
        <is>
          <t>自营权益4（深港）</t>
        </is>
      </c>
      <c r="AK116" t="inlineStr">
        <is>
          <t>人民币</t>
        </is>
      </c>
      <c r="AL116" t="n">
        <v>6111</v>
      </c>
      <c r="AM116" t="n">
        <v/>
      </c>
      <c r="AN116" t="n">
        <v>30084</v>
      </c>
      <c r="AO116" t="n">
        <v/>
      </c>
      <c r="AP116" t="inlineStr">
        <is>
          <t>李荣庆</t>
        </is>
      </c>
      <c r="AQ116" t="inlineStr">
        <is>
          <t>人民币</t>
        </is>
      </c>
      <c r="AR116" t="n">
        <v>209076</v>
      </c>
      <c r="AS116" t="n">
        <v/>
      </c>
      <c r="AT116" t="n">
        <v/>
      </c>
      <c r="AU116" t="n">
        <v/>
      </c>
      <c r="AV116" t="n">
        <v/>
      </c>
      <c r="AW116" t="inlineStr">
        <is>
          <t>CNE1000003D8</t>
        </is>
      </c>
      <c r="AX116" t="inlineStr">
        <is>
          <t>无</t>
        </is>
      </c>
      <c r="AY116" t="inlineStr">
        <is>
          <t xml:space="preserve"> </t>
        </is>
      </c>
      <c r="AZ116" t="inlineStr">
        <is>
          <t xml:space="preserve"> </t>
        </is>
      </c>
      <c r="BA116" t="n">
        <v>0.1057</v>
      </c>
      <c r="BB116" t="n">
        <v>0</v>
      </c>
      <c r="BC116" t="inlineStr">
        <is>
          <t>缺省券商</t>
        </is>
      </c>
      <c r="BD116" t="inlineStr">
        <is>
          <t>交易所业务</t>
        </is>
      </c>
      <c r="BE116" t="inlineStr">
        <is>
          <t>不是ETF补券指令</t>
        </is>
      </c>
      <c r="BF116" t="inlineStr">
        <is>
          <t>-240,000.00</t>
        </is>
      </c>
      <c r="BG116" t="n">
        <v>0</v>
      </c>
      <c r="BH116" t="inlineStr">
        <is>
          <t>非强平</t>
        </is>
      </c>
      <c r="BI116" t="inlineStr">
        <is>
          <t>李荣庆</t>
        </is>
      </c>
      <c r="BJ116" t="inlineStr">
        <is>
          <t>否</t>
        </is>
      </c>
      <c r="BK116" t="inlineStr">
        <is>
          <t>竞价限价盘</t>
        </is>
      </c>
      <c r="BL116" t="n">
        <v/>
      </c>
      <c r="BM116" t="n">
        <v>0</v>
      </c>
      <c r="BN116" t="n">
        <v>71.43333333333334</v>
      </c>
      <c r="BO116" t="inlineStr">
        <is>
          <t>股票</t>
        </is>
      </c>
      <c r="BP116" t="n">
        <v/>
      </c>
      <c r="BQ116" t="n">
        <v/>
      </c>
      <c r="BR116" t="n">
        <v>0</v>
      </c>
      <c r="BS116" t="inlineStr">
        <is>
          <t>已成交</t>
        </is>
      </c>
    </row>
    <row r="117">
      <c r="A117" t="n">
        <v>116</v>
      </c>
      <c r="B117" t="inlineStr">
        <is>
          <t>2026-04-17</t>
        </is>
      </c>
      <c r="C117" t="n">
        <v>3008</v>
      </c>
      <c r="D117" t="inlineStr">
        <is>
          <t>自营权益4</t>
        </is>
      </c>
      <c r="E117" t="n">
        <v>3008</v>
      </c>
      <c r="F117" t="n">
        <v>2020</v>
      </c>
      <c r="G117" t="inlineStr">
        <is>
          <t>安踏体育</t>
        </is>
      </c>
      <c r="H117" t="inlineStr">
        <is>
          <t>卖出</t>
        </is>
      </c>
      <c r="I117" t="n">
        <v>85.09999999999999</v>
      </c>
      <c r="J117" t="n">
        <v>84.18000000000001</v>
      </c>
      <c r="K117" t="n">
        <v>10000</v>
      </c>
      <c r="L117" t="n">
        <v>843000</v>
      </c>
      <c r="M117" t="n">
        <v>7</v>
      </c>
      <c r="N117" t="n">
        <v>84.3</v>
      </c>
      <c r="O117" t="n">
        <v>84.3</v>
      </c>
      <c r="P117" t="n">
        <v>84.3</v>
      </c>
      <c r="Q117" t="n">
        <v>84.3</v>
      </c>
      <c r="R117" t="n">
        <v>84.3</v>
      </c>
      <c r="S117" t="inlineStr">
        <is>
          <t>港股通（深）</t>
        </is>
      </c>
      <c r="T117" t="n">
        <v>9406532</v>
      </c>
      <c r="U117" t="n">
        <v>0.1063</v>
      </c>
      <c r="V117" t="n">
        <v>791811247.2</v>
      </c>
      <c r="W117" t="n">
        <v>300841</v>
      </c>
      <c r="X117" t="inlineStr">
        <is>
          <t>自营权益4（深港）</t>
        </is>
      </c>
      <c r="Y117" t="n">
        <v>10000</v>
      </c>
      <c r="Z117" t="n">
        <v>85.09999999999999</v>
      </c>
      <c r="AA117" t="n">
        <v>82.75</v>
      </c>
      <c r="AB117" t="n">
        <v>1</v>
      </c>
      <c r="AC117" t="inlineStr">
        <is>
          <t>叶盛</t>
        </is>
      </c>
      <c r="AD117" t="inlineStr">
        <is>
          <t>股票资产</t>
        </is>
      </c>
      <c r="AE117" t="n">
        <v>1.1289</v>
      </c>
      <c r="AF117" t="n">
        <v>0.1065</v>
      </c>
      <c r="AG117" t="n">
        <v>0.1465</v>
      </c>
      <c r="AH117" t="n">
        <v>10000</v>
      </c>
      <c r="AI117" t="n">
        <v>53</v>
      </c>
      <c r="AJ117" t="inlineStr">
        <is>
          <t>自营权益4（深港）</t>
        </is>
      </c>
      <c r="AK117" t="inlineStr">
        <is>
          <t>人民币</t>
        </is>
      </c>
      <c r="AL117" t="n">
        <v>6111</v>
      </c>
      <c r="AM117" t="n">
        <v/>
      </c>
      <c r="AN117" t="n">
        <v>30084</v>
      </c>
      <c r="AO117" t="n">
        <v/>
      </c>
      <c r="AP117" t="inlineStr">
        <is>
          <t>李荣庆</t>
        </is>
      </c>
      <c r="AQ117" t="inlineStr">
        <is>
          <t>人民币</t>
        </is>
      </c>
      <c r="AR117" t="n">
        <v>734126.54</v>
      </c>
      <c r="AS117" t="n">
        <v/>
      </c>
      <c r="AT117" t="n">
        <v/>
      </c>
      <c r="AU117" t="n">
        <v/>
      </c>
      <c r="AV117" t="n">
        <v/>
      </c>
      <c r="AW117" t="inlineStr">
        <is>
          <t>KYG040111059</t>
        </is>
      </c>
      <c r="AX117" t="inlineStr">
        <is>
          <t>无</t>
        </is>
      </c>
      <c r="AY117" t="inlineStr">
        <is>
          <t xml:space="preserve"> </t>
        </is>
      </c>
      <c r="AZ117" t="inlineStr">
        <is>
          <t xml:space="preserve"> </t>
        </is>
      </c>
      <c r="BA117" t="n">
        <v>0.3712</v>
      </c>
      <c r="BB117" t="n">
        <v>0</v>
      </c>
      <c r="BC117" t="inlineStr">
        <is>
          <t>缺省券商</t>
        </is>
      </c>
      <c r="BD117" t="inlineStr">
        <is>
          <t>交易所业务</t>
        </is>
      </c>
      <c r="BE117" t="inlineStr">
        <is>
          <t>不是ETF补券指令</t>
        </is>
      </c>
      <c r="BF117" t="inlineStr">
        <is>
          <t>843,000.00</t>
        </is>
      </c>
      <c r="BG117" t="n">
        <v>0</v>
      </c>
      <c r="BH117" t="inlineStr">
        <is>
          <t>非强平</t>
        </is>
      </c>
      <c r="BI117" t="inlineStr">
        <is>
          <t>李荣庆</t>
        </is>
      </c>
      <c r="BJ117" t="inlineStr">
        <is>
          <t>否</t>
        </is>
      </c>
      <c r="BK117" t="inlineStr">
        <is>
          <t>增强限价盘</t>
        </is>
      </c>
      <c r="BL117" t="n">
        <v/>
      </c>
      <c r="BM117" t="n">
        <v>0</v>
      </c>
      <c r="BN117" t="n">
        <v>0</v>
      </c>
      <c r="BO117" t="inlineStr">
        <is>
          <t>股票</t>
        </is>
      </c>
      <c r="BP117" t="n">
        <v/>
      </c>
      <c r="BQ117" t="n">
        <v/>
      </c>
      <c r="BR117" t="n">
        <v>0</v>
      </c>
      <c r="BS117" t="inlineStr">
        <is>
          <t>已成交</t>
        </is>
      </c>
    </row>
    <row r="118">
      <c r="A118" t="n">
        <v>117</v>
      </c>
      <c r="B118" t="inlineStr">
        <is>
          <t>2026-04-17</t>
        </is>
      </c>
      <c r="C118" t="n">
        <v>3008</v>
      </c>
      <c r="D118" t="inlineStr">
        <is>
          <t>自营权益4</t>
        </is>
      </c>
      <c r="E118" t="n">
        <v>3008</v>
      </c>
      <c r="F118" t="n">
        <v>6818</v>
      </c>
      <c r="G118" t="inlineStr">
        <is>
          <t>中国光大银行</t>
        </is>
      </c>
      <c r="H118" t="inlineStr">
        <is>
          <t>买入</t>
        </is>
      </c>
      <c r="I118" t="n">
        <v>3.15</v>
      </c>
      <c r="J118" t="n">
        <v>3.15</v>
      </c>
      <c r="K118" t="n">
        <v>200000</v>
      </c>
      <c r="L118" t="n">
        <v>628000</v>
      </c>
      <c r="M118" t="n">
        <v>10</v>
      </c>
      <c r="N118" t="n">
        <v>3.14</v>
      </c>
      <c r="O118" t="n">
        <v>3.14</v>
      </c>
      <c r="P118" t="n">
        <v>3.14</v>
      </c>
      <c r="Q118" t="n">
        <v>3.14</v>
      </c>
      <c r="R118" t="n">
        <v>3.14</v>
      </c>
      <c r="S118" t="inlineStr">
        <is>
          <t>港股通（深）</t>
        </is>
      </c>
      <c r="T118" t="n">
        <v>9562851</v>
      </c>
      <c r="U118" t="n">
        <v>2.0914</v>
      </c>
      <c r="V118" t="n">
        <v>30090595.12</v>
      </c>
      <c r="W118" t="n">
        <v>300841</v>
      </c>
      <c r="X118" t="inlineStr">
        <is>
          <t>自营权益4（深港）</t>
        </is>
      </c>
      <c r="Y118" t="n">
        <v>200000</v>
      </c>
      <c r="Z118" t="n">
        <v>3.19</v>
      </c>
      <c r="AA118" t="n">
        <v>3.13</v>
      </c>
      <c r="AB118" t="n">
        <v>1</v>
      </c>
      <c r="AC118" t="inlineStr">
        <is>
          <t>叶盛</t>
        </is>
      </c>
      <c r="AD118" t="inlineStr">
        <is>
          <t>股票资产</t>
        </is>
      </c>
      <c r="AE118" t="n">
        <v>-1.5625</v>
      </c>
      <c r="AF118" t="n">
        <v>2.087</v>
      </c>
      <c r="AG118" t="n">
        <v>0.2098</v>
      </c>
      <c r="AH118" t="n">
        <v>200000</v>
      </c>
      <c r="AI118" t="n">
        <v>53</v>
      </c>
      <c r="AJ118" t="inlineStr">
        <is>
          <t>自营权益4（深港）</t>
        </is>
      </c>
      <c r="AK118" t="inlineStr">
        <is>
          <t>人民币</t>
        </is>
      </c>
      <c r="AL118" t="n">
        <v>6111</v>
      </c>
      <c r="AM118" t="n">
        <v/>
      </c>
      <c r="AN118" t="n">
        <v>30084</v>
      </c>
      <c r="AO118" t="n">
        <v/>
      </c>
      <c r="AP118" t="inlineStr">
        <is>
          <t>李荣庆</t>
        </is>
      </c>
      <c r="AQ118" t="inlineStr">
        <is>
          <t>人民币</t>
        </is>
      </c>
      <c r="AR118" t="n">
        <v>547082.21</v>
      </c>
      <c r="AS118" t="n">
        <v/>
      </c>
      <c r="AT118" t="n">
        <v/>
      </c>
      <c r="AU118" t="n">
        <v/>
      </c>
      <c r="AV118" t="n">
        <v/>
      </c>
      <c r="AW118" t="inlineStr">
        <is>
          <t>CNE100001QW3</t>
        </is>
      </c>
      <c r="AX118" t="inlineStr">
        <is>
          <t>无</t>
        </is>
      </c>
      <c r="AY118" t="inlineStr">
        <is>
          <t xml:space="preserve"> </t>
        </is>
      </c>
      <c r="AZ118" t="inlineStr">
        <is>
          <t xml:space="preserve"> </t>
        </is>
      </c>
      <c r="BA118" t="n">
        <v>0.2767</v>
      </c>
      <c r="BB118" t="n">
        <v>0</v>
      </c>
      <c r="BC118" t="inlineStr">
        <is>
          <t>缺省券商</t>
        </is>
      </c>
      <c r="BD118" t="inlineStr">
        <is>
          <t>交易所业务</t>
        </is>
      </c>
      <c r="BE118" t="inlineStr">
        <is>
          <t>不是ETF补券指令</t>
        </is>
      </c>
      <c r="BF118" t="inlineStr">
        <is>
          <t>-628,000.00</t>
        </is>
      </c>
      <c r="BG118" t="n">
        <v>0</v>
      </c>
      <c r="BH118" t="inlineStr">
        <is>
          <t>非强平</t>
        </is>
      </c>
      <c r="BI118" t="inlineStr">
        <is>
          <t>李荣庆</t>
        </is>
      </c>
      <c r="BJ118" t="inlineStr">
        <is>
          <t>否</t>
        </is>
      </c>
      <c r="BK118" t="inlineStr">
        <is>
          <t>增强限价盘</t>
        </is>
      </c>
      <c r="BL118" t="n">
        <v/>
      </c>
      <c r="BM118" t="n">
        <v>0</v>
      </c>
      <c r="BN118" t="n">
        <v>0</v>
      </c>
      <c r="BO118" t="inlineStr">
        <is>
          <t>股票</t>
        </is>
      </c>
      <c r="BP118" t="n">
        <v/>
      </c>
      <c r="BQ118" t="n">
        <v/>
      </c>
      <c r="BR118" t="n">
        <v>0</v>
      </c>
      <c r="BS118" t="inlineStr">
        <is>
          <t>已成交</t>
        </is>
      </c>
    </row>
    <row r="119">
      <c r="A119" t="n">
        <v>118</v>
      </c>
      <c r="B119" t="inlineStr">
        <is>
          <t>2026-04-20</t>
        </is>
      </c>
      <c r="C119" t="n">
        <v>3008</v>
      </c>
      <c r="D119" t="inlineStr">
        <is>
          <t>自营权益4</t>
        </is>
      </c>
      <c r="E119" t="n">
        <v>3008</v>
      </c>
      <c r="F119" t="n">
        <v>728</v>
      </c>
      <c r="G119" t="inlineStr">
        <is>
          <t>中国电信</t>
        </is>
      </c>
      <c r="H119" t="inlineStr">
        <is>
          <t>卖出</t>
        </is>
      </c>
      <c r="I119" t="n">
        <v>4.95</v>
      </c>
      <c r="J119" t="n">
        <v>4.92</v>
      </c>
      <c r="K119" t="n">
        <v>384000</v>
      </c>
      <c r="L119" t="n">
        <v>1884280</v>
      </c>
      <c r="M119" t="n">
        <v>17</v>
      </c>
      <c r="N119" t="n">
        <v>4.9</v>
      </c>
      <c r="O119" t="n">
        <v>4.92</v>
      </c>
      <c r="P119" t="n">
        <v>4.906979166666667</v>
      </c>
      <c r="Q119" t="n">
        <v>4.906979166666667</v>
      </c>
      <c r="R119" t="n">
        <v>4.906979166666667</v>
      </c>
      <c r="S119" t="inlineStr">
        <is>
          <t>港股通（深）</t>
        </is>
      </c>
      <c r="T119" t="n">
        <v>39739270</v>
      </c>
      <c r="U119" t="n">
        <v>0.9663</v>
      </c>
      <c r="V119" t="n">
        <v>195533997.9</v>
      </c>
      <c r="W119" t="n">
        <v>300841</v>
      </c>
      <c r="X119" t="inlineStr">
        <is>
          <t>自营权益4（深港）</t>
        </is>
      </c>
      <c r="Y119" t="n">
        <v>568000</v>
      </c>
      <c r="Z119" t="n">
        <v>4.96</v>
      </c>
      <c r="AA119" t="n">
        <v>4.88</v>
      </c>
      <c r="AB119" t="n">
        <v>10</v>
      </c>
      <c r="AC119" t="inlineStr">
        <is>
          <t>叶盛</t>
        </is>
      </c>
      <c r="AD119" t="inlineStr">
        <is>
          <t>股票资产</t>
        </is>
      </c>
      <c r="AE119" t="n">
        <v>1.0204</v>
      </c>
      <c r="AF119" t="n">
        <v>0.9637</v>
      </c>
      <c r="AG119" t="n">
        <v>-0.2723</v>
      </c>
      <c r="AH119" t="n">
        <v>384000</v>
      </c>
      <c r="AI119" t="n">
        <v>53</v>
      </c>
      <c r="AJ119" t="inlineStr">
        <is>
          <t>自营权益4（深港）</t>
        </is>
      </c>
      <c r="AK119" t="inlineStr">
        <is>
          <t>人民币</t>
        </is>
      </c>
      <c r="AL119" t="n">
        <v>6111</v>
      </c>
      <c r="AM119" t="n">
        <v/>
      </c>
      <c r="AN119" t="n">
        <v>30084</v>
      </c>
      <c r="AO119" t="n">
        <v/>
      </c>
      <c r="AP119" t="inlineStr">
        <is>
          <t>顾吟湫</t>
        </is>
      </c>
      <c r="AQ119" t="inlineStr">
        <is>
          <t>人民币</t>
        </is>
      </c>
      <c r="AR119" t="n">
        <v>1642376.16</v>
      </c>
      <c r="AS119" t="n">
        <v/>
      </c>
      <c r="AT119" t="n">
        <v/>
      </c>
      <c r="AU119" t="n">
        <v/>
      </c>
      <c r="AV119" t="n">
        <v/>
      </c>
      <c r="AW119" t="inlineStr">
        <is>
          <t>CNE1000002V2</t>
        </is>
      </c>
      <c r="AX119" t="inlineStr">
        <is>
          <t>无</t>
        </is>
      </c>
      <c r="AY119" t="inlineStr">
        <is>
          <t xml:space="preserve"> </t>
        </is>
      </c>
      <c r="AZ119" t="inlineStr">
        <is>
          <t xml:space="preserve"> </t>
        </is>
      </c>
      <c r="BA119" t="n">
        <v>0.8227</v>
      </c>
      <c r="BB119" t="n">
        <v>0</v>
      </c>
      <c r="BC119" t="inlineStr">
        <is>
          <t>缺省券商</t>
        </is>
      </c>
      <c r="BD119" t="inlineStr">
        <is>
          <t>交易所业务</t>
        </is>
      </c>
      <c r="BE119" t="inlineStr">
        <is>
          <t>不是ETF补券指令</t>
        </is>
      </c>
      <c r="BF119" t="inlineStr">
        <is>
          <t>1,884,280.00</t>
        </is>
      </c>
      <c r="BG119" t="n">
        <v>0</v>
      </c>
      <c r="BH119" t="inlineStr">
        <is>
          <t>非强平</t>
        </is>
      </c>
      <c r="BI119" t="inlineStr">
        <is>
          <t>顾吟湫</t>
        </is>
      </c>
      <c r="BJ119" t="inlineStr">
        <is>
          <t>否</t>
        </is>
      </c>
      <c r="BK119" t="inlineStr">
        <is>
          <t>竞价限价盘</t>
        </is>
      </c>
      <c r="BL119" t="n">
        <v/>
      </c>
      <c r="BM119" t="n">
        <v>0</v>
      </c>
      <c r="BN119" t="n">
        <v>98.31666666666666</v>
      </c>
      <c r="BO119" t="inlineStr">
        <is>
          <t>股票</t>
        </is>
      </c>
      <c r="BP119" t="n">
        <v/>
      </c>
      <c r="BQ119" t="n">
        <v/>
      </c>
      <c r="BR119" t="n">
        <v>0</v>
      </c>
      <c r="BS119" t="inlineStr">
        <is>
          <t>已成交</t>
        </is>
      </c>
    </row>
    <row r="120">
      <c r="A120" t="n">
        <v>119</v>
      </c>
      <c r="B120" t="inlineStr">
        <is>
          <t>2026-04-20</t>
        </is>
      </c>
      <c r="C120" t="n">
        <v>3008</v>
      </c>
      <c r="D120" t="inlineStr">
        <is>
          <t>自营权益4</t>
        </is>
      </c>
      <c r="E120" t="n">
        <v>3008</v>
      </c>
      <c r="F120" t="n">
        <v>762</v>
      </c>
      <c r="G120" t="inlineStr">
        <is>
          <t>中国联通</t>
        </is>
      </c>
      <c r="H120" t="inlineStr">
        <is>
          <t>卖出</t>
        </is>
      </c>
      <c r="I120" t="n">
        <v>7.36</v>
      </c>
      <c r="J120" t="n">
        <v>7.36</v>
      </c>
      <c r="K120" t="n">
        <v>200000</v>
      </c>
      <c r="L120" t="n">
        <v>1470000</v>
      </c>
      <c r="M120" t="n">
        <v>26</v>
      </c>
      <c r="N120" t="n">
        <v>7.35</v>
      </c>
      <c r="O120" t="n">
        <v>7.35</v>
      </c>
      <c r="P120" t="n">
        <v>7.35</v>
      </c>
      <c r="Q120" t="n">
        <v>7.35</v>
      </c>
      <c r="R120" t="n">
        <v>7.35</v>
      </c>
      <c r="S120" t="inlineStr">
        <is>
          <t>港股通（深）</t>
        </is>
      </c>
      <c r="T120" t="n">
        <v>17412622</v>
      </c>
      <c r="U120" t="n">
        <v>1.1486</v>
      </c>
      <c r="V120" t="n">
        <v>128216130.78</v>
      </c>
      <c r="W120" t="n">
        <v>300841</v>
      </c>
      <c r="X120" t="inlineStr">
        <is>
          <t>自营权益4（深港）</t>
        </is>
      </c>
      <c r="Y120" t="n">
        <v>200000</v>
      </c>
      <c r="Z120" t="n">
        <v>7.39</v>
      </c>
      <c r="AA120" t="n">
        <v>7.33</v>
      </c>
      <c r="AB120" t="n">
        <v>3</v>
      </c>
      <c r="AC120" t="inlineStr">
        <is>
          <t>叶盛</t>
        </is>
      </c>
      <c r="AD120" t="inlineStr">
        <is>
          <t>股票资产</t>
        </is>
      </c>
      <c r="AE120" t="n">
        <v>0.5464</v>
      </c>
      <c r="AF120" t="n">
        <v>1.1465</v>
      </c>
      <c r="AG120" t="n">
        <v>-0.182</v>
      </c>
      <c r="AH120" t="n">
        <v>200000</v>
      </c>
      <c r="AI120" t="n">
        <v>53</v>
      </c>
      <c r="AJ120" t="inlineStr">
        <is>
          <t>自营权益4（深港）</t>
        </is>
      </c>
      <c r="AK120" t="inlineStr">
        <is>
          <t>人民币</t>
        </is>
      </c>
      <c r="AL120" t="n">
        <v>6111</v>
      </c>
      <c r="AM120" t="n">
        <v/>
      </c>
      <c r="AN120" t="n">
        <v>30084</v>
      </c>
      <c r="AO120" t="n">
        <v/>
      </c>
      <c r="AP120" t="inlineStr">
        <is>
          <t>顾吟湫</t>
        </is>
      </c>
      <c r="AQ120" t="inlineStr">
        <is>
          <t>人民币</t>
        </is>
      </c>
      <c r="AR120" t="n">
        <v>1281281.32</v>
      </c>
      <c r="AS120" t="n">
        <v/>
      </c>
      <c r="AT120" t="n">
        <v/>
      </c>
      <c r="AU120" t="n">
        <v/>
      </c>
      <c r="AV120" t="n">
        <v/>
      </c>
      <c r="AW120" t="inlineStr">
        <is>
          <t>HK0000049939</t>
        </is>
      </c>
      <c r="AX120" t="inlineStr">
        <is>
          <t>无</t>
        </is>
      </c>
      <c r="AY120" t="inlineStr">
        <is>
          <t xml:space="preserve"> </t>
        </is>
      </c>
      <c r="AZ120" t="inlineStr">
        <is>
          <t xml:space="preserve"> </t>
        </is>
      </c>
      <c r="BA120" t="n">
        <v>0.6418</v>
      </c>
      <c r="BB120" t="n">
        <v>0</v>
      </c>
      <c r="BC120" t="inlineStr">
        <is>
          <t>缺省券商</t>
        </is>
      </c>
      <c r="BD120" t="inlineStr">
        <is>
          <t>交易所业务</t>
        </is>
      </c>
      <c r="BE120" t="inlineStr">
        <is>
          <t>不是ETF补券指令</t>
        </is>
      </c>
      <c r="BF120" t="inlineStr">
        <is>
          <t>1,470,000.00</t>
        </is>
      </c>
      <c r="BG120" t="n">
        <v>0</v>
      </c>
      <c r="BH120" t="inlineStr">
        <is>
          <t>非强平</t>
        </is>
      </c>
      <c r="BI120" t="inlineStr">
        <is>
          <t>顾吟湫</t>
        </is>
      </c>
      <c r="BJ120" t="inlineStr">
        <is>
          <t>否</t>
        </is>
      </c>
      <c r="BK120" t="inlineStr">
        <is>
          <t>竞价限价盘</t>
        </is>
      </c>
      <c r="BL120" t="n">
        <v/>
      </c>
      <c r="BM120" t="n">
        <v>0</v>
      </c>
      <c r="BN120" t="n">
        <v>378.4166666666667</v>
      </c>
      <c r="BO120" t="inlineStr">
        <is>
          <t>股票</t>
        </is>
      </c>
      <c r="BP120" t="n">
        <v/>
      </c>
      <c r="BQ120" t="n">
        <v/>
      </c>
      <c r="BR120" t="n">
        <v>0</v>
      </c>
      <c r="BS120" t="inlineStr">
        <is>
          <t>已成交</t>
        </is>
      </c>
    </row>
    <row r="121">
      <c r="A121" t="n">
        <v>120</v>
      </c>
      <c r="B121" t="inlineStr">
        <is>
          <t>2026-04-20</t>
        </is>
      </c>
      <c r="C121" t="n">
        <v>3008</v>
      </c>
      <c r="D121" t="inlineStr">
        <is>
          <t>自营权益4</t>
        </is>
      </c>
      <c r="E121" t="n">
        <v>3008</v>
      </c>
      <c r="F121" t="n">
        <v>2016</v>
      </c>
      <c r="G121" t="inlineStr">
        <is>
          <t>浙商银行</t>
        </is>
      </c>
      <c r="H121" t="inlineStr">
        <is>
          <t>买入</t>
        </is>
      </c>
      <c r="I121" t="n">
        <v>2.47</v>
      </c>
      <c r="J121" t="n">
        <v>2.46</v>
      </c>
      <c r="K121" t="n">
        <v>1429000</v>
      </c>
      <c r="L121" t="n">
        <v>3508340</v>
      </c>
      <c r="M121" t="n">
        <v>90</v>
      </c>
      <c r="N121" t="n">
        <v>2.43</v>
      </c>
      <c r="O121" t="n">
        <v>2.47</v>
      </c>
      <c r="P121" t="n">
        <v>2.455101469559132</v>
      </c>
      <c r="Q121" t="n">
        <v>2.455101469559132</v>
      </c>
      <c r="R121" t="n">
        <v>2.455101469559132</v>
      </c>
      <c r="S121" t="inlineStr">
        <is>
          <t>港股通（深）</t>
        </is>
      </c>
      <c r="T121" t="n">
        <v>8912001</v>
      </c>
      <c r="U121" t="n">
        <v>16.0346</v>
      </c>
      <c r="V121" t="n">
        <v>21879202.47</v>
      </c>
      <c r="W121" t="n">
        <v>300841</v>
      </c>
      <c r="X121" t="inlineStr">
        <is>
          <t>自营权益4（深港）</t>
        </is>
      </c>
      <c r="Y121" t="n">
        <v>1429000</v>
      </c>
      <c r="Z121" t="n">
        <v>2.47</v>
      </c>
      <c r="AA121" t="n">
        <v>2.42</v>
      </c>
      <c r="AB121" t="n">
        <v>9</v>
      </c>
      <c r="AC121" t="inlineStr">
        <is>
          <t>叶盛</t>
        </is>
      </c>
      <c r="AD121" t="inlineStr">
        <is>
          <t>股票资产</t>
        </is>
      </c>
      <c r="AE121" t="n">
        <v>2.0661</v>
      </c>
      <c r="AF121" t="n">
        <v>16.035</v>
      </c>
      <c r="AG121" t="n">
        <v>-0.0041</v>
      </c>
      <c r="AH121" t="n">
        <v>1430000</v>
      </c>
      <c r="AI121" t="n">
        <v>53</v>
      </c>
      <c r="AJ121" t="inlineStr">
        <is>
          <t>自营权益4（深港）</t>
        </is>
      </c>
      <c r="AK121" t="inlineStr">
        <is>
          <t>人民币</t>
        </is>
      </c>
      <c r="AL121" t="n">
        <v>6111</v>
      </c>
      <c r="AM121" t="n">
        <v/>
      </c>
      <c r="AN121" t="n">
        <v>30084</v>
      </c>
      <c r="AO121" t="n">
        <v/>
      </c>
      <c r="AP121" t="inlineStr">
        <is>
          <t>顾吟湫</t>
        </is>
      </c>
      <c r="AQ121" t="inlineStr">
        <is>
          <t>人民币</t>
        </is>
      </c>
      <c r="AR121" t="n">
        <v>3059202.23</v>
      </c>
      <c r="AS121" t="n">
        <v/>
      </c>
      <c r="AT121" t="n">
        <v/>
      </c>
      <c r="AU121" t="n">
        <v/>
      </c>
      <c r="AV121" t="n">
        <v/>
      </c>
      <c r="AW121" t="inlineStr">
        <is>
          <t>CNE1000025S9</t>
        </is>
      </c>
      <c r="AX121" t="inlineStr">
        <is>
          <t>无</t>
        </is>
      </c>
      <c r="AY121" t="inlineStr">
        <is>
          <t xml:space="preserve"> </t>
        </is>
      </c>
      <c r="AZ121" t="inlineStr">
        <is>
          <t xml:space="preserve"> </t>
        </is>
      </c>
      <c r="BA121" t="n">
        <v>1.5324</v>
      </c>
      <c r="BB121" t="n">
        <v>0</v>
      </c>
      <c r="BC121" t="inlineStr">
        <is>
          <t>缺省券商</t>
        </is>
      </c>
      <c r="BD121" t="inlineStr">
        <is>
          <t>交易所业务</t>
        </is>
      </c>
      <c r="BE121" t="inlineStr">
        <is>
          <t>不是ETF补券指令</t>
        </is>
      </c>
      <c r="BF121" t="inlineStr">
        <is>
          <t>-3,508,340.00</t>
        </is>
      </c>
      <c r="BG121" t="n">
        <v>0</v>
      </c>
      <c r="BH121" t="inlineStr">
        <is>
          <t>非强平</t>
        </is>
      </c>
      <c r="BI121" t="inlineStr">
        <is>
          <t>顾吟湫</t>
        </is>
      </c>
      <c r="BJ121" t="inlineStr">
        <is>
          <t>否</t>
        </is>
      </c>
      <c r="BK121" t="inlineStr">
        <is>
          <t>增强限价盘</t>
        </is>
      </c>
      <c r="BL121" t="n">
        <v/>
      </c>
      <c r="BM121" t="n">
        <v>0</v>
      </c>
      <c r="BN121" t="n">
        <v>0</v>
      </c>
      <c r="BO121" t="inlineStr">
        <is>
          <t>股票</t>
        </is>
      </c>
      <c r="BP121" t="n">
        <v/>
      </c>
      <c r="BQ121" t="n">
        <v/>
      </c>
      <c r="BR121" t="n">
        <v>0</v>
      </c>
      <c r="BS121" t="inlineStr">
        <is>
          <t>已成交</t>
        </is>
      </c>
    </row>
    <row r="122">
      <c r="A122" t="n">
        <v>121</v>
      </c>
      <c r="B122" t="inlineStr">
        <is>
          <t>2026-04-20</t>
        </is>
      </c>
      <c r="C122" t="n">
        <v>3008</v>
      </c>
      <c r="D122" t="inlineStr">
        <is>
          <t>自营权益4</t>
        </is>
      </c>
      <c r="E122" t="n">
        <v>3008</v>
      </c>
      <c r="F122" t="n">
        <v>2020</v>
      </c>
      <c r="G122" t="inlineStr">
        <is>
          <t>安踏体育</t>
        </is>
      </c>
      <c r="H122" t="inlineStr">
        <is>
          <t>卖出</t>
        </is>
      </c>
      <c r="I122" t="n">
        <v>85.65000000000001</v>
      </c>
      <c r="J122" t="n">
        <v>85.88</v>
      </c>
      <c r="K122" t="n">
        <v>10000</v>
      </c>
      <c r="L122" t="n">
        <v>861500</v>
      </c>
      <c r="M122" t="n">
        <v>2</v>
      </c>
      <c r="N122" t="n">
        <v>86.15000000000001</v>
      </c>
      <c r="O122" t="n">
        <v>86.15000000000001</v>
      </c>
      <c r="P122" t="n">
        <v>86.15000000000001</v>
      </c>
      <c r="Q122" t="n">
        <v>86.15000000000001</v>
      </c>
      <c r="R122" t="n">
        <v>86.15000000000001</v>
      </c>
      <c r="S122" t="inlineStr">
        <is>
          <t>港股通（深）</t>
        </is>
      </c>
      <c r="T122" t="n">
        <v>8593386</v>
      </c>
      <c r="U122" t="n">
        <v>0.1164</v>
      </c>
      <c r="V122" t="n">
        <v>737996760.9</v>
      </c>
      <c r="W122" t="n">
        <v>300841</v>
      </c>
      <c r="X122" t="inlineStr">
        <is>
          <t>自营权益4（深港）</t>
        </is>
      </c>
      <c r="Y122" t="n">
        <v>10000</v>
      </c>
      <c r="Z122" t="n">
        <v>86.55</v>
      </c>
      <c r="AA122" t="n">
        <v>85.45</v>
      </c>
      <c r="AB122" t="n">
        <v>1</v>
      </c>
      <c r="AC122" t="inlineStr">
        <is>
          <t>叶盛</t>
        </is>
      </c>
      <c r="AD122" t="inlineStr">
        <is>
          <t>股票资产</t>
        </is>
      </c>
      <c r="AE122" t="n">
        <v>0.6463</v>
      </c>
      <c r="AF122" t="n">
        <v>0.1167</v>
      </c>
      <c r="AG122" t="n">
        <v>0.3149</v>
      </c>
      <c r="AH122" t="n">
        <v>10000</v>
      </c>
      <c r="AI122" t="n">
        <v>53</v>
      </c>
      <c r="AJ122" t="inlineStr">
        <is>
          <t>自营权益4（深港）</t>
        </is>
      </c>
      <c r="AK122" t="inlineStr">
        <is>
          <t>人民币</t>
        </is>
      </c>
      <c r="AL122" t="n">
        <v>6111</v>
      </c>
      <c r="AM122" t="n">
        <v/>
      </c>
      <c r="AN122" t="n">
        <v>30084</v>
      </c>
      <c r="AO122" t="n">
        <v/>
      </c>
      <c r="AP122" t="inlineStr">
        <is>
          <t>顾吟湫</t>
        </is>
      </c>
      <c r="AQ122" t="inlineStr">
        <is>
          <t>人民币</t>
        </is>
      </c>
      <c r="AR122" t="n">
        <v>750900.63</v>
      </c>
      <c r="AS122" t="n">
        <v/>
      </c>
      <c r="AT122" t="n">
        <v/>
      </c>
      <c r="AU122" t="n">
        <v/>
      </c>
      <c r="AV122" t="n">
        <v/>
      </c>
      <c r="AW122" t="inlineStr">
        <is>
          <t>KYG040111059</t>
        </is>
      </c>
      <c r="AX122" t="inlineStr">
        <is>
          <t>无</t>
        </is>
      </c>
      <c r="AY122" t="inlineStr">
        <is>
          <t xml:space="preserve"> </t>
        </is>
      </c>
      <c r="AZ122" t="inlineStr">
        <is>
          <t xml:space="preserve"> </t>
        </is>
      </c>
      <c r="BA122" t="n">
        <v>0.3761</v>
      </c>
      <c r="BB122" t="n">
        <v>0</v>
      </c>
      <c r="BC122" t="inlineStr">
        <is>
          <t>缺省券商</t>
        </is>
      </c>
      <c r="BD122" t="inlineStr">
        <is>
          <t>交易所业务</t>
        </is>
      </c>
      <c r="BE122" t="inlineStr">
        <is>
          <t>不是ETF补券指令</t>
        </is>
      </c>
      <c r="BF122" t="inlineStr">
        <is>
          <t>861,500.00</t>
        </is>
      </c>
      <c r="BG122" t="n">
        <v>0</v>
      </c>
      <c r="BH122" t="inlineStr">
        <is>
          <t>非强平</t>
        </is>
      </c>
      <c r="BI122" t="inlineStr">
        <is>
          <t>顾吟湫</t>
        </is>
      </c>
      <c r="BJ122" t="inlineStr">
        <is>
          <t>否</t>
        </is>
      </c>
      <c r="BK122" t="inlineStr">
        <is>
          <t>增强限价盘</t>
        </is>
      </c>
      <c r="BL122" t="n">
        <v/>
      </c>
      <c r="BM122" t="n">
        <v>0</v>
      </c>
      <c r="BN122" t="n">
        <v>1.066666666666667</v>
      </c>
      <c r="BO122" t="inlineStr">
        <is>
          <t>股票</t>
        </is>
      </c>
      <c r="BP122" t="n">
        <v/>
      </c>
      <c r="BQ122" t="n">
        <v/>
      </c>
      <c r="BR122" t="n">
        <v>0</v>
      </c>
      <c r="BS122" t="inlineStr">
        <is>
          <t>已成交</t>
        </is>
      </c>
    </row>
    <row r="123">
      <c r="A123" t="n">
        <v>122</v>
      </c>
      <c r="B123" t="inlineStr">
        <is>
          <t>2026-04-20</t>
        </is>
      </c>
      <c r="C123" t="n">
        <v>3008</v>
      </c>
      <c r="D123" t="inlineStr">
        <is>
          <t>自营权益4</t>
        </is>
      </c>
      <c r="E123" t="n">
        <v>3008</v>
      </c>
      <c r="F123" t="n">
        <v>3933</v>
      </c>
      <c r="G123" t="inlineStr">
        <is>
          <t>联邦制药</t>
        </is>
      </c>
      <c r="H123" t="inlineStr">
        <is>
          <t>买入</t>
        </is>
      </c>
      <c r="I123" t="n">
        <v>10.04</v>
      </c>
      <c r="J123" t="n">
        <v>10.02</v>
      </c>
      <c r="K123" t="n">
        <v>30000</v>
      </c>
      <c r="L123" t="n">
        <v>301100</v>
      </c>
      <c r="M123" t="n">
        <v>3</v>
      </c>
      <c r="N123" t="n">
        <v>9.99</v>
      </c>
      <c r="O123" t="n">
        <v>10.04</v>
      </c>
      <c r="P123" t="n">
        <v>10.03666666666667</v>
      </c>
      <c r="Q123" t="n">
        <v>10.03666666666667</v>
      </c>
      <c r="R123" t="n">
        <v>10.03666666666667</v>
      </c>
      <c r="S123" t="inlineStr">
        <is>
          <t>港股通（深）</t>
        </is>
      </c>
      <c r="T123" t="n">
        <v>2985927</v>
      </c>
      <c r="U123" t="n">
        <v>1.0047</v>
      </c>
      <c r="V123" t="n">
        <v>29931424.16</v>
      </c>
      <c r="W123" t="n">
        <v>300841</v>
      </c>
      <c r="X123" t="inlineStr">
        <is>
          <t>自营权益4（深港）</t>
        </is>
      </c>
      <c r="Y123" t="n">
        <v>30000</v>
      </c>
      <c r="Z123" t="n">
        <v>10.1</v>
      </c>
      <c r="AA123" t="n">
        <v>9.81</v>
      </c>
      <c r="AB123" t="n">
        <v>4</v>
      </c>
      <c r="AC123" t="inlineStr">
        <is>
          <t>叶盛</t>
        </is>
      </c>
      <c r="AD123" t="inlineStr">
        <is>
          <t>股票资产</t>
        </is>
      </c>
      <c r="AE123" t="n">
        <v>0</v>
      </c>
      <c r="AF123" t="n">
        <v>1.006</v>
      </c>
      <c r="AG123" t="n">
        <v>-0.1247</v>
      </c>
      <c r="AH123" t="n">
        <v>30000</v>
      </c>
      <c r="AI123" t="n">
        <v>53</v>
      </c>
      <c r="AJ123" t="inlineStr">
        <is>
          <t>自营权益4（深港）</t>
        </is>
      </c>
      <c r="AK123" t="inlineStr">
        <is>
          <t>人民币</t>
        </is>
      </c>
      <c r="AL123" t="n">
        <v>6111</v>
      </c>
      <c r="AM123" t="n">
        <v/>
      </c>
      <c r="AN123" t="n">
        <v>30084</v>
      </c>
      <c r="AO123" t="n">
        <v/>
      </c>
      <c r="AP123" t="inlineStr">
        <is>
          <t>顾吟湫</t>
        </is>
      </c>
      <c r="AQ123" t="inlineStr">
        <is>
          <t>人民币</t>
        </is>
      </c>
      <c r="AR123" t="n">
        <v>262553.18</v>
      </c>
      <c r="AS123" t="n">
        <v/>
      </c>
      <c r="AT123" t="n">
        <v/>
      </c>
      <c r="AU123" t="n">
        <v/>
      </c>
      <c r="AV123" t="n">
        <v/>
      </c>
      <c r="AW123" t="inlineStr">
        <is>
          <t>KYG8813K1085</t>
        </is>
      </c>
      <c r="AX123" t="inlineStr">
        <is>
          <t>无</t>
        </is>
      </c>
      <c r="AY123" t="inlineStr">
        <is>
          <t xml:space="preserve"> </t>
        </is>
      </c>
      <c r="AZ123" t="inlineStr">
        <is>
          <t xml:space="preserve"> </t>
        </is>
      </c>
      <c r="BA123" t="n">
        <v>0.1315</v>
      </c>
      <c r="BB123" t="n">
        <v>0</v>
      </c>
      <c r="BC123" t="inlineStr">
        <is>
          <t>缺省券商</t>
        </is>
      </c>
      <c r="BD123" t="inlineStr">
        <is>
          <t>交易所业务</t>
        </is>
      </c>
      <c r="BE123" t="inlineStr">
        <is>
          <t>不是ETF补券指令</t>
        </is>
      </c>
      <c r="BF123" t="inlineStr">
        <is>
          <t>-301,100.00</t>
        </is>
      </c>
      <c r="BG123" t="n">
        <v>0</v>
      </c>
      <c r="BH123" t="inlineStr">
        <is>
          <t>非强平</t>
        </is>
      </c>
      <c r="BI123" t="inlineStr">
        <is>
          <t>顾吟湫</t>
        </is>
      </c>
      <c r="BJ123" t="inlineStr">
        <is>
          <t>否</t>
        </is>
      </c>
      <c r="BK123" t="inlineStr">
        <is>
          <t>增强限价盘</t>
        </is>
      </c>
      <c r="BL123" t="n">
        <v/>
      </c>
      <c r="BM123" t="n">
        <v>0</v>
      </c>
      <c r="BN123" t="n">
        <v>1.183333333333333</v>
      </c>
      <c r="BO123" t="inlineStr">
        <is>
          <t>股票</t>
        </is>
      </c>
      <c r="BP123" t="n">
        <v/>
      </c>
      <c r="BQ123" t="n">
        <v/>
      </c>
      <c r="BR123" t="n">
        <v>0</v>
      </c>
      <c r="BS123" t="inlineStr">
        <is>
          <t>已成交</t>
        </is>
      </c>
    </row>
    <row r="124">
      <c r="A124" t="n">
        <v>123</v>
      </c>
      <c r="B124" t="inlineStr">
        <is>
          <t>2026-04-20</t>
        </is>
      </c>
      <c r="C124" t="n">
        <v>3008</v>
      </c>
      <c r="D124" t="inlineStr">
        <is>
          <t>自营权益4</t>
        </is>
      </c>
      <c r="E124" t="n">
        <v>3008</v>
      </c>
      <c r="F124" t="n">
        <v>6818</v>
      </c>
      <c r="G124" t="inlineStr">
        <is>
          <t>中国光大银行</t>
        </is>
      </c>
      <c r="H124" t="inlineStr">
        <is>
          <t>买入</t>
        </is>
      </c>
      <c r="I124" t="n">
        <v>3.16</v>
      </c>
      <c r="J124" t="n">
        <v>3.17</v>
      </c>
      <c r="K124" t="n">
        <v>100000</v>
      </c>
      <c r="L124" t="n">
        <v>314060</v>
      </c>
      <c r="M124" t="n">
        <v>25</v>
      </c>
      <c r="N124" t="n">
        <v>3.14</v>
      </c>
      <c r="O124" t="n">
        <v>3.16</v>
      </c>
      <c r="P124" t="n">
        <v>3.1406</v>
      </c>
      <c r="Q124" t="n">
        <v>3.1406</v>
      </c>
      <c r="R124" t="n">
        <v>3.1406</v>
      </c>
      <c r="S124" t="inlineStr">
        <is>
          <t>港股通（深）</t>
        </is>
      </c>
      <c r="T124" t="n">
        <v>10048000</v>
      </c>
      <c r="U124" t="n">
        <v>0.9952</v>
      </c>
      <c r="V124" t="n">
        <v>31826811</v>
      </c>
      <c r="W124" t="n">
        <v>300841</v>
      </c>
      <c r="X124" t="inlineStr">
        <is>
          <t>自营权益4（深港）</t>
        </is>
      </c>
      <c r="Y124" t="n">
        <v>100000</v>
      </c>
      <c r="Z124" t="n">
        <v>3.19</v>
      </c>
      <c r="AA124" t="n">
        <v>3.12</v>
      </c>
      <c r="AB124" t="n">
        <v>2</v>
      </c>
      <c r="AC124" t="inlineStr">
        <is>
          <t>混合</t>
        </is>
      </c>
      <c r="AD124" t="inlineStr">
        <is>
          <t>股票资产</t>
        </is>
      </c>
      <c r="AE124" t="n">
        <v>0.3175</v>
      </c>
      <c r="AF124" t="n">
        <v>0.9868</v>
      </c>
      <c r="AG124" t="n">
        <v>0.8493000000000001</v>
      </c>
      <c r="AH124" t="n">
        <v>100000</v>
      </c>
      <c r="AI124" t="n">
        <v>53</v>
      </c>
      <c r="AJ124" t="inlineStr">
        <is>
          <t>自营权益4（深港）</t>
        </is>
      </c>
      <c r="AK124" t="inlineStr">
        <is>
          <t>人民币</t>
        </is>
      </c>
      <c r="AL124" t="n">
        <v>6111</v>
      </c>
      <c r="AM124" t="n">
        <v/>
      </c>
      <c r="AN124" t="n">
        <v>30084</v>
      </c>
      <c r="AO124" t="n">
        <v/>
      </c>
      <c r="AP124" t="inlineStr">
        <is>
          <t>顾吟湫</t>
        </is>
      </c>
      <c r="AQ124" t="inlineStr">
        <is>
          <t>人民币</t>
        </is>
      </c>
      <c r="AR124" t="n">
        <v>273854.05</v>
      </c>
      <c r="AS124" t="n">
        <v/>
      </c>
      <c r="AT124" t="n">
        <v/>
      </c>
      <c r="AU124" t="n">
        <v/>
      </c>
      <c r="AV124" t="n">
        <v/>
      </c>
      <c r="AW124" t="inlineStr">
        <is>
          <t>CNE100001QW3</t>
        </is>
      </c>
      <c r="AX124" t="inlineStr">
        <is>
          <t>无</t>
        </is>
      </c>
      <c r="AY124" t="inlineStr">
        <is>
          <t xml:space="preserve"> </t>
        </is>
      </c>
      <c r="AZ124" t="inlineStr">
        <is>
          <t xml:space="preserve"> </t>
        </is>
      </c>
      <c r="BA124" t="n">
        <v>0.1372</v>
      </c>
      <c r="BB124" t="n">
        <v>0</v>
      </c>
      <c r="BC124" t="inlineStr">
        <is>
          <t>缺省券商</t>
        </is>
      </c>
      <c r="BD124" t="inlineStr">
        <is>
          <t>交易所业务</t>
        </is>
      </c>
      <c r="BE124" t="inlineStr">
        <is>
          <t>不是ETF补券指令</t>
        </is>
      </c>
      <c r="BF124" t="inlineStr">
        <is>
          <t>-314,060.00</t>
        </is>
      </c>
      <c r="BG124" t="n">
        <v>0</v>
      </c>
      <c r="BH124" t="inlineStr">
        <is>
          <t>非强平</t>
        </is>
      </c>
      <c r="BI124" t="inlineStr">
        <is>
          <t>顾吟湫</t>
        </is>
      </c>
      <c r="BJ124" t="inlineStr">
        <is>
          <t>否</t>
        </is>
      </c>
      <c r="BK124" t="inlineStr">
        <is>
          <t>增强限价盘</t>
        </is>
      </c>
      <c r="BL124" t="n">
        <v/>
      </c>
      <c r="BM124" t="n">
        <v>0</v>
      </c>
      <c r="BN124" t="n">
        <v>24.1</v>
      </c>
      <c r="BO124" t="inlineStr">
        <is>
          <t>股票</t>
        </is>
      </c>
      <c r="BP124" t="n">
        <v/>
      </c>
      <c r="BQ124" t="n">
        <v/>
      </c>
      <c r="BR124" t="n">
        <v>0</v>
      </c>
      <c r="BS124" t="inlineStr">
        <is>
          <t>已成交</t>
        </is>
      </c>
    </row>
    <row r="125">
      <c r="A125" t="n">
        <v>124</v>
      </c>
      <c r="B125" t="inlineStr">
        <is>
          <t>2026-04-21</t>
        </is>
      </c>
      <c r="C125" t="n">
        <v>3008</v>
      </c>
      <c r="D125" t="inlineStr">
        <is>
          <t>自营权益4</t>
        </is>
      </c>
      <c r="E125" t="n">
        <v>3008</v>
      </c>
      <c r="F125" t="n">
        <v>728</v>
      </c>
      <c r="G125" t="inlineStr">
        <is>
          <t>中国电信</t>
        </is>
      </c>
      <c r="H125" t="inlineStr">
        <is>
          <t>卖出</t>
        </is>
      </c>
      <c r="I125" t="n">
        <v>5.05</v>
      </c>
      <c r="J125" t="n">
        <v>5.03</v>
      </c>
      <c r="K125" t="n">
        <v>200000</v>
      </c>
      <c r="L125" t="n">
        <v>1004000</v>
      </c>
      <c r="M125" t="n">
        <v>1</v>
      </c>
      <c r="N125" t="n">
        <v>5.02</v>
      </c>
      <c r="O125" t="n">
        <v>5.02</v>
      </c>
      <c r="P125" t="n">
        <v>5.02</v>
      </c>
      <c r="Q125" t="n">
        <v>5.02</v>
      </c>
      <c r="R125" t="n">
        <v>5.02</v>
      </c>
      <c r="S125" t="inlineStr">
        <is>
          <t>港股通（深）</t>
        </is>
      </c>
      <c r="T125" t="n">
        <v>83556871</v>
      </c>
      <c r="U125" t="n">
        <v>0.2394</v>
      </c>
      <c r="V125" t="n">
        <v>420093415</v>
      </c>
      <c r="W125" t="n">
        <v>300841</v>
      </c>
      <c r="X125" t="inlineStr">
        <is>
          <t>自营权益4（深港）</t>
        </is>
      </c>
      <c r="Y125" t="n">
        <v>200000</v>
      </c>
      <c r="Z125" t="n">
        <v>5.07</v>
      </c>
      <c r="AA125" t="n">
        <v>4.95</v>
      </c>
      <c r="AB125" t="n">
        <v>1</v>
      </c>
      <c r="AC125" t="inlineStr">
        <is>
          <t>叶盛</t>
        </is>
      </c>
      <c r="AD125" t="inlineStr">
        <is>
          <t>股票资产</t>
        </is>
      </c>
      <c r="AE125" t="n">
        <v>2.0202</v>
      </c>
      <c r="AF125" t="n">
        <v>0.239</v>
      </c>
      <c r="AG125" t="n">
        <v>-0.1512</v>
      </c>
      <c r="AH125" t="n">
        <v>200000</v>
      </c>
      <c r="AI125" t="n">
        <v>53</v>
      </c>
      <c r="AJ125" t="inlineStr">
        <is>
          <t>自营权益4（深港）</t>
        </is>
      </c>
      <c r="AK125" t="inlineStr">
        <is>
          <t>人民币</t>
        </is>
      </c>
      <c r="AL125" t="n">
        <v>6111</v>
      </c>
      <c r="AM125" t="n">
        <v/>
      </c>
      <c r="AN125" t="n">
        <v>30084</v>
      </c>
      <c r="AO125" t="n">
        <v/>
      </c>
      <c r="AP125" t="inlineStr">
        <is>
          <t>顾吟湫</t>
        </is>
      </c>
      <c r="AQ125" t="inlineStr">
        <is>
          <t>人民币</t>
        </is>
      </c>
      <c r="AR125" t="n">
        <v>874172.76</v>
      </c>
      <c r="AS125" t="n">
        <v/>
      </c>
      <c r="AT125" t="n">
        <v/>
      </c>
      <c r="AU125" t="n">
        <v/>
      </c>
      <c r="AV125" t="n">
        <v/>
      </c>
      <c r="AW125" t="inlineStr">
        <is>
          <t>CNE1000002V2</t>
        </is>
      </c>
      <c r="AX125" t="inlineStr">
        <is>
          <t>无</t>
        </is>
      </c>
      <c r="AY125" t="inlineStr">
        <is>
          <t xml:space="preserve"> </t>
        </is>
      </c>
      <c r="AZ125" t="inlineStr">
        <is>
          <t xml:space="preserve"> </t>
        </is>
      </c>
      <c r="BA125" t="n">
        <v>0.4347</v>
      </c>
      <c r="BB125" t="n">
        <v>0</v>
      </c>
      <c r="BC125" t="inlineStr">
        <is>
          <t>缺省券商</t>
        </is>
      </c>
      <c r="BD125" t="inlineStr">
        <is>
          <t>交易所业务</t>
        </is>
      </c>
      <c r="BE125" t="inlineStr">
        <is>
          <t>不是ETF补券指令</t>
        </is>
      </c>
      <c r="BF125" t="inlineStr">
        <is>
          <t>1,004,000.00</t>
        </is>
      </c>
      <c r="BG125" t="n">
        <v>0</v>
      </c>
      <c r="BH125" t="inlineStr">
        <is>
          <t>非强平</t>
        </is>
      </c>
      <c r="BI125" t="inlineStr">
        <is>
          <t>顾吟湫</t>
        </is>
      </c>
      <c r="BJ125" t="inlineStr">
        <is>
          <t>否</t>
        </is>
      </c>
      <c r="BK125" t="inlineStr">
        <is>
          <t>增强限价盘</t>
        </is>
      </c>
      <c r="BL125" t="n">
        <v/>
      </c>
      <c r="BM125" t="n">
        <v>0</v>
      </c>
      <c r="BN125" t="n">
        <v>1.283333333333333</v>
      </c>
      <c r="BO125" t="inlineStr">
        <is>
          <t>股票</t>
        </is>
      </c>
      <c r="BP125" t="n">
        <v/>
      </c>
      <c r="BQ125" t="n">
        <v/>
      </c>
      <c r="BR125" t="n">
        <v>0</v>
      </c>
      <c r="BS125" t="inlineStr">
        <is>
          <t>已成交</t>
        </is>
      </c>
    </row>
    <row r="126">
      <c r="A126" t="n">
        <v>125</v>
      </c>
      <c r="B126" t="inlineStr">
        <is>
          <t>2026-04-21</t>
        </is>
      </c>
      <c r="C126" t="n">
        <v>3008</v>
      </c>
      <c r="D126" t="inlineStr">
        <is>
          <t>自营权益4</t>
        </is>
      </c>
      <c r="E126" t="n">
        <v>3008</v>
      </c>
      <c r="F126" t="n">
        <v>788</v>
      </c>
      <c r="G126" t="inlineStr">
        <is>
          <t>中国铁塔</t>
        </is>
      </c>
      <c r="H126" t="inlineStr">
        <is>
          <t>卖出</t>
        </is>
      </c>
      <c r="I126" t="n">
        <v>11.3</v>
      </c>
      <c r="J126" t="n">
        <v>11.24</v>
      </c>
      <c r="K126" t="n">
        <v>100000</v>
      </c>
      <c r="L126" t="n">
        <v>1120000</v>
      </c>
      <c r="M126" t="n">
        <v>8</v>
      </c>
      <c r="N126" t="n">
        <v>11.2</v>
      </c>
      <c r="O126" t="n">
        <v>11.2</v>
      </c>
      <c r="P126" t="n">
        <v>11.2</v>
      </c>
      <c r="Q126" t="n">
        <v>11.2</v>
      </c>
      <c r="R126" t="n">
        <v>11.2</v>
      </c>
      <c r="S126" t="inlineStr">
        <is>
          <t>港股通（深）</t>
        </is>
      </c>
      <c r="T126" t="n">
        <v>17102872</v>
      </c>
      <c r="U126" t="n">
        <v>0.5847</v>
      </c>
      <c r="V126" t="n">
        <v>192248520.02</v>
      </c>
      <c r="W126" t="n">
        <v>300841</v>
      </c>
      <c r="X126" t="inlineStr">
        <is>
          <t>自营权益4（深港）</t>
        </is>
      </c>
      <c r="Y126" t="n">
        <v>100000</v>
      </c>
      <c r="Z126" t="n">
        <v>11.33</v>
      </c>
      <c r="AA126" t="n">
        <v>11.05</v>
      </c>
      <c r="AB126" t="n">
        <v>1</v>
      </c>
      <c r="AC126" t="inlineStr">
        <is>
          <t>叶盛</t>
        </is>
      </c>
      <c r="AD126" t="inlineStr">
        <is>
          <t>股票资产</t>
        </is>
      </c>
      <c r="AE126" t="n">
        <v>1.8936</v>
      </c>
      <c r="AF126" t="n">
        <v>0.5826</v>
      </c>
      <c r="AG126" t="n">
        <v>-0.3621</v>
      </c>
      <c r="AH126" t="n">
        <v>100000</v>
      </c>
      <c r="AI126" t="n">
        <v>53</v>
      </c>
      <c r="AJ126" t="inlineStr">
        <is>
          <t>自营权益4（深港）</t>
        </is>
      </c>
      <c r="AK126" t="inlineStr">
        <is>
          <t>人民币</t>
        </is>
      </c>
      <c r="AL126" t="n">
        <v>6111</v>
      </c>
      <c r="AM126" t="n">
        <v/>
      </c>
      <c r="AN126" t="n">
        <v>30084</v>
      </c>
      <c r="AO126" t="n">
        <v/>
      </c>
      <c r="AP126" t="inlineStr">
        <is>
          <t>顾吟湫</t>
        </is>
      </c>
      <c r="AQ126" t="inlineStr">
        <is>
          <t>人民币</t>
        </is>
      </c>
      <c r="AR126" t="n">
        <v>975172.8100000001</v>
      </c>
      <c r="AS126" t="n">
        <v/>
      </c>
      <c r="AT126" t="n">
        <v/>
      </c>
      <c r="AU126" t="n">
        <v/>
      </c>
      <c r="AV126" t="n">
        <v/>
      </c>
      <c r="AW126" t="inlineStr">
        <is>
          <t>CNE100006V65</t>
        </is>
      </c>
      <c r="AX126" t="inlineStr">
        <is>
          <t>无</t>
        </is>
      </c>
      <c r="AY126" t="inlineStr">
        <is>
          <t xml:space="preserve"> </t>
        </is>
      </c>
      <c r="AZ126" t="inlineStr">
        <is>
          <t xml:space="preserve"> </t>
        </is>
      </c>
      <c r="BA126" t="n">
        <v>0.4849</v>
      </c>
      <c r="BB126" t="n">
        <v>0</v>
      </c>
      <c r="BC126" t="inlineStr">
        <is>
          <t>缺省券商</t>
        </is>
      </c>
      <c r="BD126" t="inlineStr">
        <is>
          <t>交易所业务</t>
        </is>
      </c>
      <c r="BE126" t="inlineStr">
        <is>
          <t>不是ETF补券指令</t>
        </is>
      </c>
      <c r="BF126" t="inlineStr">
        <is>
          <t>1,120,000.00</t>
        </is>
      </c>
      <c r="BG126" t="n">
        <v>0</v>
      </c>
      <c r="BH126" t="inlineStr">
        <is>
          <t>非强平</t>
        </is>
      </c>
      <c r="BI126" t="inlineStr">
        <is>
          <t>顾吟湫</t>
        </is>
      </c>
      <c r="BJ126" t="inlineStr">
        <is>
          <t>否</t>
        </is>
      </c>
      <c r="BK126" t="inlineStr">
        <is>
          <t>增强限价盘</t>
        </is>
      </c>
      <c r="BL126" t="n">
        <v/>
      </c>
      <c r="BM126" t="n">
        <v>0</v>
      </c>
      <c r="BN126" t="n">
        <v>121.5666666666667</v>
      </c>
      <c r="BO126" t="inlineStr">
        <is>
          <t>股票</t>
        </is>
      </c>
      <c r="BP126" t="n">
        <v/>
      </c>
      <c r="BQ126" t="n">
        <v/>
      </c>
      <c r="BR126" t="n">
        <v>0</v>
      </c>
      <c r="BS126" t="inlineStr">
        <is>
          <t>已成交</t>
        </is>
      </c>
    </row>
    <row r="127">
      <c r="A127" t="n">
        <v>126</v>
      </c>
      <c r="B127" t="inlineStr">
        <is>
          <t>2026-04-21</t>
        </is>
      </c>
      <c r="C127" t="n">
        <v>3008</v>
      </c>
      <c r="D127" t="inlineStr">
        <is>
          <t>自营权益4</t>
        </is>
      </c>
      <c r="E127" t="n">
        <v>3008</v>
      </c>
      <c r="F127" t="n">
        <v>939</v>
      </c>
      <c r="G127" t="inlineStr">
        <is>
          <t>建设银行</t>
        </is>
      </c>
      <c r="H127" t="inlineStr">
        <is>
          <t>卖出</t>
        </is>
      </c>
      <c r="I127" t="n">
        <v>8.960000000000001</v>
      </c>
      <c r="J127" t="n">
        <v>8.949999999999999</v>
      </c>
      <c r="K127" t="n">
        <v>100000</v>
      </c>
      <c r="L127" t="n">
        <v>892000</v>
      </c>
      <c r="M127" t="n">
        <v>2</v>
      </c>
      <c r="N127" t="n">
        <v>8.92</v>
      </c>
      <c r="O127" t="n">
        <v>8.92</v>
      </c>
      <c r="P127" t="n">
        <v>8.92</v>
      </c>
      <c r="Q127" t="n">
        <v>8.92</v>
      </c>
      <c r="R127" t="n">
        <v>8.92</v>
      </c>
      <c r="S127" t="inlineStr">
        <is>
          <t>港股通（深）</t>
        </is>
      </c>
      <c r="T127" t="n">
        <v>255311965</v>
      </c>
      <c r="U127" t="n">
        <v>0.0392</v>
      </c>
      <c r="V127" t="n">
        <v>2284144702.86</v>
      </c>
      <c r="W127" t="n">
        <v>300841</v>
      </c>
      <c r="X127" t="inlineStr">
        <is>
          <t>自营权益4（深港）</t>
        </is>
      </c>
      <c r="Y127" t="n">
        <v>100000</v>
      </c>
      <c r="Z127" t="n">
        <v>9</v>
      </c>
      <c r="AA127" t="n">
        <v>8.84</v>
      </c>
      <c r="AB127" t="n">
        <v>1</v>
      </c>
      <c r="AC127" t="inlineStr">
        <is>
          <t>叶盛</t>
        </is>
      </c>
      <c r="AD127" t="inlineStr">
        <is>
          <t>股票资产</t>
        </is>
      </c>
      <c r="AE127" t="n">
        <v>0.9009</v>
      </c>
      <c r="AF127" t="n">
        <v>0.0391</v>
      </c>
      <c r="AG127" t="n">
        <v>-0.2962</v>
      </c>
      <c r="AH127" t="n">
        <v>100000</v>
      </c>
      <c r="AI127" t="n">
        <v>53</v>
      </c>
      <c r="AJ127" t="inlineStr">
        <is>
          <t>自营权益4（深港）</t>
        </is>
      </c>
      <c r="AK127" t="inlineStr">
        <is>
          <t>人民币</t>
        </is>
      </c>
      <c r="AL127" t="n">
        <v>6111</v>
      </c>
      <c r="AM127" t="n">
        <v/>
      </c>
      <c r="AN127" t="n">
        <v>30084</v>
      </c>
      <c r="AO127" t="n">
        <v/>
      </c>
      <c r="AP127" t="inlineStr">
        <is>
          <t>顾吟湫</t>
        </is>
      </c>
      <c r="AQ127" t="inlineStr">
        <is>
          <t>人民币</t>
        </is>
      </c>
      <c r="AR127" t="n">
        <v>776655.48</v>
      </c>
      <c r="AS127" t="n">
        <v/>
      </c>
      <c r="AT127" t="n">
        <v/>
      </c>
      <c r="AU127" t="n">
        <v/>
      </c>
      <c r="AV127" t="n">
        <v/>
      </c>
      <c r="AW127" t="inlineStr">
        <is>
          <t>CNE1000002H1</t>
        </is>
      </c>
      <c r="AX127" t="inlineStr">
        <is>
          <t>无</t>
        </is>
      </c>
      <c r="AY127" t="inlineStr">
        <is>
          <t xml:space="preserve"> </t>
        </is>
      </c>
      <c r="AZ127" t="inlineStr">
        <is>
          <t xml:space="preserve"> </t>
        </is>
      </c>
      <c r="BA127" t="n">
        <v>0.3862</v>
      </c>
      <c r="BB127" t="n">
        <v>0</v>
      </c>
      <c r="BC127" t="inlineStr">
        <is>
          <t>缺省券商</t>
        </is>
      </c>
      <c r="BD127" t="inlineStr">
        <is>
          <t>交易所业务</t>
        </is>
      </c>
      <c r="BE127" t="inlineStr">
        <is>
          <t>不是ETF补券指令</t>
        </is>
      </c>
      <c r="BF127" t="inlineStr">
        <is>
          <t>892,000.00</t>
        </is>
      </c>
      <c r="BG127" t="n">
        <v>0</v>
      </c>
      <c r="BH127" t="inlineStr">
        <is>
          <t>非强平</t>
        </is>
      </c>
      <c r="BI127" t="inlineStr">
        <is>
          <t>顾吟湫</t>
        </is>
      </c>
      <c r="BJ127" t="inlineStr">
        <is>
          <t>否</t>
        </is>
      </c>
      <c r="BK127" t="inlineStr">
        <is>
          <t>增强限价盘</t>
        </is>
      </c>
      <c r="BL127" t="n">
        <v/>
      </c>
      <c r="BM127" t="n">
        <v>0</v>
      </c>
      <c r="BN127" t="n">
        <v>11.2</v>
      </c>
      <c r="BO127" t="inlineStr">
        <is>
          <t>股票</t>
        </is>
      </c>
      <c r="BP127" t="n">
        <v/>
      </c>
      <c r="BQ127" t="n">
        <v/>
      </c>
      <c r="BR127" t="n">
        <v>0</v>
      </c>
      <c r="BS127" t="inlineStr">
        <is>
          <t>已成交</t>
        </is>
      </c>
    </row>
    <row r="128">
      <c r="A128" t="n">
        <v>127</v>
      </c>
      <c r="B128" t="inlineStr">
        <is>
          <t>2026-04-21</t>
        </is>
      </c>
      <c r="C128" t="n">
        <v>3008</v>
      </c>
      <c r="D128" t="inlineStr">
        <is>
          <t>自营权益4</t>
        </is>
      </c>
      <c r="E128" t="n">
        <v>3008</v>
      </c>
      <c r="F128" t="n">
        <v>1368</v>
      </c>
      <c r="G128" t="inlineStr">
        <is>
          <t>特步国际</t>
        </is>
      </c>
      <c r="H128" t="inlineStr">
        <is>
          <t>买入</t>
        </is>
      </c>
      <c r="I128" t="n">
        <v>4.57</v>
      </c>
      <c r="J128" t="n">
        <v>4.55</v>
      </c>
      <c r="K128" t="n">
        <v>100000</v>
      </c>
      <c r="L128" t="n">
        <v>454000</v>
      </c>
      <c r="M128" t="n">
        <v>20</v>
      </c>
      <c r="N128" t="n">
        <v>4.54</v>
      </c>
      <c r="O128" t="n">
        <v>4.54</v>
      </c>
      <c r="P128" t="n">
        <v>4.54</v>
      </c>
      <c r="Q128" t="n">
        <v>4.54</v>
      </c>
      <c r="R128" t="n">
        <v>4.54</v>
      </c>
      <c r="S128" t="inlineStr">
        <is>
          <t>港股通（深）</t>
        </is>
      </c>
      <c r="T128" t="n">
        <v>20591000</v>
      </c>
      <c r="U128" t="n">
        <v>0.4856</v>
      </c>
      <c r="V128" t="n">
        <v>93600311.8</v>
      </c>
      <c r="W128" t="n">
        <v>300841</v>
      </c>
      <c r="X128" t="inlineStr">
        <is>
          <t>自营权益4（深港）</t>
        </is>
      </c>
      <c r="Y128" t="n">
        <v>100000</v>
      </c>
      <c r="Z128" t="n">
        <v>4.69</v>
      </c>
      <c r="AA128" t="n">
        <v>4.51</v>
      </c>
      <c r="AB128" t="n">
        <v>1</v>
      </c>
      <c r="AC128" t="inlineStr">
        <is>
          <t>叶盛</t>
        </is>
      </c>
      <c r="AD128" t="inlineStr">
        <is>
          <t>股票资产</t>
        </is>
      </c>
      <c r="AE128" t="n">
        <v>-1.7204</v>
      </c>
      <c r="AF128" t="n">
        <v>0.485</v>
      </c>
      <c r="AG128" t="n">
        <v>0.1254</v>
      </c>
      <c r="AH128" t="n">
        <v>100000</v>
      </c>
      <c r="AI128" t="n">
        <v>53</v>
      </c>
      <c r="AJ128" t="inlineStr">
        <is>
          <t>自营权益4（深港）</t>
        </is>
      </c>
      <c r="AK128" t="inlineStr">
        <is>
          <t>人民币</t>
        </is>
      </c>
      <c r="AL128" t="n">
        <v>6111</v>
      </c>
      <c r="AM128" t="n">
        <v/>
      </c>
      <c r="AN128" t="n">
        <v>30084</v>
      </c>
      <c r="AO128" t="n">
        <v/>
      </c>
      <c r="AP128" t="inlineStr">
        <is>
          <t>顾吟湫</t>
        </is>
      </c>
      <c r="AQ128" t="inlineStr">
        <is>
          <t>人民币</t>
        </is>
      </c>
      <c r="AR128" t="n">
        <v>395302.34</v>
      </c>
      <c r="AS128" t="n">
        <v/>
      </c>
      <c r="AT128" t="n">
        <v/>
      </c>
      <c r="AU128" t="n">
        <v/>
      </c>
      <c r="AV128" t="n">
        <v/>
      </c>
      <c r="AW128" t="inlineStr">
        <is>
          <t>KYG982771092</t>
        </is>
      </c>
      <c r="AX128" t="inlineStr">
        <is>
          <t>无</t>
        </is>
      </c>
      <c r="AY128" t="inlineStr">
        <is>
          <t xml:space="preserve"> </t>
        </is>
      </c>
      <c r="AZ128" t="inlineStr">
        <is>
          <t xml:space="preserve"> </t>
        </is>
      </c>
      <c r="BA128" t="n">
        <v>0.1966</v>
      </c>
      <c r="BB128" t="n">
        <v>0</v>
      </c>
      <c r="BC128" t="inlineStr">
        <is>
          <t>缺省券商</t>
        </is>
      </c>
      <c r="BD128" t="inlineStr">
        <is>
          <t>交易所业务</t>
        </is>
      </c>
      <c r="BE128" t="inlineStr">
        <is>
          <t>不是ETF补券指令</t>
        </is>
      </c>
      <c r="BF128" t="inlineStr">
        <is>
          <t>-454,000.00</t>
        </is>
      </c>
      <c r="BG128" t="n">
        <v>0</v>
      </c>
      <c r="BH128" t="inlineStr">
        <is>
          <t>非强平</t>
        </is>
      </c>
      <c r="BI128" t="inlineStr">
        <is>
          <t>顾吟湫</t>
        </is>
      </c>
      <c r="BJ128" t="inlineStr">
        <is>
          <t>否</t>
        </is>
      </c>
      <c r="BK128" t="inlineStr">
        <is>
          <t>增强限价盘</t>
        </is>
      </c>
      <c r="BL128" t="n">
        <v/>
      </c>
      <c r="BM128" t="n">
        <v>0</v>
      </c>
      <c r="BN128" t="n">
        <v>3.9</v>
      </c>
      <c r="BO128" t="inlineStr">
        <is>
          <t>股票</t>
        </is>
      </c>
      <c r="BP128" t="n">
        <v/>
      </c>
      <c r="BQ128" t="n">
        <v/>
      </c>
      <c r="BR128" t="n">
        <v>0</v>
      </c>
      <c r="BS128" t="inlineStr">
        <is>
          <t>已成交</t>
        </is>
      </c>
    </row>
    <row r="129">
      <c r="A129" t="n">
        <v>128</v>
      </c>
      <c r="B129" t="inlineStr">
        <is>
          <t>2026-04-21</t>
        </is>
      </c>
      <c r="C129" t="n">
        <v>3008</v>
      </c>
      <c r="D129" t="inlineStr">
        <is>
          <t>自营权益4</t>
        </is>
      </c>
      <c r="E129" t="n">
        <v>3008</v>
      </c>
      <c r="F129" t="n">
        <v>2016</v>
      </c>
      <c r="G129" t="inlineStr">
        <is>
          <t>浙商银行</t>
        </is>
      </c>
      <c r="H129" t="inlineStr">
        <is>
          <t>买入</t>
        </is>
      </c>
      <c r="I129" t="n">
        <v>2.48</v>
      </c>
      <c r="J129" t="n">
        <v>2.47</v>
      </c>
      <c r="K129" t="n">
        <v>1071000</v>
      </c>
      <c r="L129" t="n">
        <v>2644510</v>
      </c>
      <c r="M129" t="n">
        <v>65</v>
      </c>
      <c r="N129" t="n">
        <v>2.46</v>
      </c>
      <c r="O129" t="n">
        <v>2.47</v>
      </c>
      <c r="P129" t="n">
        <v>2.469197012138189</v>
      </c>
      <c r="Q129" t="n">
        <v>2.469197012138189</v>
      </c>
      <c r="R129" t="n">
        <v>2.469197012138189</v>
      </c>
      <c r="S129" t="inlineStr">
        <is>
          <t>港股通（深）</t>
        </is>
      </c>
      <c r="T129" t="n">
        <v>4786000</v>
      </c>
      <c r="U129" t="n">
        <v>22.3778</v>
      </c>
      <c r="V129" t="n">
        <v>11823260</v>
      </c>
      <c r="W129" t="n">
        <v>300841</v>
      </c>
      <c r="X129" t="inlineStr">
        <is>
          <t>自营权益4（深港）</t>
        </is>
      </c>
      <c r="Y129" t="n">
        <v>1071000</v>
      </c>
      <c r="Z129" t="n">
        <v>2.48</v>
      </c>
      <c r="AA129" t="n">
        <v>2.45</v>
      </c>
      <c r="AB129" t="n">
        <v>5</v>
      </c>
      <c r="AC129" t="inlineStr">
        <is>
          <t>叶盛</t>
        </is>
      </c>
      <c r="AD129" t="inlineStr">
        <is>
          <t>股票资产</t>
        </is>
      </c>
      <c r="AE129" t="n">
        <v>0.4049</v>
      </c>
      <c r="AF129" t="n">
        <v>22.367</v>
      </c>
      <c r="AG129" t="n">
        <v>0.0486</v>
      </c>
      <c r="AH129" t="n">
        <v>1071000</v>
      </c>
      <c r="AI129" t="n">
        <v>53</v>
      </c>
      <c r="AJ129" t="inlineStr">
        <is>
          <t>自营权益4（深港）</t>
        </is>
      </c>
      <c r="AK129" t="inlineStr">
        <is>
          <t>人民币</t>
        </is>
      </c>
      <c r="AL129" t="n">
        <v>6111</v>
      </c>
      <c r="AM129" t="n">
        <v/>
      </c>
      <c r="AN129" t="n">
        <v>30084</v>
      </c>
      <c r="AO129" t="n">
        <v/>
      </c>
      <c r="AP129" t="inlineStr">
        <is>
          <t>顾吟湫</t>
        </is>
      </c>
      <c r="AQ129" t="inlineStr">
        <is>
          <t>人民币</t>
        </is>
      </c>
      <c r="AR129" t="n">
        <v>2302601.28</v>
      </c>
      <c r="AS129" t="n">
        <v/>
      </c>
      <c r="AT129" t="n">
        <v/>
      </c>
      <c r="AU129" t="n">
        <v/>
      </c>
      <c r="AV129" t="n">
        <v/>
      </c>
      <c r="AW129" t="inlineStr">
        <is>
          <t>CNE1000025S9</t>
        </is>
      </c>
      <c r="AX129" t="inlineStr">
        <is>
          <t>无</t>
        </is>
      </c>
      <c r="AY129" t="inlineStr">
        <is>
          <t xml:space="preserve"> </t>
        </is>
      </c>
      <c r="AZ129" t="inlineStr">
        <is>
          <t xml:space="preserve"> </t>
        </is>
      </c>
      <c r="BA129" t="n">
        <v>1.145</v>
      </c>
      <c r="BB129" t="n">
        <v>0</v>
      </c>
      <c r="BC129" t="inlineStr">
        <is>
          <t>缺省券商</t>
        </is>
      </c>
      <c r="BD129" t="inlineStr">
        <is>
          <t>交易所业务</t>
        </is>
      </c>
      <c r="BE129" t="inlineStr">
        <is>
          <t>不是ETF补券指令</t>
        </is>
      </c>
      <c r="BF129" t="inlineStr">
        <is>
          <t>-2,644,510.00</t>
        </is>
      </c>
      <c r="BG129" t="n">
        <v>0</v>
      </c>
      <c r="BH129" t="inlineStr">
        <is>
          <t>非强平</t>
        </is>
      </c>
      <c r="BI129" t="inlineStr">
        <is>
          <t>顾吟湫</t>
        </is>
      </c>
      <c r="BJ129" t="inlineStr">
        <is>
          <t>否</t>
        </is>
      </c>
      <c r="BK129" t="inlineStr">
        <is>
          <t>竞价限价盘</t>
        </is>
      </c>
      <c r="BL129" t="n">
        <v/>
      </c>
      <c r="BM129" t="n">
        <v>0</v>
      </c>
      <c r="BN129" t="n">
        <v>31.01666666666667</v>
      </c>
      <c r="BO129" t="inlineStr">
        <is>
          <t>股票</t>
        </is>
      </c>
      <c r="BP129" t="n">
        <v/>
      </c>
      <c r="BQ129" t="n">
        <v/>
      </c>
      <c r="BR129" t="n">
        <v>0</v>
      </c>
      <c r="BS129" t="inlineStr">
        <is>
          <t>已成交</t>
        </is>
      </c>
    </row>
    <row r="130">
      <c r="A130" t="n">
        <v>129</v>
      </c>
      <c r="B130" t="inlineStr">
        <is>
          <t>2026-04-21</t>
        </is>
      </c>
      <c r="C130" t="n">
        <v>3008</v>
      </c>
      <c r="D130" t="inlineStr">
        <is>
          <t>自营权益4</t>
        </is>
      </c>
      <c r="E130" t="n">
        <v>3008</v>
      </c>
      <c r="F130" t="n">
        <v>3988</v>
      </c>
      <c r="G130" t="inlineStr">
        <is>
          <t>中国银行</t>
        </is>
      </c>
      <c r="H130" t="inlineStr">
        <is>
          <t>卖出</t>
        </is>
      </c>
      <c r="I130" t="n">
        <v>5.25</v>
      </c>
      <c r="J130" t="n">
        <v>5.24</v>
      </c>
      <c r="K130" t="n">
        <v>100000</v>
      </c>
      <c r="L130" t="n">
        <v>523000</v>
      </c>
      <c r="M130" t="n">
        <v>2</v>
      </c>
      <c r="N130" t="n">
        <v>5.23</v>
      </c>
      <c r="O130" t="n">
        <v>5.23</v>
      </c>
      <c r="P130" t="n">
        <v>5.23</v>
      </c>
      <c r="Q130" t="n">
        <v>5.23</v>
      </c>
      <c r="R130" t="n">
        <v>5.23</v>
      </c>
      <c r="S130" t="inlineStr">
        <is>
          <t>港股通（深）</t>
        </is>
      </c>
      <c r="T130" t="n">
        <v>180172610</v>
      </c>
      <c r="U130" t="n">
        <v>0.0555</v>
      </c>
      <c r="V130" t="n">
        <v>943769129.14</v>
      </c>
      <c r="W130" t="n">
        <v>300841</v>
      </c>
      <c r="X130" t="inlineStr">
        <is>
          <t>自营权益4（深港）</t>
        </is>
      </c>
      <c r="Y130" t="n">
        <v>100000</v>
      </c>
      <c r="Z130" t="n">
        <v>5.26</v>
      </c>
      <c r="AA130" t="n">
        <v>5.21</v>
      </c>
      <c r="AB130" t="n">
        <v>1</v>
      </c>
      <c r="AC130" t="inlineStr">
        <is>
          <t>叶盛</t>
        </is>
      </c>
      <c r="AD130" t="inlineStr">
        <is>
          <t>股票资产</t>
        </is>
      </c>
      <c r="AE130" t="n">
        <v>0.7678</v>
      </c>
      <c r="AF130" t="n">
        <v>0.0554</v>
      </c>
      <c r="AG130" t="n">
        <v>-0.1546</v>
      </c>
      <c r="AH130" t="n">
        <v>100000</v>
      </c>
      <c r="AI130" t="n">
        <v>53</v>
      </c>
      <c r="AJ130" t="inlineStr">
        <is>
          <t>自营权益4（深港）</t>
        </is>
      </c>
      <c r="AK130" t="inlineStr">
        <is>
          <t>人民币</t>
        </is>
      </c>
      <c r="AL130" t="n">
        <v>6111</v>
      </c>
      <c r="AM130" t="n">
        <v/>
      </c>
      <c r="AN130" t="n">
        <v>30084</v>
      </c>
      <c r="AO130" t="n">
        <v/>
      </c>
      <c r="AP130" t="inlineStr">
        <is>
          <t>顾吟湫</t>
        </is>
      </c>
      <c r="AQ130" t="inlineStr">
        <is>
          <t>人民币</t>
        </is>
      </c>
      <c r="AR130" t="n">
        <v>455370.87</v>
      </c>
      <c r="AS130" t="n">
        <v/>
      </c>
      <c r="AT130" t="n">
        <v/>
      </c>
      <c r="AU130" t="n">
        <v/>
      </c>
      <c r="AV130" t="n">
        <v/>
      </c>
      <c r="AW130" t="inlineStr">
        <is>
          <t>CNE1000001Z5</t>
        </is>
      </c>
      <c r="AX130" t="inlineStr">
        <is>
          <t>无</t>
        </is>
      </c>
      <c r="AY130" t="inlineStr">
        <is>
          <t xml:space="preserve"> </t>
        </is>
      </c>
      <c r="AZ130" t="inlineStr">
        <is>
          <t xml:space="preserve"> </t>
        </is>
      </c>
      <c r="BA130" t="n">
        <v>0.2264</v>
      </c>
      <c r="BB130" t="n">
        <v>0</v>
      </c>
      <c r="BC130" t="inlineStr">
        <is>
          <t>缺省券商</t>
        </is>
      </c>
      <c r="BD130" t="inlineStr">
        <is>
          <t>交易所业务</t>
        </is>
      </c>
      <c r="BE130" t="inlineStr">
        <is>
          <t>不是ETF补券指令</t>
        </is>
      </c>
      <c r="BF130" t="inlineStr">
        <is>
          <t>523,000.00</t>
        </is>
      </c>
      <c r="BG130" t="n">
        <v>0</v>
      </c>
      <c r="BH130" t="inlineStr">
        <is>
          <t>非强平</t>
        </is>
      </c>
      <c r="BI130" t="inlineStr">
        <is>
          <t>顾吟湫</t>
        </is>
      </c>
      <c r="BJ130" t="inlineStr">
        <is>
          <t>否</t>
        </is>
      </c>
      <c r="BK130" t="inlineStr">
        <is>
          <t>增强限价盘</t>
        </is>
      </c>
      <c r="BL130" t="n">
        <v/>
      </c>
      <c r="BM130" t="n">
        <v>0</v>
      </c>
      <c r="BN130" t="n">
        <v>0.03333333333333333</v>
      </c>
      <c r="BO130" t="inlineStr">
        <is>
          <t>股票</t>
        </is>
      </c>
      <c r="BP130" t="n">
        <v/>
      </c>
      <c r="BQ130" t="n">
        <v/>
      </c>
      <c r="BR130" t="n">
        <v>0</v>
      </c>
      <c r="BS130" t="inlineStr">
        <is>
          <t>已成交</t>
        </is>
      </c>
    </row>
    <row r="131">
      <c r="A131" t="n">
        <v>130</v>
      </c>
      <c r="B131" t="inlineStr">
        <is>
          <t>2026-04-21</t>
        </is>
      </c>
      <c r="C131" t="n">
        <v>3008</v>
      </c>
      <c r="D131" t="inlineStr">
        <is>
          <t>自营权益4</t>
        </is>
      </c>
      <c r="E131" t="n">
        <v>3008</v>
      </c>
      <c r="F131" t="n">
        <v>3998</v>
      </c>
      <c r="G131" t="inlineStr">
        <is>
          <t>波司登</t>
        </is>
      </c>
      <c r="H131" t="inlineStr">
        <is>
          <t>买入</t>
        </is>
      </c>
      <c r="I131" t="n">
        <v>4.3</v>
      </c>
      <c r="J131" t="n">
        <v>4.29</v>
      </c>
      <c r="K131" t="n">
        <v>100000</v>
      </c>
      <c r="L131" t="n">
        <v>428200</v>
      </c>
      <c r="M131" t="n">
        <v>18</v>
      </c>
      <c r="N131" t="n">
        <v>4.27</v>
      </c>
      <c r="O131" t="n">
        <v>4.29</v>
      </c>
      <c r="P131" t="n">
        <v>4.282</v>
      </c>
      <c r="Q131" t="n">
        <v>4.282</v>
      </c>
      <c r="R131" t="n">
        <v>4.282</v>
      </c>
      <c r="S131" t="inlineStr">
        <is>
          <t>港股通（深）</t>
        </is>
      </c>
      <c r="T131" t="n">
        <v>12971229</v>
      </c>
      <c r="U131" t="n">
        <v>0.7709</v>
      </c>
      <c r="V131" t="n">
        <v>55584131.74</v>
      </c>
      <c r="W131" t="n">
        <v>300841</v>
      </c>
      <c r="X131" t="inlineStr">
        <is>
          <t>自营权益4（深港）</t>
        </is>
      </c>
      <c r="Y131" t="n">
        <v>100000</v>
      </c>
      <c r="Z131" t="n">
        <v>4.31</v>
      </c>
      <c r="AA131" t="n">
        <v>4.2</v>
      </c>
      <c r="AB131" t="n">
        <v>3</v>
      </c>
      <c r="AC131" t="inlineStr">
        <is>
          <t>叶盛</t>
        </is>
      </c>
      <c r="AD131" t="inlineStr">
        <is>
          <t>股票资产</t>
        </is>
      </c>
      <c r="AE131" t="n">
        <v>0.7026</v>
      </c>
      <c r="AF131" t="n">
        <v>0.7704</v>
      </c>
      <c r="AG131" t="n">
        <v>0.0747</v>
      </c>
      <c r="AH131" t="n">
        <v>100000</v>
      </c>
      <c r="AI131" t="n">
        <v>53</v>
      </c>
      <c r="AJ131" t="inlineStr">
        <is>
          <t>自营权益4（深港）</t>
        </is>
      </c>
      <c r="AK131" t="inlineStr">
        <is>
          <t>人民币</t>
        </is>
      </c>
      <c r="AL131" t="n">
        <v>6111</v>
      </c>
      <c r="AM131" t="n">
        <v/>
      </c>
      <c r="AN131" t="n">
        <v>30084</v>
      </c>
      <c r="AO131" t="n">
        <v/>
      </c>
      <c r="AP131" t="inlineStr">
        <is>
          <t>顾吟湫</t>
        </is>
      </c>
      <c r="AQ131" t="inlineStr">
        <is>
          <t>人民币</t>
        </is>
      </c>
      <c r="AR131" t="n">
        <v>372838.02</v>
      </c>
      <c r="AS131" t="n">
        <v/>
      </c>
      <c r="AT131" t="n">
        <v/>
      </c>
      <c r="AU131" t="n">
        <v/>
      </c>
      <c r="AV131" t="n">
        <v/>
      </c>
      <c r="AW131" t="inlineStr">
        <is>
          <t>KYG126521064</t>
        </is>
      </c>
      <c r="AX131" t="inlineStr">
        <is>
          <t>无</t>
        </is>
      </c>
      <c r="AY131" t="inlineStr">
        <is>
          <t xml:space="preserve"> </t>
        </is>
      </c>
      <c r="AZ131" t="inlineStr">
        <is>
          <t xml:space="preserve"> </t>
        </is>
      </c>
      <c r="BA131" t="n">
        <v>0.1854</v>
      </c>
      <c r="BB131" t="n">
        <v>0</v>
      </c>
      <c r="BC131" t="inlineStr">
        <is>
          <t>缺省券商</t>
        </is>
      </c>
      <c r="BD131" t="inlineStr">
        <is>
          <t>交易所业务</t>
        </is>
      </c>
      <c r="BE131" t="inlineStr">
        <is>
          <t>不是ETF补券指令</t>
        </is>
      </c>
      <c r="BF131" t="inlineStr">
        <is>
          <t>-428,200.00</t>
        </is>
      </c>
      <c r="BG131" t="n">
        <v>0</v>
      </c>
      <c r="BH131" t="inlineStr">
        <is>
          <t>非强平</t>
        </is>
      </c>
      <c r="BI131" t="inlineStr">
        <is>
          <t>顾吟湫</t>
        </is>
      </c>
      <c r="BJ131" t="inlineStr">
        <is>
          <t>否</t>
        </is>
      </c>
      <c r="BK131" t="inlineStr">
        <is>
          <t>增强限价盘</t>
        </is>
      </c>
      <c r="BL131" t="n">
        <v/>
      </c>
      <c r="BM131" t="n">
        <v>0</v>
      </c>
      <c r="BN131" t="n">
        <v>0</v>
      </c>
      <c r="BO131" t="inlineStr">
        <is>
          <t>股票</t>
        </is>
      </c>
      <c r="BP131" t="n">
        <v/>
      </c>
      <c r="BQ131" t="n">
        <v/>
      </c>
      <c r="BR131" t="n">
        <v>0</v>
      </c>
      <c r="BS131" t="inlineStr">
        <is>
          <t>已成交</t>
        </is>
      </c>
    </row>
    <row r="132">
      <c r="A132" t="n">
        <v>131</v>
      </c>
      <c r="B132" t="inlineStr">
        <is>
          <t>2026-04-22</t>
        </is>
      </c>
      <c r="C132" t="n">
        <v>3008</v>
      </c>
      <c r="D132" t="inlineStr">
        <is>
          <t>自营权益4</t>
        </is>
      </c>
      <c r="E132" t="n">
        <v>3008</v>
      </c>
      <c r="F132" t="n">
        <v>600690</v>
      </c>
      <c r="G132" t="inlineStr">
        <is>
          <t>海尔智家</t>
        </is>
      </c>
      <c r="H132" t="inlineStr">
        <is>
          <t>买入</t>
        </is>
      </c>
      <c r="I132" t="n">
        <v>20.68</v>
      </c>
      <c r="J132" t="n">
        <v>20.72</v>
      </c>
      <c r="K132" t="n">
        <v>10000</v>
      </c>
      <c r="L132" t="n">
        <v>207600</v>
      </c>
      <c r="M132" t="n">
        <v>1</v>
      </c>
      <c r="N132" t="n">
        <v>20.76</v>
      </c>
      <c r="O132" t="n">
        <v>20.76</v>
      </c>
      <c r="P132" t="n">
        <v>20.76</v>
      </c>
      <c r="Q132" t="n">
        <v>20.76</v>
      </c>
      <c r="R132" t="n">
        <v>20.76</v>
      </c>
      <c r="S132" t="inlineStr">
        <is>
          <t>上交所A</t>
        </is>
      </c>
      <c r="T132" t="n">
        <v>46254066</v>
      </c>
      <c r="U132" t="n">
        <v>0.0216</v>
      </c>
      <c r="V132" t="n">
        <v>958263970</v>
      </c>
      <c r="W132" t="n">
        <v>300821</v>
      </c>
      <c r="X132" t="inlineStr">
        <is>
          <t>自营权益4（场内）</t>
        </is>
      </c>
      <c r="Y132" t="n">
        <v>10000</v>
      </c>
      <c r="Z132" t="n">
        <v>20.82</v>
      </c>
      <c r="AA132" t="n">
        <v>20.64</v>
      </c>
      <c r="AB132" t="n">
        <v>1</v>
      </c>
      <c r="AC132" t="inlineStr">
        <is>
          <t>叶盛</t>
        </is>
      </c>
      <c r="AD132" t="inlineStr">
        <is>
          <t>股票资产</t>
        </is>
      </c>
      <c r="AE132" t="n">
        <v>-0.7201</v>
      </c>
      <c r="AF132" t="n">
        <v>0.0217</v>
      </c>
      <c r="AG132" t="n">
        <v>-0.2056</v>
      </c>
      <c r="AH132" t="n">
        <v>10000</v>
      </c>
      <c r="AI132" t="n">
        <v>46</v>
      </c>
      <c r="AJ132" t="inlineStr">
        <is>
          <t>自营权益4（场内）</t>
        </is>
      </c>
      <c r="AK132" t="inlineStr">
        <is>
          <t>人民币</t>
        </is>
      </c>
      <c r="AL132" t="n">
        <v>40878</v>
      </c>
      <c r="AM132" t="n">
        <v/>
      </c>
      <c r="AN132" t="n">
        <v>30082</v>
      </c>
      <c r="AO132" t="n">
        <v/>
      </c>
      <c r="AP132" t="inlineStr">
        <is>
          <t>顾吟湫</t>
        </is>
      </c>
      <c r="AQ132" t="inlineStr">
        <is>
          <t>人民币</t>
        </is>
      </c>
      <c r="AR132" t="n">
        <v>207600</v>
      </c>
      <c r="AS132" t="n">
        <v>600690</v>
      </c>
      <c r="AT132" t="n">
        <v>600690</v>
      </c>
      <c r="AU132" t="n">
        <v>600690</v>
      </c>
      <c r="AV132" t="n">
        <v>600690</v>
      </c>
      <c r="AW132" t="inlineStr">
        <is>
          <t>600690</t>
        </is>
      </c>
      <c r="AX132" t="inlineStr">
        <is>
          <t>无</t>
        </is>
      </c>
      <c r="AY132" t="inlineStr">
        <is>
          <t xml:space="preserve"> </t>
        </is>
      </c>
      <c r="AZ132" t="inlineStr">
        <is>
          <t xml:space="preserve"> </t>
        </is>
      </c>
      <c r="BA132" t="n">
        <v>0.104</v>
      </c>
      <c r="BB132" t="n">
        <v>0</v>
      </c>
      <c r="BC132" t="inlineStr">
        <is>
          <t>缺省券商</t>
        </is>
      </c>
      <c r="BD132" t="inlineStr">
        <is>
          <t>交易所业务</t>
        </is>
      </c>
      <c r="BE132" t="inlineStr">
        <is>
          <t>不是ETF补券指令</t>
        </is>
      </c>
      <c r="BF132" t="inlineStr">
        <is>
          <t>-207,600.00</t>
        </is>
      </c>
      <c r="BG132" t="n">
        <v>20.75</v>
      </c>
      <c r="BH132" t="inlineStr">
        <is>
          <t>非强平</t>
        </is>
      </c>
      <c r="BI132" t="inlineStr">
        <is>
          <t>顾吟湫</t>
        </is>
      </c>
      <c r="BJ132" t="inlineStr">
        <is>
          <t>否</t>
        </is>
      </c>
      <c r="BK132" t="inlineStr">
        <is>
          <t>限价</t>
        </is>
      </c>
      <c r="BL132" t="n">
        <v/>
      </c>
      <c r="BM132" t="n">
        <v>0</v>
      </c>
      <c r="BN132" t="n">
        <v>0.06666666666666667</v>
      </c>
      <c r="BO132" t="inlineStr">
        <is>
          <t>股票</t>
        </is>
      </c>
      <c r="BP132" t="n">
        <v/>
      </c>
      <c r="BQ132" t="n">
        <v/>
      </c>
      <c r="BR132" t="n">
        <v>0</v>
      </c>
      <c r="BS132" t="inlineStr">
        <is>
          <t>已成交</t>
        </is>
      </c>
    </row>
    <row r="133">
      <c r="A133" t="n">
        <v>132</v>
      </c>
      <c r="B133" t="inlineStr">
        <is>
          <t>2026-04-29</t>
        </is>
      </c>
      <c r="C133" t="n">
        <v>3008</v>
      </c>
      <c r="D133" t="inlineStr">
        <is>
          <t>自营权益4</t>
        </is>
      </c>
      <c r="E133" t="n">
        <v>3008</v>
      </c>
      <c r="F133" t="n">
        <v>762</v>
      </c>
      <c r="G133" t="inlineStr">
        <is>
          <t>中国联通</t>
        </is>
      </c>
      <c r="H133" t="inlineStr">
        <is>
          <t>卖出</t>
        </is>
      </c>
      <c r="I133" t="n">
        <v>7.41996104</v>
      </c>
      <c r="J133" t="n">
        <v>7.41</v>
      </c>
      <c r="K133" t="n">
        <v>200000</v>
      </c>
      <c r="L133" t="n">
        <v>1476000</v>
      </c>
      <c r="M133" t="n">
        <v>8</v>
      </c>
      <c r="N133" t="n">
        <v>7.38</v>
      </c>
      <c r="O133" t="n">
        <v>7.38</v>
      </c>
      <c r="P133" t="n">
        <v>7.38</v>
      </c>
      <c r="Q133" t="n">
        <v>7.38</v>
      </c>
      <c r="R133" t="n">
        <v>7.38</v>
      </c>
      <c r="S133" t="inlineStr">
        <is>
          <t>港股通（深）</t>
        </is>
      </c>
      <c r="T133" t="n">
        <v>31286363</v>
      </c>
      <c r="U133" t="n">
        <v>0.6393</v>
      </c>
      <c r="V133" t="n">
        <v>231768487.05</v>
      </c>
      <c r="W133" t="n">
        <v>300841</v>
      </c>
      <c r="X133" t="inlineStr">
        <is>
          <t>自营权益4（深港）</t>
        </is>
      </c>
      <c r="Y133" t="n">
        <v>200000</v>
      </c>
      <c r="Z133" t="n">
        <v>7.46</v>
      </c>
      <c r="AA133" t="n">
        <v>7.29</v>
      </c>
      <c r="AB133" t="n">
        <v>3</v>
      </c>
      <c r="AC133" t="inlineStr">
        <is>
          <t>周啸宇</t>
        </is>
      </c>
      <c r="AD133" t="inlineStr">
        <is>
          <t>股票资产</t>
        </is>
      </c>
      <c r="AE133" t="n">
        <v>1.6433</v>
      </c>
      <c r="AF133" t="n">
        <v>0.6368</v>
      </c>
      <c r="AG133" t="n">
        <v>-0.378</v>
      </c>
      <c r="AH133" t="n">
        <v>200000</v>
      </c>
      <c r="AI133" t="n">
        <v>53</v>
      </c>
      <c r="AJ133" t="inlineStr">
        <is>
          <t>自营权益4（深港）</t>
        </is>
      </c>
      <c r="AK133" t="inlineStr">
        <is>
          <t>人民币</t>
        </is>
      </c>
      <c r="AL133" t="n">
        <v>6111</v>
      </c>
      <c r="AM133" t="n">
        <v/>
      </c>
      <c r="AN133" t="n">
        <v>30084</v>
      </c>
      <c r="AO133" t="n">
        <v/>
      </c>
      <c r="AP133" t="inlineStr">
        <is>
          <t>顾吟湫</t>
        </is>
      </c>
      <c r="AQ133" t="inlineStr">
        <is>
          <t>人民币</t>
        </is>
      </c>
      <c r="AR133" t="n">
        <v>1287942.84</v>
      </c>
      <c r="AS133" t="n">
        <v/>
      </c>
      <c r="AT133" t="n">
        <v/>
      </c>
      <c r="AU133" t="n">
        <v/>
      </c>
      <c r="AV133" t="n">
        <v/>
      </c>
      <c r="AW133" t="inlineStr">
        <is>
          <t>HK0000049939</t>
        </is>
      </c>
      <c r="AX133" t="inlineStr">
        <is>
          <t>无</t>
        </is>
      </c>
      <c r="AY133" t="inlineStr">
        <is>
          <t xml:space="preserve"> </t>
        </is>
      </c>
      <c r="AZ133" t="inlineStr">
        <is>
          <t xml:space="preserve"> </t>
        </is>
      </c>
      <c r="BA133" t="n">
        <v>0.6377</v>
      </c>
      <c r="BB133" t="n">
        <v>0</v>
      </c>
      <c r="BC133" t="inlineStr">
        <is>
          <t>缺省券商</t>
        </is>
      </c>
      <c r="BD133" t="inlineStr">
        <is>
          <t>交易所业务</t>
        </is>
      </c>
      <c r="BE133" t="inlineStr">
        <is>
          <t>不是ETF补券指令</t>
        </is>
      </c>
      <c r="BF133" t="inlineStr">
        <is>
          <t>1,476,000.00</t>
        </is>
      </c>
      <c r="BG133" t="n">
        <v>0</v>
      </c>
      <c r="BH133" t="inlineStr">
        <is>
          <t>非强平</t>
        </is>
      </c>
      <c r="BI133" t="inlineStr">
        <is>
          <t>顾吟湫</t>
        </is>
      </c>
      <c r="BJ133" t="inlineStr">
        <is>
          <t>否</t>
        </is>
      </c>
      <c r="BK133" t="inlineStr">
        <is>
          <t>增强限价盘</t>
        </is>
      </c>
      <c r="BL133" t="n">
        <v/>
      </c>
      <c r="BM133" t="n">
        <v>0</v>
      </c>
      <c r="BN133" t="n">
        <v>0</v>
      </c>
      <c r="BO133" t="inlineStr">
        <is>
          <t>股票</t>
        </is>
      </c>
      <c r="BP133" t="n">
        <v/>
      </c>
      <c r="BQ133" t="n">
        <v/>
      </c>
      <c r="BR133" t="n">
        <v>0</v>
      </c>
      <c r="BS133" t="inlineStr">
        <is>
          <t>已成交</t>
        </is>
      </c>
    </row>
    <row r="134">
      <c r="A134" t="n">
        <v>133</v>
      </c>
      <c r="B134" t="inlineStr">
        <is>
          <t>2026-04-29</t>
        </is>
      </c>
      <c r="C134" t="n">
        <v>3008</v>
      </c>
      <c r="D134" t="inlineStr">
        <is>
          <t>自营权益4</t>
        </is>
      </c>
      <c r="E134" t="n">
        <v>3008</v>
      </c>
      <c r="F134" t="n">
        <v>2016</v>
      </c>
      <c r="G134" t="inlineStr">
        <is>
          <t>浙商银行</t>
        </is>
      </c>
      <c r="H134" t="inlineStr">
        <is>
          <t>买入</t>
        </is>
      </c>
      <c r="I134" t="n">
        <v>2.45995187</v>
      </c>
      <c r="J134" t="n">
        <v>2.46</v>
      </c>
      <c r="K134" t="n">
        <v>100000</v>
      </c>
      <c r="L134" t="n">
        <v>246000</v>
      </c>
      <c r="M134" t="n">
        <v>12</v>
      </c>
      <c r="N134" t="n">
        <v>2.46</v>
      </c>
      <c r="O134" t="n">
        <v>2.46</v>
      </c>
      <c r="P134" t="n">
        <v>2.46</v>
      </c>
      <c r="Q134" t="n">
        <v>2.46</v>
      </c>
      <c r="R134" t="n">
        <v>2.46</v>
      </c>
      <c r="S134" t="inlineStr">
        <is>
          <t>港股通（深）</t>
        </is>
      </c>
      <c r="T134" t="n">
        <v>5915000</v>
      </c>
      <c r="U134" t="n">
        <v>1.6906</v>
      </c>
      <c r="V134" t="n">
        <v>14565825</v>
      </c>
      <c r="W134" t="n">
        <v>300841</v>
      </c>
      <c r="X134" t="inlineStr">
        <is>
          <t>自营权益4（深港）</t>
        </is>
      </c>
      <c r="Y134" t="n">
        <v>100000</v>
      </c>
      <c r="Z134" t="n">
        <v>2.47</v>
      </c>
      <c r="AA134" t="n">
        <v>2.45</v>
      </c>
      <c r="AB134" t="n">
        <v>1</v>
      </c>
      <c r="AC134" t="inlineStr">
        <is>
          <t>周啸宇</t>
        </is>
      </c>
      <c r="AD134" t="inlineStr">
        <is>
          <t>股票资产</t>
        </is>
      </c>
      <c r="AE134" t="n">
        <v>0.4062</v>
      </c>
      <c r="AF134" t="n">
        <v>1.6889</v>
      </c>
      <c r="AG134" t="n">
        <v>0.1015</v>
      </c>
      <c r="AH134" t="n">
        <v>100000</v>
      </c>
      <c r="AI134" t="n">
        <v>53</v>
      </c>
      <c r="AJ134" t="inlineStr">
        <is>
          <t>自营权益4（深港）</t>
        </is>
      </c>
      <c r="AK134" t="inlineStr">
        <is>
          <t>人民币</t>
        </is>
      </c>
      <c r="AL134" t="n">
        <v>6111</v>
      </c>
      <c r="AM134" t="n">
        <v/>
      </c>
      <c r="AN134" t="n">
        <v>30084</v>
      </c>
      <c r="AO134" t="n">
        <v/>
      </c>
      <c r="AP134" t="inlineStr">
        <is>
          <t>顾吟湫</t>
        </is>
      </c>
      <c r="AQ134" t="inlineStr">
        <is>
          <t>人民币</t>
        </is>
      </c>
      <c r="AR134" t="n">
        <v>214711.26</v>
      </c>
      <c r="AS134" t="n">
        <v/>
      </c>
      <c r="AT134" t="n">
        <v/>
      </c>
      <c r="AU134" t="n">
        <v/>
      </c>
      <c r="AV134" t="n">
        <v/>
      </c>
      <c r="AW134" t="inlineStr">
        <is>
          <t>CNE1000025S9</t>
        </is>
      </c>
      <c r="AX134" t="inlineStr">
        <is>
          <t>无</t>
        </is>
      </c>
      <c r="AY134" t="inlineStr">
        <is>
          <t xml:space="preserve"> </t>
        </is>
      </c>
      <c r="AZ134" t="inlineStr">
        <is>
          <t xml:space="preserve"> </t>
        </is>
      </c>
      <c r="BA134" t="n">
        <v>0.1063</v>
      </c>
      <c r="BB134" t="n">
        <v>0</v>
      </c>
      <c r="BC134" t="inlineStr">
        <is>
          <t>缺省券商</t>
        </is>
      </c>
      <c r="BD134" t="inlineStr">
        <is>
          <t>交易所业务</t>
        </is>
      </c>
      <c r="BE134" t="inlineStr">
        <is>
          <t>不是ETF补券指令</t>
        </is>
      </c>
      <c r="BF134" t="inlineStr">
        <is>
          <t>-246,000.00</t>
        </is>
      </c>
      <c r="BG134" t="n">
        <v>0</v>
      </c>
      <c r="BH134" t="inlineStr">
        <is>
          <t>非强平</t>
        </is>
      </c>
      <c r="BI134" t="inlineStr">
        <is>
          <t>顾吟湫</t>
        </is>
      </c>
      <c r="BJ134" t="inlineStr">
        <is>
          <t>否</t>
        </is>
      </c>
      <c r="BK134" t="inlineStr">
        <is>
          <t>增强限价盘</t>
        </is>
      </c>
      <c r="BL134" t="n">
        <v/>
      </c>
      <c r="BM134" t="n">
        <v>0</v>
      </c>
      <c r="BN134" t="n">
        <v>0</v>
      </c>
      <c r="BO134" t="inlineStr">
        <is>
          <t>股票</t>
        </is>
      </c>
      <c r="BP134" t="n">
        <v/>
      </c>
      <c r="BQ134" t="n">
        <v/>
      </c>
      <c r="BR134" t="n">
        <v>0</v>
      </c>
      <c r="BS134" t="inlineStr">
        <is>
          <t>已成交</t>
        </is>
      </c>
    </row>
    <row r="135">
      <c r="A135" t="n">
        <v>134</v>
      </c>
      <c r="B135" t="inlineStr">
        <is>
          <t>2026-04-29</t>
        </is>
      </c>
      <c r="C135" t="n">
        <v>3008</v>
      </c>
      <c r="D135" t="inlineStr">
        <is>
          <t>自营权益4</t>
        </is>
      </c>
      <c r="E135" t="n">
        <v>3008</v>
      </c>
      <c r="F135" t="n">
        <v>3933</v>
      </c>
      <c r="G135" t="inlineStr">
        <is>
          <t>联邦制药</t>
        </is>
      </c>
      <c r="H135" t="inlineStr">
        <is>
          <t>买入</t>
        </is>
      </c>
      <c r="I135" t="n">
        <v>9.519995420000001</v>
      </c>
      <c r="J135" t="n">
        <v>9.49</v>
      </c>
      <c r="K135" t="n">
        <v>50000</v>
      </c>
      <c r="L135" t="n">
        <v>475500</v>
      </c>
      <c r="M135" t="n">
        <v>1</v>
      </c>
      <c r="N135" t="n">
        <v>9.51</v>
      </c>
      <c r="O135" t="n">
        <v>9.51</v>
      </c>
      <c r="P135" t="n">
        <v>9.51</v>
      </c>
      <c r="Q135" t="n">
        <v>9.51</v>
      </c>
      <c r="R135" t="n">
        <v>9.51</v>
      </c>
      <c r="S135" t="inlineStr">
        <is>
          <t>港股通（深）</t>
        </is>
      </c>
      <c r="T135" t="n">
        <v>4671060</v>
      </c>
      <c r="U135" t="n">
        <v>1.0704</v>
      </c>
      <c r="V135" t="n">
        <v>44329740.6</v>
      </c>
      <c r="W135" t="n">
        <v>300841</v>
      </c>
      <c r="X135" t="inlineStr">
        <is>
          <t>自营权益4（深港）</t>
        </is>
      </c>
      <c r="Y135" t="n">
        <v>50000</v>
      </c>
      <c r="Z135" t="n">
        <v>9.6</v>
      </c>
      <c r="AA135" t="n">
        <v>9.41</v>
      </c>
      <c r="AB135" t="n">
        <v>1</v>
      </c>
      <c r="AC135" t="inlineStr">
        <is>
          <t>周啸宇</t>
        </is>
      </c>
      <c r="AD135" t="inlineStr">
        <is>
          <t>股票资产</t>
        </is>
      </c>
      <c r="AE135" t="n">
        <v>-0.8334</v>
      </c>
      <c r="AF135" t="n">
        <v>1.0726</v>
      </c>
      <c r="AG135" t="n">
        <v>-0.2076</v>
      </c>
      <c r="AH135" t="n">
        <v>50000</v>
      </c>
      <c r="AI135" t="n">
        <v>53</v>
      </c>
      <c r="AJ135" t="inlineStr">
        <is>
          <t>自营权益4（深港）</t>
        </is>
      </c>
      <c r="AK135" t="inlineStr">
        <is>
          <t>人民币</t>
        </is>
      </c>
      <c r="AL135" t="n">
        <v>6111</v>
      </c>
      <c r="AM135" t="n">
        <v/>
      </c>
      <c r="AN135" t="n">
        <v>30084</v>
      </c>
      <c r="AO135" t="n">
        <v/>
      </c>
      <c r="AP135" t="inlineStr">
        <is>
          <t>顾吟湫</t>
        </is>
      </c>
      <c r="AQ135" t="inlineStr">
        <is>
          <t>人民币</t>
        </is>
      </c>
      <c r="AR135" t="n">
        <v>415021.16</v>
      </c>
      <c r="AS135" t="n">
        <v/>
      </c>
      <c r="AT135" t="n">
        <v/>
      </c>
      <c r="AU135" t="n">
        <v/>
      </c>
      <c r="AV135" t="n">
        <v/>
      </c>
      <c r="AW135" t="inlineStr">
        <is>
          <t>KYG8813K1085</t>
        </is>
      </c>
      <c r="AX135" t="inlineStr">
        <is>
          <t>无</t>
        </is>
      </c>
      <c r="AY135" t="inlineStr">
        <is>
          <t xml:space="preserve"> </t>
        </is>
      </c>
      <c r="AZ135" t="inlineStr">
        <is>
          <t xml:space="preserve"> </t>
        </is>
      </c>
      <c r="BA135" t="n">
        <v>0.2055</v>
      </c>
      <c r="BB135" t="n">
        <v>0</v>
      </c>
      <c r="BC135" t="inlineStr">
        <is>
          <t>缺省券商</t>
        </is>
      </c>
      <c r="BD135" t="inlineStr">
        <is>
          <t>交易所业务</t>
        </is>
      </c>
      <c r="BE135" t="inlineStr">
        <is>
          <t>不是ETF补券指令</t>
        </is>
      </c>
      <c r="BF135" t="inlineStr">
        <is>
          <t>-475,500.00</t>
        </is>
      </c>
      <c r="BG135" t="n">
        <v>0</v>
      </c>
      <c r="BH135" t="inlineStr">
        <is>
          <t>非强平</t>
        </is>
      </c>
      <c r="BI135" t="inlineStr">
        <is>
          <t>顾吟湫</t>
        </is>
      </c>
      <c r="BJ135" t="inlineStr">
        <is>
          <t>否</t>
        </is>
      </c>
      <c r="BK135" t="inlineStr">
        <is>
          <t>增强限价盘</t>
        </is>
      </c>
      <c r="BL135" t="n">
        <v/>
      </c>
      <c r="BM135" t="n">
        <v>0</v>
      </c>
      <c r="BN135" t="n">
        <v>0</v>
      </c>
      <c r="BO135" t="inlineStr">
        <is>
          <t>股票</t>
        </is>
      </c>
      <c r="BP135" t="n">
        <v/>
      </c>
      <c r="BQ135" t="n">
        <v/>
      </c>
      <c r="BR135" t="n">
        <v>0</v>
      </c>
      <c r="BS135" t="inlineStr">
        <is>
          <t>已成交</t>
        </is>
      </c>
    </row>
    <row r="136">
      <c r="A136" t="n">
        <v>135</v>
      </c>
      <c r="B136" t="inlineStr">
        <is>
          <t>2026-04-29</t>
        </is>
      </c>
      <c r="C136" t="n">
        <v>3008</v>
      </c>
      <c r="D136" t="inlineStr">
        <is>
          <t>自营权益4</t>
        </is>
      </c>
      <c r="E136" t="n">
        <v>3008</v>
      </c>
      <c r="F136" t="n">
        <v>6862</v>
      </c>
      <c r="G136" t="inlineStr">
        <is>
          <t>海底捞</t>
        </is>
      </c>
      <c r="H136" t="inlineStr">
        <is>
          <t>买入</t>
        </is>
      </c>
      <c r="I136" t="n">
        <v>14.36003208</v>
      </c>
      <c r="J136" t="n">
        <v>14.28</v>
      </c>
      <c r="K136" t="n">
        <v>50000</v>
      </c>
      <c r="L136" t="n">
        <v>717460</v>
      </c>
      <c r="M136" t="n">
        <v>17</v>
      </c>
      <c r="N136" t="n">
        <v>14.33</v>
      </c>
      <c r="O136" t="n">
        <v>14.35</v>
      </c>
      <c r="P136" t="n">
        <v>14.3492</v>
      </c>
      <c r="Q136" t="n">
        <v>14.3492</v>
      </c>
      <c r="R136" t="n">
        <v>14.3492</v>
      </c>
      <c r="S136" t="inlineStr">
        <is>
          <t>港股通（深）</t>
        </is>
      </c>
      <c r="T136" t="n">
        <v>12222413</v>
      </c>
      <c r="U136" t="n">
        <v>0.4091</v>
      </c>
      <c r="V136" t="n">
        <v>174526261.53</v>
      </c>
      <c r="W136" t="n">
        <v>300841</v>
      </c>
      <c r="X136" t="inlineStr">
        <is>
          <t>自营权益4（深港）</t>
        </is>
      </c>
      <c r="Y136" t="n">
        <v>50000</v>
      </c>
      <c r="Z136" t="n">
        <v>14.47</v>
      </c>
      <c r="AA136" t="n">
        <v>14.05</v>
      </c>
      <c r="AB136" t="n">
        <v>3</v>
      </c>
      <c r="AC136" t="inlineStr">
        <is>
          <t>周啸宇</t>
        </is>
      </c>
      <c r="AD136" t="inlineStr">
        <is>
          <t>股票资产</t>
        </is>
      </c>
      <c r="AE136" t="n">
        <v>2.4984</v>
      </c>
      <c r="AF136" t="n">
        <v>0.4111</v>
      </c>
      <c r="AG136" t="n">
        <v>-0.4902</v>
      </c>
      <c r="AH136" t="n">
        <v>50000</v>
      </c>
      <c r="AI136" t="n">
        <v>53</v>
      </c>
      <c r="AJ136" t="inlineStr">
        <is>
          <t>自营权益4（深港）</t>
        </is>
      </c>
      <c r="AK136" t="inlineStr">
        <is>
          <t>人民币</t>
        </is>
      </c>
      <c r="AL136" t="n">
        <v>6111</v>
      </c>
      <c r="AM136" t="n">
        <v/>
      </c>
      <c r="AN136" t="n">
        <v>30084</v>
      </c>
      <c r="AO136" t="n">
        <v/>
      </c>
      <c r="AP136" t="inlineStr">
        <is>
          <t>顾吟湫</t>
        </is>
      </c>
      <c r="AQ136" t="inlineStr">
        <is>
          <t>人民币</t>
        </is>
      </c>
      <c r="AR136" t="n">
        <v>626206.26</v>
      </c>
      <c r="AS136" t="n">
        <v/>
      </c>
      <c r="AT136" t="n">
        <v/>
      </c>
      <c r="AU136" t="n">
        <v/>
      </c>
      <c r="AV136" t="n">
        <v/>
      </c>
      <c r="AW136" t="inlineStr">
        <is>
          <t>KYG4290A1013</t>
        </is>
      </c>
      <c r="AX136" t="inlineStr">
        <is>
          <t>无</t>
        </is>
      </c>
      <c r="AY136" t="inlineStr">
        <is>
          <t xml:space="preserve"> </t>
        </is>
      </c>
      <c r="AZ136" t="inlineStr">
        <is>
          <t xml:space="preserve"> </t>
        </is>
      </c>
      <c r="BA136" t="n">
        <v>0.3101</v>
      </c>
      <c r="BB136" t="n">
        <v>0</v>
      </c>
      <c r="BC136" t="inlineStr">
        <is>
          <t>缺省券商</t>
        </is>
      </c>
      <c r="BD136" t="inlineStr">
        <is>
          <t>交易所业务</t>
        </is>
      </c>
      <c r="BE136" t="inlineStr">
        <is>
          <t>不是ETF补券指令</t>
        </is>
      </c>
      <c r="BF136" t="inlineStr">
        <is>
          <t>-717,460.00</t>
        </is>
      </c>
      <c r="BG136" t="n">
        <v>0</v>
      </c>
      <c r="BH136" t="inlineStr">
        <is>
          <t>非强平</t>
        </is>
      </c>
      <c r="BI136" t="inlineStr">
        <is>
          <t>顾吟湫</t>
        </is>
      </c>
      <c r="BJ136" t="inlineStr">
        <is>
          <t>否</t>
        </is>
      </c>
      <c r="BK136" t="inlineStr">
        <is>
          <t>增强限价盘</t>
        </is>
      </c>
      <c r="BL136" t="n">
        <v/>
      </c>
      <c r="BM136" t="n">
        <v>0</v>
      </c>
      <c r="BN136" t="n">
        <v>0.03333333333333333</v>
      </c>
      <c r="BO136" t="inlineStr">
        <is>
          <t>股票</t>
        </is>
      </c>
      <c r="BP136" t="n">
        <v/>
      </c>
      <c r="BQ136" t="n">
        <v/>
      </c>
      <c r="BR136" t="n">
        <v>0</v>
      </c>
      <c r="BS136" t="inlineStr">
        <is>
          <t>已成交</t>
        </is>
      </c>
    </row>
    <row r="137">
      <c r="A137" t="n">
        <v>136</v>
      </c>
      <c r="B137" t="inlineStr">
        <is>
          <t>2026-05-06</t>
        </is>
      </c>
      <c r="C137" t="n">
        <v>3008</v>
      </c>
      <c r="D137" t="inlineStr">
        <is>
          <t>自营权益4</t>
        </is>
      </c>
      <c r="E137" t="n">
        <v>3008</v>
      </c>
      <c r="F137" t="n">
        <v>576</v>
      </c>
      <c r="G137" t="inlineStr">
        <is>
          <t>浙江沪杭甬</t>
        </is>
      </c>
      <c r="H137" t="inlineStr">
        <is>
          <t>买入</t>
        </is>
      </c>
      <c r="I137" t="n">
        <v>7.36</v>
      </c>
      <c r="J137" t="n">
        <v>7.34</v>
      </c>
      <c r="K137" t="n">
        <v>400000</v>
      </c>
      <c r="L137" t="n">
        <v>2919300</v>
      </c>
      <c r="M137" t="n">
        <v>57</v>
      </c>
      <c r="N137" t="n">
        <v>7.29</v>
      </c>
      <c r="O137" t="n">
        <v>7.3</v>
      </c>
      <c r="P137" t="n">
        <v>7.29825</v>
      </c>
      <c r="Q137" t="n">
        <v>7.29825</v>
      </c>
      <c r="R137" t="n">
        <v>7.29825</v>
      </c>
      <c r="S137" t="inlineStr">
        <is>
          <t>港股通（深）</t>
        </is>
      </c>
      <c r="T137" t="n">
        <v>8673507</v>
      </c>
      <c r="U137" t="n">
        <v>4.6117</v>
      </c>
      <c r="V137" t="n">
        <v>63674169.64</v>
      </c>
      <c r="W137" t="n">
        <v>300841</v>
      </c>
      <c r="X137" t="inlineStr">
        <is>
          <t>自营权益4（深港）</t>
        </is>
      </c>
      <c r="Y137" t="n">
        <v>400000</v>
      </c>
      <c r="Z137" t="n">
        <v>7.5</v>
      </c>
      <c r="AA137" t="n">
        <v>7.29</v>
      </c>
      <c r="AB137" t="n">
        <v>2</v>
      </c>
      <c r="AC137" t="inlineStr">
        <is>
          <t>周啸宇</t>
        </is>
      </c>
      <c r="AD137" t="inlineStr">
        <is>
          <t>股票资产</t>
        </is>
      </c>
      <c r="AE137" t="n">
        <v>1.238</v>
      </c>
      <c r="AF137" t="n">
        <v>4.5847</v>
      </c>
      <c r="AG137" t="n">
        <v>0.5857</v>
      </c>
      <c r="AH137" t="n">
        <v>400000</v>
      </c>
      <c r="AI137" t="n">
        <v>53</v>
      </c>
      <c r="AJ137" t="inlineStr">
        <is>
          <t>自营权益4（深港）</t>
        </is>
      </c>
      <c r="AK137" t="inlineStr">
        <is>
          <t>人民币</t>
        </is>
      </c>
      <c r="AL137" t="n">
        <v>6111</v>
      </c>
      <c r="AM137" t="n">
        <v/>
      </c>
      <c r="AN137" t="n">
        <v>30084</v>
      </c>
      <c r="AO137" t="n">
        <v/>
      </c>
      <c r="AP137" t="inlineStr">
        <is>
          <t>顾吟湫</t>
        </is>
      </c>
      <c r="AQ137" t="inlineStr">
        <is>
          <t>人民币</t>
        </is>
      </c>
      <c r="AR137" t="n">
        <v>2546038.26</v>
      </c>
      <c r="AS137" t="n">
        <v/>
      </c>
      <c r="AT137" t="n">
        <v/>
      </c>
      <c r="AU137" t="n">
        <v/>
      </c>
      <c r="AV137" t="n">
        <v/>
      </c>
      <c r="AW137" t="inlineStr">
        <is>
          <t>CNE1000004S4</t>
        </is>
      </c>
      <c r="AX137" t="inlineStr">
        <is>
          <t>无</t>
        </is>
      </c>
      <c r="AY137" t="inlineStr">
        <is>
          <t xml:space="preserve"> </t>
        </is>
      </c>
      <c r="AZ137" t="inlineStr">
        <is>
          <t xml:space="preserve"> </t>
        </is>
      </c>
      <c r="BA137" t="n">
        <v>1.276</v>
      </c>
      <c r="BB137" t="n">
        <v>0</v>
      </c>
      <c r="BC137" t="inlineStr">
        <is>
          <t>缺省券商</t>
        </is>
      </c>
      <c r="BD137" t="inlineStr">
        <is>
          <t>交易所业务</t>
        </is>
      </c>
      <c r="BE137" t="inlineStr">
        <is>
          <t>不是ETF补券指令</t>
        </is>
      </c>
      <c r="BF137" t="inlineStr">
        <is>
          <t>-2,919,300.00</t>
        </is>
      </c>
      <c r="BG137" t="n">
        <v>0</v>
      </c>
      <c r="BH137" t="inlineStr">
        <is>
          <t>非强平</t>
        </is>
      </c>
      <c r="BI137" t="inlineStr">
        <is>
          <t>顾吟湫</t>
        </is>
      </c>
      <c r="BJ137" t="inlineStr">
        <is>
          <t>否</t>
        </is>
      </c>
      <c r="BK137" t="inlineStr">
        <is>
          <t>增强限价盘</t>
        </is>
      </c>
      <c r="BL137" t="n">
        <v/>
      </c>
      <c r="BM137" t="n">
        <v>0</v>
      </c>
      <c r="BN137" t="n">
        <v>279.9833333333333</v>
      </c>
      <c r="BO137" t="inlineStr">
        <is>
          <t>股票</t>
        </is>
      </c>
      <c r="BP137" t="n">
        <v/>
      </c>
      <c r="BQ137" t="n">
        <v/>
      </c>
      <c r="BR137" t="n">
        <v>0</v>
      </c>
      <c r="BS137" t="inlineStr">
        <is>
          <t>已成交</t>
        </is>
      </c>
    </row>
    <row r="138">
      <c r="A138" t="n">
        <v>137</v>
      </c>
      <c r="B138" t="inlineStr">
        <is>
          <t>2026-05-06</t>
        </is>
      </c>
      <c r="C138" t="n">
        <v>3008</v>
      </c>
      <c r="D138" t="inlineStr">
        <is>
          <t>自营权益4</t>
        </is>
      </c>
      <c r="E138" t="n">
        <v>3008</v>
      </c>
      <c r="F138" t="n">
        <v>1398</v>
      </c>
      <c r="G138" t="inlineStr">
        <is>
          <t>工商银行</t>
        </is>
      </c>
      <c r="H138" t="inlineStr">
        <is>
          <t>卖出</t>
        </is>
      </c>
      <c r="I138" t="n">
        <v>6.95</v>
      </c>
      <c r="J138" t="n">
        <v>6.93</v>
      </c>
      <c r="K138" t="n">
        <v>1000000</v>
      </c>
      <c r="L138" t="n">
        <v>6915000</v>
      </c>
      <c r="M138" t="n">
        <v>87</v>
      </c>
      <c r="N138" t="n">
        <v>6.9</v>
      </c>
      <c r="O138" t="n">
        <v>6.94</v>
      </c>
      <c r="P138" t="n">
        <v>6.915</v>
      </c>
      <c r="Q138" t="n">
        <v>6.915</v>
      </c>
      <c r="R138" t="n">
        <v>6.915</v>
      </c>
      <c r="S138" t="inlineStr">
        <is>
          <t>港股通（深）</t>
        </is>
      </c>
      <c r="T138" t="n">
        <v>156320157</v>
      </c>
      <c r="U138" t="n">
        <v>0.6397</v>
      </c>
      <c r="V138" t="n">
        <v>1082669404.36</v>
      </c>
      <c r="W138" t="n">
        <v>300841</v>
      </c>
      <c r="X138" t="inlineStr">
        <is>
          <t>自营权益4（深港）</t>
        </is>
      </c>
      <c r="Y138" t="n">
        <v>1500000</v>
      </c>
      <c r="Z138" t="n">
        <v>7</v>
      </c>
      <c r="AA138" t="n">
        <v>6.88</v>
      </c>
      <c r="AB138" t="n">
        <v>5</v>
      </c>
      <c r="AC138" t="inlineStr">
        <is>
          <t>周啸宇</t>
        </is>
      </c>
      <c r="AD138" t="inlineStr">
        <is>
          <t>股票资产</t>
        </is>
      </c>
      <c r="AE138" t="n">
        <v>0.7246</v>
      </c>
      <c r="AF138" t="n">
        <v>0.6387</v>
      </c>
      <c r="AG138" t="n">
        <v>-0.1588</v>
      </c>
      <c r="AH138" t="n">
        <v>1000000</v>
      </c>
      <c r="AI138" t="n">
        <v>53</v>
      </c>
      <c r="AJ138" t="inlineStr">
        <is>
          <t>自营权益4（深港）</t>
        </is>
      </c>
      <c r="AK138" t="inlineStr">
        <is>
          <t>人民币</t>
        </is>
      </c>
      <c r="AL138" t="n">
        <v>6111</v>
      </c>
      <c r="AM138" t="n">
        <v/>
      </c>
      <c r="AN138" t="n">
        <v>30084</v>
      </c>
      <c r="AO138" t="n">
        <v/>
      </c>
      <c r="AP138" t="inlineStr">
        <is>
          <t>顾吟湫</t>
        </is>
      </c>
      <c r="AQ138" t="inlineStr">
        <is>
          <t>人民币</t>
        </is>
      </c>
      <c r="AR138" t="n">
        <v>6026145.83</v>
      </c>
      <c r="AS138" t="n">
        <v/>
      </c>
      <c r="AT138" t="n">
        <v/>
      </c>
      <c r="AU138" t="n">
        <v/>
      </c>
      <c r="AV138" t="n">
        <v/>
      </c>
      <c r="AW138" t="inlineStr">
        <is>
          <t>CNE1000003G1</t>
        </is>
      </c>
      <c r="AX138" t="inlineStr">
        <is>
          <t>无</t>
        </is>
      </c>
      <c r="AY138" t="inlineStr">
        <is>
          <t xml:space="preserve"> </t>
        </is>
      </c>
      <c r="AZ138" t="inlineStr">
        <is>
          <t xml:space="preserve"> </t>
        </is>
      </c>
      <c r="BA138" t="n">
        <v>3.0202</v>
      </c>
      <c r="BB138" t="n">
        <v>0</v>
      </c>
      <c r="BC138" t="inlineStr">
        <is>
          <t>缺省券商</t>
        </is>
      </c>
      <c r="BD138" t="inlineStr">
        <is>
          <t>交易所业务</t>
        </is>
      </c>
      <c r="BE138" t="inlineStr">
        <is>
          <t>不是ETF补券指令</t>
        </is>
      </c>
      <c r="BF138" t="inlineStr">
        <is>
          <t>6,915,000.00</t>
        </is>
      </c>
      <c r="BG138" t="n">
        <v>0</v>
      </c>
      <c r="BH138" t="inlineStr">
        <is>
          <t>非强平</t>
        </is>
      </c>
      <c r="BI138" t="inlineStr">
        <is>
          <t>顾吟湫</t>
        </is>
      </c>
      <c r="BJ138" t="inlineStr">
        <is>
          <t>否</t>
        </is>
      </c>
      <c r="BK138" t="inlineStr">
        <is>
          <t>增强限价盘</t>
        </is>
      </c>
      <c r="BL138" t="n">
        <v/>
      </c>
      <c r="BM138" t="n">
        <v>0</v>
      </c>
      <c r="BN138" t="n">
        <v>9994.883333333333</v>
      </c>
      <c r="BO138" t="inlineStr">
        <is>
          <t>股票</t>
        </is>
      </c>
      <c r="BP138" t="n">
        <v/>
      </c>
      <c r="BQ138" t="n">
        <v/>
      </c>
      <c r="BR138" t="n">
        <v>0</v>
      </c>
      <c r="BS138" t="inlineStr">
        <is>
          <t>已成交</t>
        </is>
      </c>
    </row>
    <row r="139">
      <c r="A139" t="n">
        <v>138</v>
      </c>
      <c r="B139" t="inlineStr">
        <is>
          <t>2026-05-06</t>
        </is>
      </c>
      <c r="C139" t="n">
        <v>3008</v>
      </c>
      <c r="D139" t="inlineStr">
        <is>
          <t>自营权益4</t>
        </is>
      </c>
      <c r="E139" t="n">
        <v>3008</v>
      </c>
      <c r="F139" t="n">
        <v>2016</v>
      </c>
      <c r="G139" t="inlineStr">
        <is>
          <t>浙商银行</t>
        </is>
      </c>
      <c r="H139" t="inlineStr">
        <is>
          <t>买入</t>
        </is>
      </c>
      <c r="I139" t="n">
        <v>2.48</v>
      </c>
      <c r="J139" t="n">
        <v>2.47</v>
      </c>
      <c r="K139" t="n">
        <v>400000</v>
      </c>
      <c r="L139" t="n">
        <v>988600</v>
      </c>
      <c r="M139" t="n">
        <v>53</v>
      </c>
      <c r="N139" t="n">
        <v>2.47</v>
      </c>
      <c r="O139" t="n">
        <v>2.49</v>
      </c>
      <c r="P139" t="n">
        <v>2.4715</v>
      </c>
      <c r="Q139" t="n">
        <v>2.4715</v>
      </c>
      <c r="R139" t="n">
        <v>2.4715</v>
      </c>
      <c r="S139" t="inlineStr">
        <is>
          <t>港股通（深）</t>
        </is>
      </c>
      <c r="T139" t="n">
        <v>10954000</v>
      </c>
      <c r="U139" t="n">
        <v>3.6516</v>
      </c>
      <c r="V139" t="n">
        <v>27086315</v>
      </c>
      <c r="W139" t="n">
        <v>300841</v>
      </c>
      <c r="X139" t="inlineStr">
        <is>
          <t>自营权益4（深港）</t>
        </is>
      </c>
      <c r="Y139" t="n">
        <v>400000</v>
      </c>
      <c r="Z139" t="n">
        <v>2.49</v>
      </c>
      <c r="AA139" t="n">
        <v>2.46</v>
      </c>
      <c r="AB139" t="n">
        <v>2</v>
      </c>
      <c r="AC139" t="inlineStr">
        <is>
          <t>周啸宇</t>
        </is>
      </c>
      <c r="AD139" t="inlineStr">
        <is>
          <t>股票资产</t>
        </is>
      </c>
      <c r="AE139" t="n">
        <v>-0.8</v>
      </c>
      <c r="AF139" t="n">
        <v>3.6498</v>
      </c>
      <c r="AG139" t="n">
        <v>0.0485</v>
      </c>
      <c r="AH139" t="n">
        <v>400000</v>
      </c>
      <c r="AI139" t="n">
        <v>53</v>
      </c>
      <c r="AJ139" t="inlineStr">
        <is>
          <t>自营权益4（深港）</t>
        </is>
      </c>
      <c r="AK139" t="inlineStr">
        <is>
          <t>人民币</t>
        </is>
      </c>
      <c r="AL139" t="n">
        <v>6111</v>
      </c>
      <c r="AM139" t="n">
        <v/>
      </c>
      <c r="AN139" t="n">
        <v>30084</v>
      </c>
      <c r="AO139" t="n">
        <v/>
      </c>
      <c r="AP139" t="inlineStr">
        <is>
          <t>顾吟湫</t>
        </is>
      </c>
      <c r="AQ139" t="inlineStr">
        <is>
          <t>人民币</t>
        </is>
      </c>
      <c r="AR139" t="n">
        <v>862197.73</v>
      </c>
      <c r="AS139" t="n">
        <v/>
      </c>
      <c r="AT139" t="n">
        <v/>
      </c>
      <c r="AU139" t="n">
        <v/>
      </c>
      <c r="AV139" t="n">
        <v/>
      </c>
      <c r="AW139" t="inlineStr">
        <is>
          <t>CNE1000025S9</t>
        </is>
      </c>
      <c r="AX139" t="inlineStr">
        <is>
          <t>无</t>
        </is>
      </c>
      <c r="AY139" t="inlineStr">
        <is>
          <t xml:space="preserve"> </t>
        </is>
      </c>
      <c r="AZ139" t="inlineStr">
        <is>
          <t xml:space="preserve"> </t>
        </is>
      </c>
      <c r="BA139" t="n">
        <v>0.4321</v>
      </c>
      <c r="BB139" t="n">
        <v>0</v>
      </c>
      <c r="BC139" t="inlineStr">
        <is>
          <t>缺省券商</t>
        </is>
      </c>
      <c r="BD139" t="inlineStr">
        <is>
          <t>交易所业务</t>
        </is>
      </c>
      <c r="BE139" t="inlineStr">
        <is>
          <t>不是ETF补券指令</t>
        </is>
      </c>
      <c r="BF139" t="inlineStr">
        <is>
          <t>-988,600.00</t>
        </is>
      </c>
      <c r="BG139" t="n">
        <v>0</v>
      </c>
      <c r="BH139" t="inlineStr">
        <is>
          <t>非强平</t>
        </is>
      </c>
      <c r="BI139" t="inlineStr">
        <is>
          <t>顾吟湫</t>
        </is>
      </c>
      <c r="BJ139" t="inlineStr">
        <is>
          <t>否</t>
        </is>
      </c>
      <c r="BK139" t="inlineStr">
        <is>
          <t>增强限价盘</t>
        </is>
      </c>
      <c r="BL139" t="n">
        <v/>
      </c>
      <c r="BM139" t="n">
        <v>0</v>
      </c>
      <c r="BN139" t="n">
        <v>882.3833333333333</v>
      </c>
      <c r="BO139" t="inlineStr">
        <is>
          <t>股票</t>
        </is>
      </c>
      <c r="BP139" t="n">
        <v/>
      </c>
      <c r="BQ139" t="n">
        <v/>
      </c>
      <c r="BR139" t="n">
        <v>0</v>
      </c>
      <c r="BS139" t="inlineStr">
        <is>
          <t>已成交</t>
        </is>
      </c>
    </row>
    <row r="140">
      <c r="A140" t="n">
        <v>139</v>
      </c>
      <c r="B140" t="inlineStr">
        <is>
          <t>2026-05-06</t>
        </is>
      </c>
      <c r="C140" t="n">
        <v>3008</v>
      </c>
      <c r="D140" t="inlineStr">
        <is>
          <t>自营权益4</t>
        </is>
      </c>
      <c r="E140" t="n">
        <v>3008</v>
      </c>
      <c r="F140" t="n">
        <v>2020</v>
      </c>
      <c r="G140" t="inlineStr">
        <is>
          <t>安踏体育</t>
        </is>
      </c>
      <c r="H140" t="inlineStr">
        <is>
          <t>买入</t>
        </is>
      </c>
      <c r="I140" t="n">
        <v>78.8</v>
      </c>
      <c r="J140" t="n">
        <v>78.31</v>
      </c>
      <c r="K140" t="n">
        <v>10000</v>
      </c>
      <c r="L140" t="n">
        <v>784500</v>
      </c>
      <c r="M140" t="n">
        <v>10</v>
      </c>
      <c r="N140" t="n">
        <v>78.45</v>
      </c>
      <c r="O140" t="n">
        <v>78.45</v>
      </c>
      <c r="P140" t="n">
        <v>78.45</v>
      </c>
      <c r="Q140" t="n">
        <v>78.45</v>
      </c>
      <c r="R140" t="n">
        <v>78.45</v>
      </c>
      <c r="S140" t="inlineStr">
        <is>
          <t>港股通（深）</t>
        </is>
      </c>
      <c r="T140" t="n">
        <v>7883754</v>
      </c>
      <c r="U140" t="n">
        <v>0.1268</v>
      </c>
      <c r="V140" t="n">
        <v>617409828.15</v>
      </c>
      <c r="W140" t="n">
        <v>300841</v>
      </c>
      <c r="X140" t="inlineStr">
        <is>
          <t>自营权益4（深港）</t>
        </is>
      </c>
      <c r="Y140" t="n">
        <v>10000</v>
      </c>
      <c r="Z140" t="n">
        <v>78.8</v>
      </c>
      <c r="AA140" t="n">
        <v>77.84999999999999</v>
      </c>
      <c r="AB140" t="n">
        <v>3</v>
      </c>
      <c r="AC140" t="inlineStr">
        <is>
          <t>周啸宇</t>
        </is>
      </c>
      <c r="AD140" t="inlineStr">
        <is>
          <t>股票资产</t>
        </is>
      </c>
      <c r="AE140" t="n">
        <v>0.7673</v>
      </c>
      <c r="AF140" t="n">
        <v>0.1271</v>
      </c>
      <c r="AG140" t="n">
        <v>-0.1734</v>
      </c>
      <c r="AH140" t="n">
        <v>10000</v>
      </c>
      <c r="AI140" t="n">
        <v>53</v>
      </c>
      <c r="AJ140" t="inlineStr">
        <is>
          <t>自营权益4（深港）</t>
        </is>
      </c>
      <c r="AK140" t="inlineStr">
        <is>
          <t>人民币</t>
        </is>
      </c>
      <c r="AL140" t="n">
        <v>6111</v>
      </c>
      <c r="AM140" t="n">
        <v/>
      </c>
      <c r="AN140" t="n">
        <v>30084</v>
      </c>
      <c r="AO140" t="n">
        <v/>
      </c>
      <c r="AP140" t="inlineStr">
        <is>
          <t>顾吟湫</t>
        </is>
      </c>
      <c r="AQ140" t="inlineStr">
        <is>
          <t>人民币</t>
        </is>
      </c>
      <c r="AR140" t="n">
        <v>684193.84</v>
      </c>
      <c r="AS140" t="n">
        <v/>
      </c>
      <c r="AT140" t="n">
        <v/>
      </c>
      <c r="AU140" t="n">
        <v/>
      </c>
      <c r="AV140" t="n">
        <v/>
      </c>
      <c r="AW140" t="inlineStr">
        <is>
          <t>KYG040111059</t>
        </is>
      </c>
      <c r="AX140" t="inlineStr">
        <is>
          <t>无</t>
        </is>
      </c>
      <c r="AY140" t="inlineStr">
        <is>
          <t xml:space="preserve"> </t>
        </is>
      </c>
      <c r="AZ140" t="inlineStr">
        <is>
          <t xml:space="preserve"> </t>
        </is>
      </c>
      <c r="BA140" t="n">
        <v>0.3429</v>
      </c>
      <c r="BB140" t="n">
        <v>0</v>
      </c>
      <c r="BC140" t="inlineStr">
        <is>
          <t>缺省券商</t>
        </is>
      </c>
      <c r="BD140" t="inlineStr">
        <is>
          <t>交易所业务</t>
        </is>
      </c>
      <c r="BE140" t="inlineStr">
        <is>
          <t>不是ETF补券指令</t>
        </is>
      </c>
      <c r="BF140" t="inlineStr">
        <is>
          <t>-784,500.00</t>
        </is>
      </c>
      <c r="BG140" t="n">
        <v>0</v>
      </c>
      <c r="BH140" t="inlineStr">
        <is>
          <t>非强平</t>
        </is>
      </c>
      <c r="BI140" t="inlineStr">
        <is>
          <t>顾吟湫</t>
        </is>
      </c>
      <c r="BJ140" t="inlineStr">
        <is>
          <t>否</t>
        </is>
      </c>
      <c r="BK140" t="inlineStr">
        <is>
          <t>增强限价盘</t>
        </is>
      </c>
      <c r="BL140" t="n">
        <v/>
      </c>
      <c r="BM140" t="n">
        <v>0</v>
      </c>
      <c r="BN140" t="n">
        <v>0</v>
      </c>
      <c r="BO140" t="inlineStr">
        <is>
          <t>股票</t>
        </is>
      </c>
      <c r="BP140" t="n">
        <v/>
      </c>
      <c r="BQ140" t="n">
        <v/>
      </c>
      <c r="BR140" t="n">
        <v>0</v>
      </c>
      <c r="BS140" t="inlineStr">
        <is>
          <t>已成交</t>
        </is>
      </c>
    </row>
    <row r="141">
      <c r="A141" t="n">
        <v>140</v>
      </c>
      <c r="B141" t="inlineStr">
        <is>
          <t>2026-05-06</t>
        </is>
      </c>
      <c r="C141" t="n">
        <v>3008</v>
      </c>
      <c r="D141" t="inlineStr">
        <is>
          <t>自营权益4</t>
        </is>
      </c>
      <c r="E141" t="n">
        <v>3008</v>
      </c>
      <c r="F141" t="n">
        <v>6862</v>
      </c>
      <c r="G141" t="inlineStr">
        <is>
          <t>海底捞</t>
        </is>
      </c>
      <c r="H141" t="inlineStr">
        <is>
          <t>买入</t>
        </is>
      </c>
      <c r="I141" t="n">
        <v>14.35</v>
      </c>
      <c r="J141" t="n">
        <v>14.28</v>
      </c>
      <c r="K141" t="n">
        <v>30000</v>
      </c>
      <c r="L141" t="n">
        <v>431100</v>
      </c>
      <c r="M141" t="n">
        <v>5</v>
      </c>
      <c r="N141" t="n">
        <v>14.37</v>
      </c>
      <c r="O141" t="n">
        <v>14.37</v>
      </c>
      <c r="P141" t="n">
        <v>14.37</v>
      </c>
      <c r="Q141" t="n">
        <v>14.37</v>
      </c>
      <c r="R141" t="n">
        <v>14.37</v>
      </c>
      <c r="S141" t="inlineStr">
        <is>
          <t>港股通（深）</t>
        </is>
      </c>
      <c r="T141" t="n">
        <v>14930331</v>
      </c>
      <c r="U141" t="n">
        <v>0.2009</v>
      </c>
      <c r="V141" t="n">
        <v>213233939.2</v>
      </c>
      <c r="W141" t="n">
        <v>300841</v>
      </c>
      <c r="X141" t="inlineStr">
        <is>
          <t>自营权益4（深港）</t>
        </is>
      </c>
      <c r="Y141" t="n">
        <v>30000</v>
      </c>
      <c r="Z141" t="n">
        <v>14.4</v>
      </c>
      <c r="AA141" t="n">
        <v>14.1</v>
      </c>
      <c r="AB141" t="n">
        <v>1</v>
      </c>
      <c r="AC141" t="inlineStr">
        <is>
          <t>周啸宇</t>
        </is>
      </c>
      <c r="AD141" t="inlineStr">
        <is>
          <t>股票资产</t>
        </is>
      </c>
      <c r="AE141" t="n">
        <v>0.6311</v>
      </c>
      <c r="AF141" t="n">
        <v>0.2022</v>
      </c>
      <c r="AG141" t="n">
        <v>-0.6169</v>
      </c>
      <c r="AH141" t="n">
        <v>30000</v>
      </c>
      <c r="AI141" t="n">
        <v>53</v>
      </c>
      <c r="AJ141" t="inlineStr">
        <is>
          <t>自营权益4（深港）</t>
        </is>
      </c>
      <c r="AK141" t="inlineStr">
        <is>
          <t>人民币</t>
        </is>
      </c>
      <c r="AL141" t="n">
        <v>6111</v>
      </c>
      <c r="AM141" t="n">
        <v/>
      </c>
      <c r="AN141" t="n">
        <v>30084</v>
      </c>
      <c r="AO141" t="n">
        <v/>
      </c>
      <c r="AP141" t="inlineStr">
        <is>
          <t>顾吟湫</t>
        </is>
      </c>
      <c r="AQ141" t="inlineStr">
        <is>
          <t>人民币</t>
        </is>
      </c>
      <c r="AR141" t="n">
        <v>375979.55</v>
      </c>
      <c r="AS141" t="n">
        <v/>
      </c>
      <c r="AT141" t="n">
        <v/>
      </c>
      <c r="AU141" t="n">
        <v/>
      </c>
      <c r="AV141" t="n">
        <v/>
      </c>
      <c r="AW141" t="inlineStr">
        <is>
          <t>KYG4290A1013</t>
        </is>
      </c>
      <c r="AX141" t="inlineStr">
        <is>
          <t>无</t>
        </is>
      </c>
      <c r="AY141" t="inlineStr">
        <is>
          <t xml:space="preserve"> </t>
        </is>
      </c>
      <c r="AZ141" t="inlineStr">
        <is>
          <t xml:space="preserve"> </t>
        </is>
      </c>
      <c r="BA141" t="n">
        <v>0.1884</v>
      </c>
      <c r="BB141" t="n">
        <v>0</v>
      </c>
      <c r="BC141" t="inlineStr">
        <is>
          <t>缺省券商</t>
        </is>
      </c>
      <c r="BD141" t="inlineStr">
        <is>
          <t>交易所业务</t>
        </is>
      </c>
      <c r="BE141" t="inlineStr">
        <is>
          <t>不是ETF补券指令</t>
        </is>
      </c>
      <c r="BF141" t="inlineStr">
        <is>
          <t>-431,100.00</t>
        </is>
      </c>
      <c r="BG141" t="n">
        <v>0</v>
      </c>
      <c r="BH141" t="inlineStr">
        <is>
          <t>非强平</t>
        </is>
      </c>
      <c r="BI141" t="inlineStr">
        <is>
          <t>顾吟湫</t>
        </is>
      </c>
      <c r="BJ141" t="inlineStr">
        <is>
          <t>否</t>
        </is>
      </c>
      <c r="BK141" t="inlineStr">
        <is>
          <t>增强限价盘</t>
        </is>
      </c>
      <c r="BL141" t="n">
        <v/>
      </c>
      <c r="BM141" t="n">
        <v>0</v>
      </c>
      <c r="BN141" t="n">
        <v>0</v>
      </c>
      <c r="BO141" t="inlineStr">
        <is>
          <t>股票</t>
        </is>
      </c>
      <c r="BP141" t="n">
        <v/>
      </c>
      <c r="BQ141" t="n">
        <v/>
      </c>
      <c r="BR141" t="n">
        <v>0</v>
      </c>
      <c r="BS141" t="inlineStr">
        <is>
          <t>已成交</t>
        </is>
      </c>
    </row>
    <row r="142">
      <c r="A142" t="n">
        <v>141</v>
      </c>
      <c r="B142" t="inlineStr">
        <is>
          <t>2026-05-07</t>
        </is>
      </c>
      <c r="C142" t="n">
        <v>3008</v>
      </c>
      <c r="D142" t="inlineStr">
        <is>
          <t>自营权益4</t>
        </is>
      </c>
      <c r="E142" t="n">
        <v>3008</v>
      </c>
      <c r="F142" t="n">
        <v>576</v>
      </c>
      <c r="G142" t="inlineStr">
        <is>
          <t>浙江沪杭甬</t>
        </is>
      </c>
      <c r="H142" t="inlineStr">
        <is>
          <t>买入</t>
        </is>
      </c>
      <c r="I142" t="n">
        <v>7.29</v>
      </c>
      <c r="J142" t="n">
        <v>7.33</v>
      </c>
      <c r="K142" t="n">
        <v>200000</v>
      </c>
      <c r="L142" t="n">
        <v>1470000</v>
      </c>
      <c r="M142" t="n">
        <v>18</v>
      </c>
      <c r="N142" t="n">
        <v>7.35</v>
      </c>
      <c r="O142" t="n">
        <v>7.35</v>
      </c>
      <c r="P142" t="n">
        <v>7.35</v>
      </c>
      <c r="Q142" t="n">
        <v>7.35</v>
      </c>
      <c r="R142" t="n">
        <v>7.35</v>
      </c>
      <c r="S142" t="inlineStr">
        <is>
          <t>港股通（深）</t>
        </is>
      </c>
      <c r="T142" t="n">
        <v>10886196</v>
      </c>
      <c r="U142" t="n">
        <v>1.8372</v>
      </c>
      <c r="V142" t="n">
        <v>79784944.59999999</v>
      </c>
      <c r="W142" t="n">
        <v>300841</v>
      </c>
      <c r="X142" t="inlineStr">
        <is>
          <t>自营权益4（深港）</t>
        </is>
      </c>
      <c r="Y142" t="n">
        <v>200000</v>
      </c>
      <c r="Z142" t="n">
        <v>7.44</v>
      </c>
      <c r="AA142" t="n">
        <v>7.27</v>
      </c>
      <c r="AB142" t="n">
        <v>1</v>
      </c>
      <c r="AC142" t="inlineStr">
        <is>
          <t>周啸宇</t>
        </is>
      </c>
      <c r="AD142" t="inlineStr">
        <is>
          <t>股票资产</t>
        </is>
      </c>
      <c r="AE142" t="n">
        <v>-0.9510999999999999</v>
      </c>
      <c r="AF142" t="n">
        <v>1.8425</v>
      </c>
      <c r="AG142" t="n">
        <v>-0.2865</v>
      </c>
      <c r="AH142" t="n">
        <v>200000</v>
      </c>
      <c r="AI142" t="n">
        <v>53</v>
      </c>
      <c r="AJ142" t="inlineStr">
        <is>
          <t>自营权益4（深港）</t>
        </is>
      </c>
      <c r="AK142" t="inlineStr">
        <is>
          <t>人民币</t>
        </is>
      </c>
      <c r="AL142" t="n">
        <v>6111</v>
      </c>
      <c r="AM142" t="n">
        <v/>
      </c>
      <c r="AN142" t="n">
        <v>30084</v>
      </c>
      <c r="AO142" t="n">
        <v/>
      </c>
      <c r="AP142" t="inlineStr">
        <is>
          <t>顾吟湫</t>
        </is>
      </c>
      <c r="AQ142" t="inlineStr">
        <is>
          <t>人民币</t>
        </is>
      </c>
      <c r="AR142" t="n">
        <v>1278297.3</v>
      </c>
      <c r="AS142" t="n">
        <v/>
      </c>
      <c r="AT142" t="n">
        <v/>
      </c>
      <c r="AU142" t="n">
        <v/>
      </c>
      <c r="AV142" t="n">
        <v/>
      </c>
      <c r="AW142" t="inlineStr">
        <is>
          <t>CNE1000004S4</t>
        </is>
      </c>
      <c r="AX142" t="inlineStr">
        <is>
          <t>无</t>
        </is>
      </c>
      <c r="AY142" t="inlineStr">
        <is>
          <t xml:space="preserve"> </t>
        </is>
      </c>
      <c r="AZ142" t="inlineStr">
        <is>
          <t xml:space="preserve"> </t>
        </is>
      </c>
      <c r="BA142" t="n">
        <v>0.641</v>
      </c>
      <c r="BB142" t="n">
        <v>0</v>
      </c>
      <c r="BC142" t="inlineStr">
        <is>
          <t>缺省券商</t>
        </is>
      </c>
      <c r="BD142" t="inlineStr">
        <is>
          <t>交易所业务</t>
        </is>
      </c>
      <c r="BE142" t="inlineStr">
        <is>
          <t>不是ETF补券指令</t>
        </is>
      </c>
      <c r="BF142" t="inlineStr">
        <is>
          <t>-1,470,000.00</t>
        </is>
      </c>
      <c r="BG142" t="n">
        <v>0</v>
      </c>
      <c r="BH142" t="inlineStr">
        <is>
          <t>非强平</t>
        </is>
      </c>
      <c r="BI142" t="inlineStr">
        <is>
          <t>顾吟湫</t>
        </is>
      </c>
      <c r="BJ142" t="inlineStr">
        <is>
          <t>否</t>
        </is>
      </c>
      <c r="BK142" t="inlineStr">
        <is>
          <t>增强限价盘</t>
        </is>
      </c>
      <c r="BL142" t="n">
        <v/>
      </c>
      <c r="BM142" t="n">
        <v>0</v>
      </c>
      <c r="BN142" t="n">
        <v>0.01666666666666667</v>
      </c>
      <c r="BO142" t="inlineStr">
        <is>
          <t>股票</t>
        </is>
      </c>
      <c r="BP142" t="n">
        <v/>
      </c>
      <c r="BQ142" t="n">
        <v/>
      </c>
      <c r="BR142" t="n">
        <v>0</v>
      </c>
      <c r="BS142" t="inlineStr">
        <is>
          <t>已成交</t>
        </is>
      </c>
    </row>
    <row r="143">
      <c r="A143" t="n">
        <v>142</v>
      </c>
      <c r="B143" t="inlineStr">
        <is>
          <t>2026-05-08</t>
        </is>
      </c>
      <c r="C143" t="n">
        <v>3008</v>
      </c>
      <c r="D143" t="inlineStr">
        <is>
          <t>自营权益4</t>
        </is>
      </c>
      <c r="E143" t="n">
        <v>3008</v>
      </c>
      <c r="F143" t="n">
        <v>6862</v>
      </c>
      <c r="G143" t="inlineStr">
        <is>
          <t>海底捞</t>
        </is>
      </c>
      <c r="H143" t="inlineStr">
        <is>
          <t>买入</t>
        </is>
      </c>
      <c r="I143" t="n">
        <v>14.73</v>
      </c>
      <c r="J143" t="n">
        <v>14.63</v>
      </c>
      <c r="K143" t="n">
        <v>20000</v>
      </c>
      <c r="L143" t="n">
        <v>291800</v>
      </c>
      <c r="M143" t="n">
        <v>1</v>
      </c>
      <c r="N143" t="n">
        <v>14.59</v>
      </c>
      <c r="O143" t="n">
        <v>14.59</v>
      </c>
      <c r="P143" t="n">
        <v>14.59</v>
      </c>
      <c r="Q143" t="n">
        <v>14.59</v>
      </c>
      <c r="R143" t="n">
        <v>14.59</v>
      </c>
      <c r="S143" t="inlineStr">
        <is>
          <t>港股通（深）</t>
        </is>
      </c>
      <c r="T143" t="n">
        <v>8246585</v>
      </c>
      <c r="U143" t="n">
        <v>0.2425</v>
      </c>
      <c r="V143" t="n">
        <v>120639180.37</v>
      </c>
      <c r="W143" t="n">
        <v>300841</v>
      </c>
      <c r="X143" t="inlineStr">
        <is>
          <t>自营权益4（深港）</t>
        </is>
      </c>
      <c r="Y143" t="n">
        <v>20000</v>
      </c>
      <c r="Z143" t="n">
        <v>14.74</v>
      </c>
      <c r="AA143" t="n">
        <v>14.51</v>
      </c>
      <c r="AB143" t="n">
        <v>2</v>
      </c>
      <c r="AC143" t="inlineStr">
        <is>
          <t>周啸宇</t>
        </is>
      </c>
      <c r="AD143" t="inlineStr">
        <is>
          <t>股票资产</t>
        </is>
      </c>
      <c r="AE143" t="n">
        <v>0.8214</v>
      </c>
      <c r="AF143" t="n">
        <v>0.2419</v>
      </c>
      <c r="AG143" t="n">
        <v>0.2666</v>
      </c>
      <c r="AH143" t="n">
        <v>20000</v>
      </c>
      <c r="AI143" t="n">
        <v>53</v>
      </c>
      <c r="AJ143" t="inlineStr">
        <is>
          <t>自营权益4（深港）</t>
        </is>
      </c>
      <c r="AK143" t="inlineStr">
        <is>
          <t>人民币</t>
        </is>
      </c>
      <c r="AL143" t="n">
        <v>6111</v>
      </c>
      <c r="AM143" t="n">
        <v/>
      </c>
      <c r="AN143" t="n">
        <v>30084</v>
      </c>
      <c r="AO143" t="n">
        <v/>
      </c>
      <c r="AP143" t="inlineStr">
        <is>
          <t>顾吟湫</t>
        </is>
      </c>
      <c r="AQ143" t="inlineStr">
        <is>
          <t>人民币</t>
        </is>
      </c>
      <c r="AR143" t="n">
        <v>253329.09</v>
      </c>
      <c r="AS143" t="n">
        <v/>
      </c>
      <c r="AT143" t="n">
        <v/>
      </c>
      <c r="AU143" t="n">
        <v/>
      </c>
      <c r="AV143" t="n">
        <v/>
      </c>
      <c r="AW143" t="inlineStr">
        <is>
          <t>KYG4290A1013</t>
        </is>
      </c>
      <c r="AX143" t="inlineStr">
        <is>
          <t>无</t>
        </is>
      </c>
      <c r="AY143" t="inlineStr">
        <is>
          <t xml:space="preserve"> </t>
        </is>
      </c>
      <c r="AZ143" t="inlineStr">
        <is>
          <t xml:space="preserve"> </t>
        </is>
      </c>
      <c r="BA143" t="n">
        <v>0.127</v>
      </c>
      <c r="BB143" t="n">
        <v>0</v>
      </c>
      <c r="BC143" t="inlineStr">
        <is>
          <t>缺省券商</t>
        </is>
      </c>
      <c r="BD143" t="inlineStr">
        <is>
          <t>交易所业务</t>
        </is>
      </c>
      <c r="BE143" t="inlineStr">
        <is>
          <t>不是ETF补券指令</t>
        </is>
      </c>
      <c r="BF143" t="inlineStr">
        <is>
          <t>-291,800.00</t>
        </is>
      </c>
      <c r="BG143" t="n">
        <v>0</v>
      </c>
      <c r="BH143" t="inlineStr">
        <is>
          <t>非强平</t>
        </is>
      </c>
      <c r="BI143" t="inlineStr">
        <is>
          <t>顾吟湫</t>
        </is>
      </c>
      <c r="BJ143" t="inlineStr">
        <is>
          <t>否</t>
        </is>
      </c>
      <c r="BK143" t="inlineStr">
        <is>
          <t>增强限价盘</t>
        </is>
      </c>
      <c r="BL143" t="n">
        <v/>
      </c>
      <c r="BM143" t="n">
        <v>0</v>
      </c>
      <c r="BN143" t="n">
        <v>0</v>
      </c>
      <c r="BO143" t="inlineStr">
        <is>
          <t>股票</t>
        </is>
      </c>
      <c r="BP143" t="n">
        <v/>
      </c>
      <c r="BQ143" t="n">
        <v/>
      </c>
      <c r="BR143" t="n">
        <v>0</v>
      </c>
      <c r="BS143" t="inlineStr">
        <is>
          <t>已成交</t>
        </is>
      </c>
    </row>
    <row r="144">
      <c r="A144" t="n">
        <v>143</v>
      </c>
      <c r="B144" t="inlineStr">
        <is>
          <t>2026-05-18</t>
        </is>
      </c>
      <c r="C144" t="n">
        <v>3008</v>
      </c>
      <c r="D144" t="inlineStr">
        <is>
          <t>自营权益4</t>
        </is>
      </c>
      <c r="E144" t="n">
        <v>3008</v>
      </c>
      <c r="F144" t="n">
        <v>728</v>
      </c>
      <c r="G144" t="inlineStr">
        <is>
          <t>中国电信</t>
        </is>
      </c>
      <c r="H144" t="inlineStr">
        <is>
          <t>卖出</t>
        </is>
      </c>
      <c r="I144" t="n">
        <v>5.64</v>
      </c>
      <c r="J144" t="n">
        <v>5.57</v>
      </c>
      <c r="K144" t="n">
        <v>1300000</v>
      </c>
      <c r="L144" t="n">
        <v>7297000</v>
      </c>
      <c r="M144" t="n">
        <v>98</v>
      </c>
      <c r="N144" t="n">
        <v>5.59</v>
      </c>
      <c r="O144" t="n">
        <v>5.62</v>
      </c>
      <c r="P144" t="n">
        <v>5.613076923076923</v>
      </c>
      <c r="Q144" t="n">
        <v>5.613076923076923</v>
      </c>
      <c r="R144" t="n">
        <v>5.613076923076923</v>
      </c>
      <c r="S144" t="inlineStr">
        <is>
          <t>港股通（深）</t>
        </is>
      </c>
      <c r="T144" t="n">
        <v>183370020</v>
      </c>
      <c r="U144" t="n">
        <v>0.7089</v>
      </c>
      <c r="V144" t="n">
        <v>1022079800.44</v>
      </c>
      <c r="W144" t="n">
        <v>300841</v>
      </c>
      <c r="X144" t="inlineStr">
        <is>
          <t>自营权益4（深港）</t>
        </is>
      </c>
      <c r="Y144" t="n">
        <v>1300000</v>
      </c>
      <c r="Z144" t="n">
        <v>5.67</v>
      </c>
      <c r="AA144" t="n">
        <v>5.37</v>
      </c>
      <c r="AB144" t="n">
        <v>3</v>
      </c>
      <c r="AC144" t="inlineStr">
        <is>
          <t>周啸宇</t>
        </is>
      </c>
      <c r="AD144" t="inlineStr">
        <is>
          <t>股票资产</t>
        </is>
      </c>
      <c r="AE144" t="n">
        <v>6.015</v>
      </c>
      <c r="AF144" t="n">
        <v>0.7139</v>
      </c>
      <c r="AG144" t="n">
        <v>0.7033</v>
      </c>
      <c r="AH144" t="n">
        <v>1300000</v>
      </c>
      <c r="AI144" t="n">
        <v>53</v>
      </c>
      <c r="AJ144" t="inlineStr">
        <is>
          <t>自营权益4（深港）</t>
        </is>
      </c>
      <c r="AK144" t="inlineStr">
        <is>
          <t>人民币</t>
        </is>
      </c>
      <c r="AL144" t="n">
        <v>6111</v>
      </c>
      <c r="AM144" t="n">
        <v/>
      </c>
      <c r="AN144" t="n">
        <v>30084</v>
      </c>
      <c r="AO144" t="n">
        <v/>
      </c>
      <c r="AP144" t="inlineStr">
        <is>
          <t>顾吟湫</t>
        </is>
      </c>
      <c r="AQ144" t="inlineStr">
        <is>
          <t>人民币</t>
        </is>
      </c>
      <c r="AR144" t="n">
        <v>6342990.02</v>
      </c>
      <c r="AS144" t="n">
        <v/>
      </c>
      <c r="AT144" t="n">
        <v/>
      </c>
      <c r="AU144" t="n">
        <v/>
      </c>
      <c r="AV144" t="n">
        <v/>
      </c>
      <c r="AW144" t="inlineStr">
        <is>
          <t>CNE1000002V2</t>
        </is>
      </c>
      <c r="AX144" t="inlineStr">
        <is>
          <t>无</t>
        </is>
      </c>
      <c r="AY144" t="inlineStr">
        <is>
          <t xml:space="preserve"> </t>
        </is>
      </c>
      <c r="AZ144" t="inlineStr">
        <is>
          <t xml:space="preserve"> </t>
        </is>
      </c>
      <c r="BA144" t="n">
        <v>3.2192</v>
      </c>
      <c r="BB144" t="n">
        <v>0</v>
      </c>
      <c r="BC144" t="inlineStr">
        <is>
          <t>缺省券商</t>
        </is>
      </c>
      <c r="BD144" t="inlineStr">
        <is>
          <t>交易所业务</t>
        </is>
      </c>
      <c r="BE144" t="inlineStr">
        <is>
          <t>不是ETF补券指令</t>
        </is>
      </c>
      <c r="BF144" t="inlineStr">
        <is>
          <t>7,297,000.00</t>
        </is>
      </c>
      <c r="BG144" t="n">
        <v>0</v>
      </c>
      <c r="BH144" t="inlineStr">
        <is>
          <t>非强平</t>
        </is>
      </c>
      <c r="BI144" t="inlineStr">
        <is>
          <t>顾吟湫</t>
        </is>
      </c>
      <c r="BJ144" t="inlineStr">
        <is>
          <t>否</t>
        </is>
      </c>
      <c r="BK144" t="inlineStr">
        <is>
          <t>增强限价盘</t>
        </is>
      </c>
      <c r="BL144" t="n">
        <v/>
      </c>
      <c r="BM144" t="n">
        <v>0</v>
      </c>
      <c r="BN144" t="n">
        <v>392.2333333333333</v>
      </c>
      <c r="BO144" t="inlineStr">
        <is>
          <t>股票</t>
        </is>
      </c>
      <c r="BP144" t="n">
        <v/>
      </c>
      <c r="BQ144" t="n">
        <v/>
      </c>
      <c r="BR144" t="n">
        <v>0</v>
      </c>
      <c r="BS144" t="inlineStr">
        <is>
          <t>已成交</t>
        </is>
      </c>
    </row>
    <row r="145">
      <c r="A145" t="n">
        <v>144</v>
      </c>
      <c r="B145" t="inlineStr">
        <is>
          <t>2026-05-26</t>
        </is>
      </c>
      <c r="C145" t="n">
        <v>3008</v>
      </c>
      <c r="D145" t="inlineStr">
        <is>
          <t>自营权益4</t>
        </is>
      </c>
      <c r="E145" t="n">
        <v>3008</v>
      </c>
      <c r="F145" t="n">
        <v>883</v>
      </c>
      <c r="G145" t="inlineStr">
        <is>
          <t>中国海洋石油</t>
        </is>
      </c>
      <c r="H145" t="inlineStr">
        <is>
          <t>卖出</t>
        </is>
      </c>
      <c r="I145" t="n">
        <v>26.92</v>
      </c>
      <c r="J145" t="n">
        <v>26.85</v>
      </c>
      <c r="K145" t="n">
        <v>150000</v>
      </c>
      <c r="L145" t="n">
        <v>4041000</v>
      </c>
      <c r="M145" t="n">
        <v>1</v>
      </c>
      <c r="N145" t="n">
        <v>26.94</v>
      </c>
      <c r="O145" t="n">
        <v>26.94</v>
      </c>
      <c r="P145" t="n">
        <v>26.94</v>
      </c>
      <c r="Q145" t="n">
        <v>26.94</v>
      </c>
      <c r="R145" t="n">
        <v>26.94</v>
      </c>
      <c r="S145" t="inlineStr">
        <is>
          <t>港股通（深）</t>
        </is>
      </c>
      <c r="T145" t="n">
        <v>176480205</v>
      </c>
      <c r="U145" t="n">
        <v>0.08500000000000001</v>
      </c>
      <c r="V145" t="n">
        <v>4738923994</v>
      </c>
      <c r="W145" t="n">
        <v>300841</v>
      </c>
      <c r="X145" t="inlineStr">
        <is>
          <t>自营权益4（深港）</t>
        </is>
      </c>
      <c r="Y145" t="n">
        <v>150000</v>
      </c>
      <c r="Z145" t="n">
        <v>27.3</v>
      </c>
      <c r="AA145" t="n">
        <v>26.38</v>
      </c>
      <c r="AB145" t="n">
        <v>1</v>
      </c>
      <c r="AC145" t="inlineStr">
        <is>
          <t>周啸宇</t>
        </is>
      </c>
      <c r="AD145" t="inlineStr">
        <is>
          <t>股票资产</t>
        </is>
      </c>
      <c r="AE145" t="n">
        <v>-1.895</v>
      </c>
      <c r="AF145" t="n">
        <v>0.0853</v>
      </c>
      <c r="AG145" t="n">
        <v>0.3262</v>
      </c>
      <c r="AH145" t="n">
        <v>150000</v>
      </c>
      <c r="AI145" t="n">
        <v>53</v>
      </c>
      <c r="AJ145" t="inlineStr">
        <is>
          <t>自营权益4（深港）</t>
        </is>
      </c>
      <c r="AK145" t="inlineStr">
        <is>
          <t>人民币</t>
        </is>
      </c>
      <c r="AL145" t="n">
        <v>6111</v>
      </c>
      <c r="AM145" t="n">
        <v/>
      </c>
      <c r="AN145" t="n">
        <v>30084</v>
      </c>
      <c r="AO145" t="n">
        <v/>
      </c>
      <c r="AP145" t="inlineStr">
        <is>
          <t>顾吟湫</t>
        </is>
      </c>
      <c r="AQ145" t="inlineStr">
        <is>
          <t>人民币</t>
        </is>
      </c>
      <c r="AR145" t="n">
        <v>3499465.59</v>
      </c>
      <c r="AS145" t="n">
        <v/>
      </c>
      <c r="AT145" t="n">
        <v/>
      </c>
      <c r="AU145" t="n">
        <v/>
      </c>
      <c r="AV145" t="n">
        <v/>
      </c>
      <c r="AW145" t="inlineStr">
        <is>
          <t>HK0883013259</t>
        </is>
      </c>
      <c r="AX145" t="inlineStr">
        <is>
          <t>无</t>
        </is>
      </c>
      <c r="AY145" t="inlineStr">
        <is>
          <t xml:space="preserve"> </t>
        </is>
      </c>
      <c r="AZ145" t="inlineStr">
        <is>
          <t xml:space="preserve"> </t>
        </is>
      </c>
      <c r="BA145" t="n">
        <v>1.8729</v>
      </c>
      <c r="BB145" t="n">
        <v>0</v>
      </c>
      <c r="BC145" t="inlineStr">
        <is>
          <t>缺省券商</t>
        </is>
      </c>
      <c r="BD145" t="inlineStr">
        <is>
          <t>交易所业务</t>
        </is>
      </c>
      <c r="BE145" t="inlineStr">
        <is>
          <t>不是ETF补券指令</t>
        </is>
      </c>
      <c r="BF145" t="inlineStr">
        <is>
          <t>4,041,000.00</t>
        </is>
      </c>
      <c r="BG145" t="n">
        <v>0</v>
      </c>
      <c r="BH145" t="inlineStr">
        <is>
          <t>非强平</t>
        </is>
      </c>
      <c r="BI145" t="inlineStr">
        <is>
          <t>顾吟湫</t>
        </is>
      </c>
      <c r="BJ145" t="inlineStr">
        <is>
          <t>否</t>
        </is>
      </c>
      <c r="BK145" t="inlineStr">
        <is>
          <t>增强限价盘</t>
        </is>
      </c>
      <c r="BL145" t="n">
        <v/>
      </c>
      <c r="BM145" t="n">
        <v>0</v>
      </c>
      <c r="BN145" t="n">
        <v>0.01666666666666667</v>
      </c>
      <c r="BO145" t="inlineStr">
        <is>
          <t>股票</t>
        </is>
      </c>
      <c r="BP145" t="n">
        <v/>
      </c>
      <c r="BQ145" t="n">
        <v/>
      </c>
      <c r="BR145" t="n">
        <v>0</v>
      </c>
      <c r="BS145" t="inlineStr">
        <is>
          <t>已成交</t>
        </is>
      </c>
    </row>
    <row r="146">
      <c r="A146" t="n">
        <v>145</v>
      </c>
      <c r="B146" t="inlineStr">
        <is>
          <t>2026-05-28</t>
        </is>
      </c>
      <c r="C146" t="n">
        <v>3008</v>
      </c>
      <c r="D146" t="inlineStr">
        <is>
          <t>自营权益4</t>
        </is>
      </c>
      <c r="E146" t="n">
        <v>3008</v>
      </c>
      <c r="F146" t="n">
        <v>333</v>
      </c>
      <c r="G146" t="inlineStr">
        <is>
          <t>美的集团</t>
        </is>
      </c>
      <c r="H146" t="inlineStr">
        <is>
          <t>卖出</t>
        </is>
      </c>
      <c r="I146" t="n">
        <v>78.95</v>
      </c>
      <c r="J146" t="n">
        <v>79.06</v>
      </c>
      <c r="K146" t="n">
        <v>100000</v>
      </c>
      <c r="L146" t="n">
        <v>7905000</v>
      </c>
      <c r="M146" t="n">
        <v>94</v>
      </c>
      <c r="N146" t="n">
        <v>79.05</v>
      </c>
      <c r="O146" t="n">
        <v>79.05</v>
      </c>
      <c r="P146" t="n">
        <v>79.05</v>
      </c>
      <c r="Q146" t="n">
        <v>79.05</v>
      </c>
      <c r="R146" t="n">
        <v>79.05</v>
      </c>
      <c r="S146" t="inlineStr">
        <is>
          <t>深交所A</t>
        </is>
      </c>
      <c r="T146" t="n">
        <v>24199752</v>
      </c>
      <c r="U146" t="n">
        <v>0.4132</v>
      </c>
      <c r="V146" t="n">
        <v>1913267192.53</v>
      </c>
      <c r="W146" t="n">
        <v>300821</v>
      </c>
      <c r="X146" t="inlineStr">
        <is>
          <t>自营权益4（场内）</t>
        </is>
      </c>
      <c r="Y146" t="n">
        <v>100000</v>
      </c>
      <c r="Z146" t="n">
        <v>79.78</v>
      </c>
      <c r="AA146" t="n">
        <v>78.61</v>
      </c>
      <c r="AB146" t="n">
        <v>1</v>
      </c>
      <c r="AC146" t="inlineStr">
        <is>
          <t>周啸宇</t>
        </is>
      </c>
      <c r="AD146" t="inlineStr">
        <is>
          <t>股票资产</t>
        </is>
      </c>
      <c r="AE146" t="n">
        <v>-1.3495</v>
      </c>
      <c r="AF146" t="n">
        <v>0.4132</v>
      </c>
      <c r="AG146" t="n">
        <v>-0.0144</v>
      </c>
      <c r="AH146" t="n">
        <v>100000</v>
      </c>
      <c r="AI146" t="n">
        <v>46</v>
      </c>
      <c r="AJ146" t="inlineStr">
        <is>
          <t>自营权益4（场内）</t>
        </is>
      </c>
      <c r="AK146" t="inlineStr">
        <is>
          <t>人民币</t>
        </is>
      </c>
      <c r="AL146" t="n">
        <v>6111</v>
      </c>
      <c r="AM146" t="n">
        <v/>
      </c>
      <c r="AN146" t="n">
        <v>30082</v>
      </c>
      <c r="AO146" t="n">
        <v/>
      </c>
      <c r="AP146" t="inlineStr">
        <is>
          <t>顾吟湫</t>
        </is>
      </c>
      <c r="AQ146" t="inlineStr">
        <is>
          <t>人民币</t>
        </is>
      </c>
      <c r="AR146" t="n">
        <v>7905000</v>
      </c>
      <c r="AS146" t="n">
        <v>333</v>
      </c>
      <c r="AT146" t="n">
        <v>333</v>
      </c>
      <c r="AU146" t="n">
        <v>333</v>
      </c>
      <c r="AV146" t="n">
        <v>333</v>
      </c>
      <c r="AW146" t="inlineStr">
        <is>
          <t>000333</t>
        </is>
      </c>
      <c r="AX146" t="inlineStr">
        <is>
          <t>无</t>
        </is>
      </c>
      <c r="AY146" t="inlineStr">
        <is>
          <t xml:space="preserve"> </t>
        </is>
      </c>
      <c r="AZ146" t="inlineStr">
        <is>
          <t xml:space="preserve"> </t>
        </is>
      </c>
      <c r="BA146" t="n">
        <v>4.2896</v>
      </c>
      <c r="BB146" t="n">
        <v>0</v>
      </c>
      <c r="BC146" t="inlineStr">
        <is>
          <t>缺省券商</t>
        </is>
      </c>
      <c r="BD146" t="inlineStr">
        <is>
          <t>交易所业务</t>
        </is>
      </c>
      <c r="BE146" t="inlineStr">
        <is>
          <t>不是ETF补券指令</t>
        </is>
      </c>
      <c r="BF146" t="inlineStr">
        <is>
          <t>7,905,000.00</t>
        </is>
      </c>
      <c r="BG146" t="n">
        <v>79.59999999999999</v>
      </c>
      <c r="BH146" t="inlineStr">
        <is>
          <t>非强平</t>
        </is>
      </c>
      <c r="BI146" t="inlineStr">
        <is>
          <t>顾吟湫</t>
        </is>
      </c>
      <c r="BJ146" t="inlineStr">
        <is>
          <t>否</t>
        </is>
      </c>
      <c r="BK146" t="inlineStr">
        <is>
          <t>限价</t>
        </is>
      </c>
      <c r="BL146" t="n">
        <v/>
      </c>
      <c r="BM146" t="n">
        <v>0</v>
      </c>
      <c r="BN146" t="n">
        <v>1.55</v>
      </c>
      <c r="BO146" t="inlineStr">
        <is>
          <t>股票</t>
        </is>
      </c>
      <c r="BP146" t="n">
        <v/>
      </c>
      <c r="BQ146" t="n">
        <v/>
      </c>
      <c r="BR146" t="n">
        <v>0</v>
      </c>
      <c r="BS146" t="inlineStr">
        <is>
          <t>已成交</t>
        </is>
      </c>
    </row>
    <row r="147">
      <c r="A147" t="n">
        <v>146</v>
      </c>
      <c r="B147" t="inlineStr">
        <is>
          <t>2026-05-28</t>
        </is>
      </c>
      <c r="C147" t="n">
        <v>3008</v>
      </c>
      <c r="D147" t="inlineStr">
        <is>
          <t>自营权益4</t>
        </is>
      </c>
      <c r="E147" t="n">
        <v>3008</v>
      </c>
      <c r="F147" t="n">
        <v>2318</v>
      </c>
      <c r="G147" t="inlineStr">
        <is>
          <t>中国平安</t>
        </is>
      </c>
      <c r="H147" t="inlineStr">
        <is>
          <t>卖出</t>
        </is>
      </c>
      <c r="I147" t="n">
        <v>59.25</v>
      </c>
      <c r="J147" t="n">
        <v>58.98</v>
      </c>
      <c r="K147" t="n">
        <v>100000</v>
      </c>
      <c r="L147" t="n">
        <v>5900000</v>
      </c>
      <c r="M147" t="n">
        <v>6</v>
      </c>
      <c r="N147" t="n">
        <v>59</v>
      </c>
      <c r="O147" t="n">
        <v>59</v>
      </c>
      <c r="P147" t="n">
        <v>59</v>
      </c>
      <c r="Q147" t="n">
        <v>59</v>
      </c>
      <c r="R147" t="n">
        <v>59</v>
      </c>
      <c r="S147" t="inlineStr">
        <is>
          <t>港股通（深）</t>
        </is>
      </c>
      <c r="T147" t="n">
        <v>45877023</v>
      </c>
      <c r="U147" t="n">
        <v>0.218</v>
      </c>
      <c r="V147" t="n">
        <v>2705886857.75</v>
      </c>
      <c r="W147" t="n">
        <v>300841</v>
      </c>
      <c r="X147" t="inlineStr">
        <is>
          <t>自营权益4（深港）</t>
        </is>
      </c>
      <c r="Y147" t="n">
        <v>100000</v>
      </c>
      <c r="Z147" t="n">
        <v>60</v>
      </c>
      <c r="AA147" t="n">
        <v>58.45</v>
      </c>
      <c r="AB147" t="n">
        <v>2</v>
      </c>
      <c r="AC147" t="inlineStr">
        <is>
          <t>叶盛</t>
        </is>
      </c>
      <c r="AD147" t="inlineStr">
        <is>
          <t>股票资产</t>
        </is>
      </c>
      <c r="AE147" t="n">
        <v>-1.0851</v>
      </c>
      <c r="AF147" t="n">
        <v>0.218</v>
      </c>
      <c r="AG147" t="n">
        <v>0.0317</v>
      </c>
      <c r="AH147" t="n">
        <v>100000</v>
      </c>
      <c r="AI147" t="n">
        <v>53</v>
      </c>
      <c r="AJ147" t="inlineStr">
        <is>
          <t>自营权益4（深港）</t>
        </is>
      </c>
      <c r="AK147" t="inlineStr">
        <is>
          <t>人民币</t>
        </is>
      </c>
      <c r="AL147" t="n">
        <v>6111</v>
      </c>
      <c r="AM147" t="n">
        <v/>
      </c>
      <c r="AN147" t="n">
        <v>30084</v>
      </c>
      <c r="AO147" t="n">
        <v/>
      </c>
      <c r="AP147" t="inlineStr">
        <is>
          <t>顾吟湫</t>
        </is>
      </c>
      <c r="AQ147" t="inlineStr">
        <is>
          <t>人民币</t>
        </is>
      </c>
      <c r="AR147" t="n">
        <v>5106981.02</v>
      </c>
      <c r="AS147" t="n">
        <v/>
      </c>
      <c r="AT147" t="n">
        <v/>
      </c>
      <c r="AU147" t="n">
        <v/>
      </c>
      <c r="AV147" t="n">
        <v/>
      </c>
      <c r="AW147" t="inlineStr">
        <is>
          <t>CNE1000003X6</t>
        </is>
      </c>
      <c r="AX147" t="inlineStr">
        <is>
          <t>无</t>
        </is>
      </c>
      <c r="AY147" t="inlineStr">
        <is>
          <t xml:space="preserve"> </t>
        </is>
      </c>
      <c r="AZ147" t="inlineStr">
        <is>
          <t xml:space="preserve"> </t>
        </is>
      </c>
      <c r="BA147" t="n">
        <v>2.7713</v>
      </c>
      <c r="BB147" t="n">
        <v>0</v>
      </c>
      <c r="BC147" t="inlineStr">
        <is>
          <t>缺省券商</t>
        </is>
      </c>
      <c r="BD147" t="inlineStr">
        <is>
          <t>交易所业务</t>
        </is>
      </c>
      <c r="BE147" t="inlineStr">
        <is>
          <t>不是ETF补券指令</t>
        </is>
      </c>
      <c r="BF147" t="inlineStr">
        <is>
          <t>5,900,000.00</t>
        </is>
      </c>
      <c r="BG147" t="n">
        <v>0</v>
      </c>
      <c r="BH147" t="inlineStr">
        <is>
          <t>非强平</t>
        </is>
      </c>
      <c r="BI147" t="inlineStr">
        <is>
          <t>顾吟湫</t>
        </is>
      </c>
      <c r="BJ147" t="inlineStr">
        <is>
          <t>否</t>
        </is>
      </c>
      <c r="BK147" t="inlineStr">
        <is>
          <t>增强限价盘</t>
        </is>
      </c>
      <c r="BL147" t="n">
        <v/>
      </c>
      <c r="BM147" t="n">
        <v>0</v>
      </c>
      <c r="BN147" t="n">
        <v>77.55</v>
      </c>
      <c r="BO147" t="inlineStr">
        <is>
          <t>股票</t>
        </is>
      </c>
      <c r="BP147" t="n">
        <v/>
      </c>
      <c r="BQ147" t="n">
        <v/>
      </c>
      <c r="BR147" t="n">
        <v>0</v>
      </c>
      <c r="BS147" t="inlineStr">
        <is>
          <t>已成交</t>
        </is>
      </c>
    </row>
    <row r="148">
      <c r="A148" t="n">
        <v>147</v>
      </c>
      <c r="B148" t="inlineStr">
        <is>
          <t>2026-05-28</t>
        </is>
      </c>
      <c r="C148" t="n">
        <v>3008</v>
      </c>
      <c r="D148" t="inlineStr">
        <is>
          <t>自营权益4</t>
        </is>
      </c>
      <c r="E148" t="n">
        <v>3008</v>
      </c>
      <c r="F148" t="n">
        <v>3933</v>
      </c>
      <c r="G148" t="inlineStr">
        <is>
          <t>联邦制药</t>
        </is>
      </c>
      <c r="H148" t="inlineStr">
        <is>
          <t>买入</t>
        </is>
      </c>
      <c r="I148" t="n">
        <v>8.49</v>
      </c>
      <c r="J148" t="n">
        <v>8.529999999999999</v>
      </c>
      <c r="K148" t="n">
        <v>100000</v>
      </c>
      <c r="L148" t="n">
        <v>845840</v>
      </c>
      <c r="M148" t="n">
        <v>28</v>
      </c>
      <c r="N148" t="n">
        <v>8.44</v>
      </c>
      <c r="O148" t="n">
        <v>8.539999999999999</v>
      </c>
      <c r="P148" t="n">
        <v>8.458399999999999</v>
      </c>
      <c r="Q148" t="n">
        <v>8.458399999999999</v>
      </c>
      <c r="R148" t="n">
        <v>8.458399999999999</v>
      </c>
      <c r="S148" t="inlineStr">
        <is>
          <t>港股通（深）</t>
        </is>
      </c>
      <c r="T148" t="n">
        <v>8582000</v>
      </c>
      <c r="U148" t="n">
        <v>1.1652</v>
      </c>
      <c r="V148" t="n">
        <v>73234286</v>
      </c>
      <c r="W148" t="n">
        <v>300841</v>
      </c>
      <c r="X148" t="inlineStr">
        <is>
          <t>自营权益4（深港）</t>
        </is>
      </c>
      <c r="Y148" t="n">
        <v>100000</v>
      </c>
      <c r="Z148" t="n">
        <v>9</v>
      </c>
      <c r="AA148" t="n">
        <v>8.42</v>
      </c>
      <c r="AB148" t="n">
        <v>9</v>
      </c>
      <c r="AC148" t="inlineStr">
        <is>
          <t>周啸宇</t>
        </is>
      </c>
      <c r="AD148" t="inlineStr">
        <is>
          <t>股票资产</t>
        </is>
      </c>
      <c r="AE148" t="n">
        <v>-4.4994</v>
      </c>
      <c r="AF148" t="n">
        <v>1.155</v>
      </c>
      <c r="AG148" t="n">
        <v>0.8801</v>
      </c>
      <c r="AH148" t="n">
        <v>100000</v>
      </c>
      <c r="AI148" t="n">
        <v>53</v>
      </c>
      <c r="AJ148" t="inlineStr">
        <is>
          <t>自营权益4（深港）</t>
        </is>
      </c>
      <c r="AK148" t="inlineStr">
        <is>
          <t>人民币</t>
        </is>
      </c>
      <c r="AL148" t="n">
        <v>6111</v>
      </c>
      <c r="AM148" t="n">
        <v/>
      </c>
      <c r="AN148" t="n">
        <v>30084</v>
      </c>
      <c r="AO148" t="n">
        <v/>
      </c>
      <c r="AP148" t="inlineStr">
        <is>
          <t>顾吟湫</t>
        </is>
      </c>
      <c r="AQ148" t="inlineStr">
        <is>
          <t>人民币</t>
        </is>
      </c>
      <c r="AR148" t="n">
        <v>732167.5600000001</v>
      </c>
      <c r="AS148" t="n">
        <v/>
      </c>
      <c r="AT148" t="n">
        <v/>
      </c>
      <c r="AU148" t="n">
        <v/>
      </c>
      <c r="AV148" t="n">
        <v/>
      </c>
      <c r="AW148" t="inlineStr">
        <is>
          <t>KYG8813K1085</t>
        </is>
      </c>
      <c r="AX148" t="inlineStr">
        <is>
          <t>无</t>
        </is>
      </c>
      <c r="AY148" t="inlineStr">
        <is>
          <t xml:space="preserve"> </t>
        </is>
      </c>
      <c r="AZ148" t="inlineStr">
        <is>
          <t xml:space="preserve"> </t>
        </is>
      </c>
      <c r="BA148" t="n">
        <v>0.3973</v>
      </c>
      <c r="BB148" t="n">
        <v>0</v>
      </c>
      <c r="BC148" t="inlineStr">
        <is>
          <t>缺省券商</t>
        </is>
      </c>
      <c r="BD148" t="inlineStr">
        <is>
          <t>交易所业务</t>
        </is>
      </c>
      <c r="BE148" t="inlineStr">
        <is>
          <t>不是ETF补券指令</t>
        </is>
      </c>
      <c r="BF148" t="inlineStr">
        <is>
          <t>-845,840.00</t>
        </is>
      </c>
      <c r="BG148" t="n">
        <v>0</v>
      </c>
      <c r="BH148" t="inlineStr">
        <is>
          <t>非强平</t>
        </is>
      </c>
      <c r="BI148" t="inlineStr">
        <is>
          <t>顾吟湫</t>
        </is>
      </c>
      <c r="BJ148" t="inlineStr">
        <is>
          <t>否</t>
        </is>
      </c>
      <c r="BK148" t="inlineStr">
        <is>
          <t>增强限价盘</t>
        </is>
      </c>
      <c r="BL148" t="n">
        <v/>
      </c>
      <c r="BM148" t="n">
        <v>0</v>
      </c>
      <c r="BN148" t="n">
        <v>3.883333333333333</v>
      </c>
      <c r="BO148" t="inlineStr">
        <is>
          <t>股票</t>
        </is>
      </c>
      <c r="BP148" t="n">
        <v/>
      </c>
      <c r="BQ148" t="n">
        <v/>
      </c>
      <c r="BR148" t="n">
        <v>0</v>
      </c>
      <c r="BS148" t="inlineStr">
        <is>
          <t>已成交</t>
        </is>
      </c>
    </row>
    <row r="149">
      <c r="A149" t="n">
        <v>148</v>
      </c>
      <c r="B149" t="inlineStr">
        <is>
          <t>2026-05-28</t>
        </is>
      </c>
      <c r="C149" t="n">
        <v>3008</v>
      </c>
      <c r="D149" t="inlineStr">
        <is>
          <t>自营权益4</t>
        </is>
      </c>
      <c r="E149" t="n">
        <v>3008</v>
      </c>
      <c r="F149" t="n">
        <v>3933</v>
      </c>
      <c r="G149" t="inlineStr">
        <is>
          <t>联邦制药</t>
        </is>
      </c>
      <c r="H149" t="inlineStr">
        <is>
          <t>卖出</t>
        </is>
      </c>
      <c r="I149" t="n">
        <v>8.49</v>
      </c>
      <c r="J149" t="n">
        <v>8.529999999999999</v>
      </c>
      <c r="K149" t="n">
        <v>550000</v>
      </c>
      <c r="L149" t="n">
        <v>4709040</v>
      </c>
      <c r="M149" t="n">
        <v>75</v>
      </c>
      <c r="N149" t="n">
        <v>8.42</v>
      </c>
      <c r="O149" t="n">
        <v>8.66</v>
      </c>
      <c r="P149" t="n">
        <v>8.561890909090909</v>
      </c>
      <c r="Q149" t="n">
        <v>8.561890909090909</v>
      </c>
      <c r="R149" t="n">
        <v>8.561890909090909</v>
      </c>
      <c r="S149" t="inlineStr">
        <is>
          <t>港股通（深）</t>
        </is>
      </c>
      <c r="T149" t="n">
        <v>8582000</v>
      </c>
      <c r="U149" t="n">
        <v>6.4088</v>
      </c>
      <c r="V149" t="n">
        <v>73234286</v>
      </c>
      <c r="W149" t="n">
        <v>300841</v>
      </c>
      <c r="X149" t="inlineStr">
        <is>
          <t>自营权益4（深港）</t>
        </is>
      </c>
      <c r="Y149" t="n">
        <v>550000</v>
      </c>
      <c r="Z149" t="n">
        <v>9</v>
      </c>
      <c r="AA149" t="n">
        <v>8.42</v>
      </c>
      <c r="AB149" t="n">
        <v>9</v>
      </c>
      <c r="AC149" t="inlineStr">
        <is>
          <t>周啸宇</t>
        </is>
      </c>
      <c r="AD149" t="inlineStr">
        <is>
          <t>股票资产</t>
        </is>
      </c>
      <c r="AE149" t="n">
        <v>-4.4994</v>
      </c>
      <c r="AF149" t="n">
        <v>6.4301</v>
      </c>
      <c r="AG149" t="n">
        <v>0.3328</v>
      </c>
      <c r="AH149" t="n">
        <v>550000</v>
      </c>
      <c r="AI149" t="n">
        <v>53</v>
      </c>
      <c r="AJ149" t="inlineStr">
        <is>
          <t>自营权益4（深港）</t>
        </is>
      </c>
      <c r="AK149" t="inlineStr">
        <is>
          <t>人民币</t>
        </is>
      </c>
      <c r="AL149" t="n">
        <v>6111</v>
      </c>
      <c r="AM149" t="n">
        <v/>
      </c>
      <c r="AN149" t="n">
        <v>30084</v>
      </c>
      <c r="AO149" t="n">
        <v/>
      </c>
      <c r="AP149" t="inlineStr">
        <is>
          <t>顾吟湫</t>
        </is>
      </c>
      <c r="AQ149" t="inlineStr">
        <is>
          <t>人民币</t>
        </is>
      </c>
      <c r="AR149" t="n">
        <v>4076097.97</v>
      </c>
      <c r="AS149" t="n">
        <v/>
      </c>
      <c r="AT149" t="n">
        <v/>
      </c>
      <c r="AU149" t="n">
        <v/>
      </c>
      <c r="AV149" t="n">
        <v/>
      </c>
      <c r="AW149" t="inlineStr">
        <is>
          <t>KYG8813K1085</t>
        </is>
      </c>
      <c r="AX149" t="inlineStr">
        <is>
          <t>无</t>
        </is>
      </c>
      <c r="AY149" t="inlineStr">
        <is>
          <t xml:space="preserve"> </t>
        </is>
      </c>
      <c r="AZ149" t="inlineStr">
        <is>
          <t xml:space="preserve"> </t>
        </is>
      </c>
      <c r="BA149" t="n">
        <v>2.2119</v>
      </c>
      <c r="BB149" t="n">
        <v>0</v>
      </c>
      <c r="BC149" t="inlineStr">
        <is>
          <t>缺省券商</t>
        </is>
      </c>
      <c r="BD149" t="inlineStr">
        <is>
          <t>交易所业务</t>
        </is>
      </c>
      <c r="BE149" t="inlineStr">
        <is>
          <t>不是ETF补券指令</t>
        </is>
      </c>
      <c r="BF149" t="inlineStr">
        <is>
          <t>4,709,040.00</t>
        </is>
      </c>
      <c r="BG149" t="n">
        <v>0</v>
      </c>
      <c r="BH149" t="inlineStr">
        <is>
          <t>非强平</t>
        </is>
      </c>
      <c r="BI149" t="inlineStr">
        <is>
          <t>顾吟湫</t>
        </is>
      </c>
      <c r="BJ149" t="inlineStr">
        <is>
          <t>否</t>
        </is>
      </c>
      <c r="BK149" t="inlineStr">
        <is>
          <t>增强限价盘</t>
        </is>
      </c>
      <c r="BL149" t="n">
        <v/>
      </c>
      <c r="BM149" t="n">
        <v>0</v>
      </c>
      <c r="BN149" t="n">
        <v>0.1</v>
      </c>
      <c r="BO149" t="inlineStr">
        <is>
          <t>股票</t>
        </is>
      </c>
      <c r="BP149" t="n">
        <v/>
      </c>
      <c r="BQ149" t="n">
        <v/>
      </c>
      <c r="BR149" t="n">
        <v>0</v>
      </c>
      <c r="BS149" t="inlineStr">
        <is>
          <t>已成交</t>
        </is>
      </c>
    </row>
    <row r="150">
      <c r="A150" t="n">
        <v>149</v>
      </c>
      <c r="B150" t="inlineStr">
        <is>
          <t>2026-05-28</t>
        </is>
      </c>
      <c r="C150" t="n">
        <v>3008</v>
      </c>
      <c r="D150" t="inlineStr">
        <is>
          <t>自营权益4</t>
        </is>
      </c>
      <c r="E150" t="n">
        <v>3008</v>
      </c>
      <c r="F150" t="n">
        <v>9985</v>
      </c>
      <c r="G150" t="inlineStr">
        <is>
          <t>卫龙美味</t>
        </is>
      </c>
      <c r="H150" t="inlineStr">
        <is>
          <t>卖出</t>
        </is>
      </c>
      <c r="I150" t="n">
        <v>8.06</v>
      </c>
      <c r="J150" t="n">
        <v>8.039999999999999</v>
      </c>
      <c r="K150" t="n">
        <v>500000</v>
      </c>
      <c r="L150" t="n">
        <v>3998426</v>
      </c>
      <c r="M150" t="n">
        <v>97</v>
      </c>
      <c r="N150" t="n">
        <v>7.97</v>
      </c>
      <c r="O150" t="n">
        <v>8.02</v>
      </c>
      <c r="P150" t="n">
        <v>7.996852</v>
      </c>
      <c r="Q150" t="n">
        <v>7.996852</v>
      </c>
      <c r="R150" t="n">
        <v>7.996852</v>
      </c>
      <c r="S150" t="inlineStr">
        <is>
          <t>港股通（深）</t>
        </is>
      </c>
      <c r="T150" t="n">
        <v>3419800</v>
      </c>
      <c r="U150" t="n">
        <v>14.6207</v>
      </c>
      <c r="V150" t="n">
        <v>27509940.8</v>
      </c>
      <c r="W150" t="n">
        <v>300841</v>
      </c>
      <c r="X150" t="inlineStr">
        <is>
          <t>自营权益4（深港）</t>
        </is>
      </c>
      <c r="Y150" t="n">
        <v>550000</v>
      </c>
      <c r="Z150" t="n">
        <v>8.25</v>
      </c>
      <c r="AA150" t="n">
        <v>7.94</v>
      </c>
      <c r="AB150" t="n">
        <v>21</v>
      </c>
      <c r="AC150" t="inlineStr">
        <is>
          <t>周啸宇</t>
        </is>
      </c>
      <c r="AD150" t="inlineStr">
        <is>
          <t>股票资产</t>
        </is>
      </c>
      <c r="AE150" t="n">
        <v>-0.861</v>
      </c>
      <c r="AF150" t="n">
        <v>14.5345</v>
      </c>
      <c r="AG150" t="n">
        <v>-0.5891999999999999</v>
      </c>
      <c r="AH150" t="n">
        <v>550000</v>
      </c>
      <c r="AI150" t="n">
        <v>53</v>
      </c>
      <c r="AJ150" t="inlineStr">
        <is>
          <t>自营权益4（深港）</t>
        </is>
      </c>
      <c r="AK150" t="inlineStr">
        <is>
          <t>人民币</t>
        </is>
      </c>
      <c r="AL150" t="n">
        <v>6111</v>
      </c>
      <c r="AM150" t="n">
        <v/>
      </c>
      <c r="AN150" t="n">
        <v>30084</v>
      </c>
      <c r="AO150" t="n">
        <v/>
      </c>
      <c r="AP150" t="inlineStr">
        <is>
          <t>顾吟湫</t>
        </is>
      </c>
      <c r="AQ150" t="inlineStr">
        <is>
          <t>人民币</t>
        </is>
      </c>
      <c r="AR150" t="n">
        <v>3460997.53</v>
      </c>
      <c r="AS150" t="n">
        <v/>
      </c>
      <c r="AT150" t="n">
        <v/>
      </c>
      <c r="AU150" t="n">
        <v/>
      </c>
      <c r="AV150" t="n">
        <v/>
      </c>
      <c r="AW150" t="inlineStr">
        <is>
          <t>KYG9T20T1051</t>
        </is>
      </c>
      <c r="AX150" t="inlineStr">
        <is>
          <t>无</t>
        </is>
      </c>
      <c r="AY150" t="inlineStr">
        <is>
          <t xml:space="preserve"> </t>
        </is>
      </c>
      <c r="AZ150" t="inlineStr">
        <is>
          <t xml:space="preserve"> </t>
        </is>
      </c>
      <c r="BA150" t="n">
        <v>1.8781</v>
      </c>
      <c r="BB150" t="n">
        <v>0</v>
      </c>
      <c r="BC150" t="inlineStr">
        <is>
          <t>缺省券商</t>
        </is>
      </c>
      <c r="BD150" t="inlineStr">
        <is>
          <t>交易所业务</t>
        </is>
      </c>
      <c r="BE150" t="inlineStr">
        <is>
          <t>不是ETF补券指令</t>
        </is>
      </c>
      <c r="BF150" t="inlineStr">
        <is>
          <t>3,998,426.00</t>
        </is>
      </c>
      <c r="BG150" t="n">
        <v>0</v>
      </c>
      <c r="BH150" t="inlineStr">
        <is>
          <t>非强平</t>
        </is>
      </c>
      <c r="BI150" t="inlineStr">
        <is>
          <t>顾吟湫</t>
        </is>
      </c>
      <c r="BJ150" t="inlineStr">
        <is>
          <t>否</t>
        </is>
      </c>
      <c r="BK150" t="inlineStr">
        <is>
          <t>增强限价盘</t>
        </is>
      </c>
      <c r="BL150" t="n">
        <v/>
      </c>
      <c r="BM150" t="n">
        <v>0</v>
      </c>
      <c r="BN150" t="n">
        <v>207.9333333333333</v>
      </c>
      <c r="BO150" t="inlineStr">
        <is>
          <t>股票</t>
        </is>
      </c>
      <c r="BP150" t="n">
        <v/>
      </c>
      <c r="BQ150" t="n">
        <v/>
      </c>
      <c r="BR150" t="n">
        <v>0</v>
      </c>
      <c r="BS150" t="inlineStr">
        <is>
          <t>已成交</t>
        </is>
      </c>
    </row>
    <row r="151">
      <c r="A151" t="n">
        <v>150</v>
      </c>
      <c r="B151" t="inlineStr">
        <is>
          <t>2026-05-29</t>
        </is>
      </c>
      <c r="C151" t="n">
        <v>3008</v>
      </c>
      <c r="D151" t="inlineStr">
        <is>
          <t>自营权益4</t>
        </is>
      </c>
      <c r="E151" t="n">
        <v>3008</v>
      </c>
      <c r="F151" t="n">
        <v>3988</v>
      </c>
      <c r="G151" t="inlineStr">
        <is>
          <t>中国银行</t>
        </is>
      </c>
      <c r="H151" t="inlineStr">
        <is>
          <t>卖出</t>
        </is>
      </c>
      <c r="I151" t="n">
        <v>5.21</v>
      </c>
      <c r="J151" t="n">
        <v>5.2</v>
      </c>
      <c r="K151" t="n">
        <v>1300000</v>
      </c>
      <c r="L151" t="n">
        <v>6734000</v>
      </c>
      <c r="M151" t="n">
        <v>24</v>
      </c>
      <c r="N151" t="n">
        <v>5.18</v>
      </c>
      <c r="O151" t="n">
        <v>5.18</v>
      </c>
      <c r="P151" t="n">
        <v>5.18</v>
      </c>
      <c r="Q151" t="n">
        <v>5.18</v>
      </c>
      <c r="R151" t="n">
        <v>5.18</v>
      </c>
      <c r="S151" t="inlineStr">
        <is>
          <t>港股通（深）</t>
        </is>
      </c>
      <c r="T151" t="n">
        <v>371788291</v>
      </c>
      <c r="U151" t="n">
        <v>0.3497</v>
      </c>
      <c r="V151" t="n">
        <v>1931816696.93</v>
      </c>
      <c r="W151" t="n">
        <v>300841</v>
      </c>
      <c r="X151" t="inlineStr">
        <is>
          <t>自营权益4（深港）</t>
        </is>
      </c>
      <c r="Y151" t="n">
        <v>1300000</v>
      </c>
      <c r="Z151" t="n">
        <v>5.21</v>
      </c>
      <c r="AA151" t="n">
        <v>5.09</v>
      </c>
      <c r="AB151" t="n">
        <v>2</v>
      </c>
      <c r="AC151" t="inlineStr">
        <is>
          <t>周啸宇</t>
        </is>
      </c>
      <c r="AD151" t="inlineStr">
        <is>
          <t>股票资产</t>
        </is>
      </c>
      <c r="AE151" t="n">
        <v>1.5595</v>
      </c>
      <c r="AF151" t="n">
        <v>0.3486</v>
      </c>
      <c r="AG151" t="n">
        <v>-0.3079</v>
      </c>
      <c r="AH151" t="n">
        <v>1300000</v>
      </c>
      <c r="AI151" t="n">
        <v>53</v>
      </c>
      <c r="AJ151" t="inlineStr">
        <is>
          <t>自营权益4（深港）</t>
        </is>
      </c>
      <c r="AK151" t="inlineStr">
        <is>
          <t>人民币</t>
        </is>
      </c>
      <c r="AL151" t="n">
        <v>6111</v>
      </c>
      <c r="AM151" t="n">
        <v/>
      </c>
      <c r="AN151" t="n">
        <v>30084</v>
      </c>
      <c r="AO151" t="n">
        <v/>
      </c>
      <c r="AP151" t="inlineStr">
        <is>
          <t>顾吟湫</t>
        </is>
      </c>
      <c r="AQ151" t="inlineStr">
        <is>
          <t>人民币</t>
        </is>
      </c>
      <c r="AR151" t="n">
        <v>5828411.65</v>
      </c>
      <c r="AS151" t="n">
        <v/>
      </c>
      <c r="AT151" t="n">
        <v/>
      </c>
      <c r="AU151" t="n">
        <v/>
      </c>
      <c r="AV151" t="n">
        <v/>
      </c>
      <c r="AW151" t="inlineStr">
        <is>
          <t>CNE1000001Z5</t>
        </is>
      </c>
      <c r="AX151" t="inlineStr">
        <is>
          <t>无</t>
        </is>
      </c>
      <c r="AY151" t="inlineStr">
        <is>
          <t xml:space="preserve"> </t>
        </is>
      </c>
      <c r="AZ151" t="inlineStr">
        <is>
          <t xml:space="preserve"> </t>
        </is>
      </c>
      <c r="BA151" t="n">
        <v>3.3228</v>
      </c>
      <c r="BB151" t="n">
        <v>0</v>
      </c>
      <c r="BC151" t="inlineStr">
        <is>
          <t>缺省券商</t>
        </is>
      </c>
      <c r="BD151" t="inlineStr">
        <is>
          <t>交易所业务</t>
        </is>
      </c>
      <c r="BE151" t="inlineStr">
        <is>
          <t>不是ETF补券指令</t>
        </is>
      </c>
      <c r="BF151" t="inlineStr">
        <is>
          <t>6,734,000.00</t>
        </is>
      </c>
      <c r="BG151" t="n">
        <v>0</v>
      </c>
      <c r="BH151" t="inlineStr">
        <is>
          <t>非强平</t>
        </is>
      </c>
      <c r="BI151" t="inlineStr">
        <is>
          <t>顾吟湫</t>
        </is>
      </c>
      <c r="BJ151" t="inlineStr">
        <is>
          <t>否</t>
        </is>
      </c>
      <c r="BK151" t="inlineStr">
        <is>
          <t>增强限价盘</t>
        </is>
      </c>
      <c r="BL151" t="n">
        <v/>
      </c>
      <c r="BM151" t="n">
        <v>0</v>
      </c>
      <c r="BN151" t="n">
        <v>0</v>
      </c>
      <c r="BO151" t="inlineStr">
        <is>
          <t>股票</t>
        </is>
      </c>
      <c r="BP151" t="n">
        <v/>
      </c>
      <c r="BQ151" t="n">
        <v/>
      </c>
      <c r="BR151" t="n">
        <v>0</v>
      </c>
      <c r="BS151" t="inlineStr">
        <is>
          <t>已成交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股票代码</t>
        </is>
      </c>
      <c r="B1" s="3" t="inlineStr">
        <is>
          <t>股票名称</t>
        </is>
      </c>
      <c r="C1" s="3" t="inlineStr">
        <is>
          <t>数量</t>
        </is>
      </c>
      <c r="D1" s="3" t="inlineStr">
        <is>
          <t>成本</t>
        </is>
      </c>
      <c r="E1" s="3" t="inlineStr">
        <is>
          <t>市价</t>
        </is>
      </c>
      <c r="F1" s="3" t="inlineStr">
        <is>
          <t>市值</t>
        </is>
      </c>
      <c r="G1" s="3" t="inlineStr">
        <is>
          <t>账户名称</t>
        </is>
      </c>
    </row>
    <row r="2">
      <c r="A2" t="n">
        <v>600036</v>
      </c>
      <c r="B2" t="inlineStr">
        <is>
          <t>招商银行</t>
        </is>
      </c>
      <c r="C2" t="n">
        <v>150000</v>
      </c>
      <c r="D2" t="n">
        <v>6307325.23</v>
      </c>
      <c r="E2" t="n">
        <v>42.1</v>
      </c>
      <c r="F2" t="n">
        <v>6315000</v>
      </c>
      <c r="G2" t="inlineStr">
        <is>
          <t>自营权益4</t>
        </is>
      </c>
    </row>
    <row r="3">
      <c r="A3" t="n">
        <v>600519</v>
      </c>
      <c r="B3" t="inlineStr">
        <is>
          <t>贵州茅台</t>
        </is>
      </c>
      <c r="C3" t="n">
        <v>100</v>
      </c>
      <c r="D3" t="n">
        <v>148310.9</v>
      </c>
      <c r="E3" t="n">
        <v>1377.18</v>
      </c>
      <c r="F3" t="n">
        <v>137718</v>
      </c>
      <c r="G3" t="inlineStr">
        <is>
          <t>自营权益4</t>
        </is>
      </c>
    </row>
    <row r="4">
      <c r="A4" t="n">
        <v>600809</v>
      </c>
      <c r="B4" t="inlineStr">
        <is>
          <t>山西汾酒</t>
        </is>
      </c>
      <c r="C4" t="n">
        <v>16000</v>
      </c>
      <c r="D4" t="n">
        <v>2869126.87</v>
      </c>
      <c r="E4" t="n">
        <v>171.7</v>
      </c>
      <c r="F4" t="n">
        <v>2747200</v>
      </c>
      <c r="G4" t="inlineStr">
        <is>
          <t>自营权益4</t>
        </is>
      </c>
    </row>
    <row r="5">
      <c r="A5" t="n">
        <v>601009</v>
      </c>
      <c r="B5" t="inlineStr">
        <is>
          <t>南京银行</t>
        </is>
      </c>
      <c r="C5" t="n">
        <v>300000</v>
      </c>
      <c r="D5" t="n">
        <v>3332290.45</v>
      </c>
      <c r="E5" t="n">
        <v>11.43</v>
      </c>
      <c r="F5" t="n">
        <v>3429000</v>
      </c>
      <c r="G5" t="inlineStr">
        <is>
          <t>自营权益4</t>
        </is>
      </c>
    </row>
    <row r="6">
      <c r="A6" t="n">
        <v>601098</v>
      </c>
      <c r="B6" t="inlineStr">
        <is>
          <t>中南传媒</t>
        </is>
      </c>
      <c r="C6" t="n">
        <v>300000</v>
      </c>
      <c r="D6" t="n">
        <v>3912034.05</v>
      </c>
      <c r="E6" t="n">
        <v>11.26</v>
      </c>
      <c r="F6" t="n">
        <v>3378000</v>
      </c>
      <c r="G6" t="inlineStr">
        <is>
          <t>自营权益4</t>
        </is>
      </c>
    </row>
    <row r="7">
      <c r="A7" t="n">
        <v>601166</v>
      </c>
      <c r="B7" t="inlineStr">
        <is>
          <t>兴业银行</t>
        </is>
      </c>
      <c r="C7" t="n">
        <v>300000</v>
      </c>
      <c r="D7" t="n">
        <v>6347906.6</v>
      </c>
      <c r="E7" t="n">
        <v>21.06</v>
      </c>
      <c r="F7" t="n">
        <v>6318000</v>
      </c>
      <c r="G7" t="inlineStr">
        <is>
          <t>自营权益4</t>
        </is>
      </c>
    </row>
    <row r="8">
      <c r="A8" t="n">
        <v>601169</v>
      </c>
      <c r="B8" t="inlineStr">
        <is>
          <t>北京银行</t>
        </is>
      </c>
      <c r="C8" t="n">
        <v>1500000</v>
      </c>
      <c r="D8" t="n">
        <v>8791842.59</v>
      </c>
      <c r="E8" t="n">
        <v>5.48</v>
      </c>
      <c r="F8" t="n">
        <v>8220000</v>
      </c>
      <c r="G8" t="inlineStr">
        <is>
          <t>自营权益4</t>
        </is>
      </c>
    </row>
    <row r="9">
      <c r="A9" t="n">
        <v>601818</v>
      </c>
      <c r="B9" t="inlineStr">
        <is>
          <t>光大银行</t>
        </is>
      </c>
      <c r="C9" t="n">
        <v>2700000</v>
      </c>
      <c r="D9" t="n">
        <v>9766819.939999999</v>
      </c>
      <c r="E9" t="n">
        <v>3.49</v>
      </c>
      <c r="F9" t="n">
        <v>9423000</v>
      </c>
      <c r="G9" t="inlineStr">
        <is>
          <t>自营权益4</t>
        </is>
      </c>
    </row>
    <row r="10">
      <c r="A10" t="n">
        <v>601900</v>
      </c>
      <c r="B10" t="inlineStr">
        <is>
          <t>南方传媒</t>
        </is>
      </c>
      <c r="C10" t="n">
        <v>200000</v>
      </c>
      <c r="D10" t="n">
        <v>3093896.29</v>
      </c>
      <c r="E10" t="n">
        <v>13.41</v>
      </c>
      <c r="F10" t="n">
        <v>2682000</v>
      </c>
      <c r="G10" t="inlineStr">
        <is>
          <t>自营权益4</t>
        </is>
      </c>
    </row>
    <row r="11">
      <c r="A11" t="n">
        <v>603198</v>
      </c>
      <c r="B11" t="inlineStr">
        <is>
          <t>迎驾贡酒</t>
        </is>
      </c>
      <c r="C11" t="n">
        <v>60000</v>
      </c>
      <c r="D11" t="n">
        <v>2637959.9</v>
      </c>
      <c r="E11" t="n">
        <v>39.56</v>
      </c>
      <c r="F11" t="n">
        <v>2373600</v>
      </c>
      <c r="G11" t="inlineStr">
        <is>
          <t>自营权益4</t>
        </is>
      </c>
    </row>
    <row r="12">
      <c r="A12" t="n">
        <v>603369</v>
      </c>
      <c r="B12" t="inlineStr">
        <is>
          <t>今世缘</t>
        </is>
      </c>
      <c r="C12" t="n">
        <v>60000</v>
      </c>
      <c r="D12" t="n">
        <v>2460995.67</v>
      </c>
      <c r="E12" t="n">
        <v>34.78</v>
      </c>
      <c r="F12" t="n">
        <v>2086800</v>
      </c>
      <c r="G12" t="inlineStr">
        <is>
          <t>自营权益4</t>
        </is>
      </c>
    </row>
    <row r="13">
      <c r="A13" t="n">
        <v>1</v>
      </c>
      <c r="B13" t="inlineStr">
        <is>
          <t>平安银行</t>
        </is>
      </c>
      <c r="C13" t="n">
        <v>700000</v>
      </c>
      <c r="D13" t="n">
        <v>8159372.57</v>
      </c>
      <c r="E13" t="n">
        <v>11.41</v>
      </c>
      <c r="F13" t="n">
        <v>7987000</v>
      </c>
      <c r="G13" t="inlineStr">
        <is>
          <t>自营权益4</t>
        </is>
      </c>
    </row>
    <row r="14">
      <c r="A14" t="n">
        <v>568</v>
      </c>
      <c r="B14" t="inlineStr">
        <is>
          <t>泸州老窖</t>
        </is>
      </c>
      <c r="C14" t="n">
        <v>25000</v>
      </c>
      <c r="D14" t="n">
        <v>3043094.93</v>
      </c>
      <c r="E14" t="n">
        <v>116.22</v>
      </c>
      <c r="F14" t="n">
        <v>2905500</v>
      </c>
      <c r="G14" t="inlineStr">
        <is>
          <t>自营权益4</t>
        </is>
      </c>
    </row>
    <row r="15">
      <c r="A15" t="n">
        <v>858</v>
      </c>
      <c r="B15" t="inlineStr">
        <is>
          <t>五 粮 液</t>
        </is>
      </c>
      <c r="C15" t="n">
        <v>20000</v>
      </c>
      <c r="D15" t="n">
        <v>2595968.9</v>
      </c>
      <c r="E15" t="n">
        <v>105.94</v>
      </c>
      <c r="F15" t="n">
        <v>2118800</v>
      </c>
      <c r="G15" t="inlineStr">
        <is>
          <t>自营权益4</t>
        </is>
      </c>
    </row>
    <row r="16">
      <c r="A16" t="n">
        <v>177</v>
      </c>
      <c r="B16" t="inlineStr">
        <is>
          <t>江苏宁沪高速公路</t>
        </is>
      </c>
      <c r="C16" t="n">
        <v>650000</v>
      </c>
      <c r="D16" t="n">
        <v>5863319.29</v>
      </c>
      <c r="E16" t="n">
        <v>8.965026</v>
      </c>
      <c r="F16" t="n">
        <v>5827266.9</v>
      </c>
      <c r="G16" t="inlineStr">
        <is>
          <t>自营权益4</t>
        </is>
      </c>
    </row>
    <row r="17">
      <c r="A17" t="n">
        <v>300</v>
      </c>
      <c r="B17" t="inlineStr">
        <is>
          <t>美的集团</t>
        </is>
      </c>
      <c r="C17" t="n">
        <v>100000</v>
      </c>
      <c r="D17" t="n">
        <v>6933854.89</v>
      </c>
      <c r="E17" t="n">
        <v>76.23412999999999</v>
      </c>
      <c r="F17" t="n">
        <v>7623413</v>
      </c>
      <c r="G17" t="inlineStr">
        <is>
          <t>自营权益4</t>
        </is>
      </c>
    </row>
    <row r="18">
      <c r="A18" t="n">
        <v>322</v>
      </c>
      <c r="B18" t="inlineStr">
        <is>
          <t>康师傅控股</t>
        </is>
      </c>
      <c r="C18" t="n">
        <v>600000</v>
      </c>
      <c r="D18" t="n">
        <v>6343601.17</v>
      </c>
      <c r="E18" t="n">
        <v>10.580346</v>
      </c>
      <c r="F18" t="n">
        <v>6348207.6</v>
      </c>
      <c r="G18" t="inlineStr">
        <is>
          <t>自营权益4</t>
        </is>
      </c>
    </row>
    <row r="19">
      <c r="A19" t="n">
        <v>371</v>
      </c>
      <c r="B19" t="inlineStr">
        <is>
          <t>北控水务集团</t>
        </is>
      </c>
      <c r="C19" t="n">
        <v>2000000</v>
      </c>
      <c r="D19" t="n">
        <v>4522632.09</v>
      </c>
      <c r="E19" t="n">
        <v>2.207604</v>
      </c>
      <c r="F19" t="n">
        <v>4415208</v>
      </c>
      <c r="G19" t="inlineStr">
        <is>
          <t>自营权益4</t>
        </is>
      </c>
    </row>
    <row r="20">
      <c r="A20" t="n">
        <v>576</v>
      </c>
      <c r="B20" t="inlineStr">
        <is>
          <t>浙江沪杭甬</t>
        </is>
      </c>
      <c r="C20" t="n">
        <v>600000</v>
      </c>
      <c r="D20" t="n">
        <v>3539217.35</v>
      </c>
      <c r="E20" t="n">
        <v>6.434358</v>
      </c>
      <c r="F20" t="n">
        <v>3860614.8</v>
      </c>
      <c r="G20" t="inlineStr">
        <is>
          <t>自营权益4</t>
        </is>
      </c>
    </row>
    <row r="21">
      <c r="A21" t="n">
        <v>728</v>
      </c>
      <c r="B21" t="inlineStr">
        <is>
          <t>中国电信</t>
        </is>
      </c>
      <c r="C21" t="n">
        <v>1700000</v>
      </c>
      <c r="D21" t="n">
        <v>8799860.869999999</v>
      </c>
      <c r="E21" t="n">
        <v>4.836986</v>
      </c>
      <c r="F21" t="n">
        <v>8222876.2</v>
      </c>
      <c r="G21" t="inlineStr">
        <is>
          <t>自营权益4</t>
        </is>
      </c>
    </row>
    <row r="22">
      <c r="A22" t="n">
        <v>762</v>
      </c>
      <c r="B22" t="inlineStr">
        <is>
          <t>中国联通</t>
        </is>
      </c>
      <c r="C22" t="n">
        <v>1240000</v>
      </c>
      <c r="D22" t="n">
        <v>9950233.41</v>
      </c>
      <c r="E22" t="n">
        <v>6.981772</v>
      </c>
      <c r="F22" t="n">
        <v>8657397.279999999</v>
      </c>
      <c r="G22" t="inlineStr">
        <is>
          <t>自营权益4</t>
        </is>
      </c>
    </row>
    <row r="23">
      <c r="A23" t="n">
        <v>788</v>
      </c>
      <c r="B23" t="inlineStr">
        <is>
          <t>中国铁塔</t>
        </is>
      </c>
      <c r="C23" t="n">
        <v>200000</v>
      </c>
      <c r="D23" t="n">
        <v>2121426.33</v>
      </c>
      <c r="E23" t="n">
        <v>10.373944</v>
      </c>
      <c r="F23" t="n">
        <v>2074788.8</v>
      </c>
      <c r="G23" t="inlineStr">
        <is>
          <t>自营权益4</t>
        </is>
      </c>
    </row>
    <row r="24">
      <c r="A24" t="n">
        <v>811</v>
      </c>
      <c r="B24" t="inlineStr">
        <is>
          <t>新华文轩</t>
        </is>
      </c>
      <c r="C24" t="n">
        <v>300000</v>
      </c>
      <c r="D24" t="n">
        <v>2971851.84</v>
      </c>
      <c r="E24" t="n">
        <v>9.189375999999999</v>
      </c>
      <c r="F24" t="n">
        <v>2756812.8</v>
      </c>
      <c r="G24" t="inlineStr">
        <is>
          <t>自营权益4</t>
        </is>
      </c>
    </row>
    <row r="25">
      <c r="A25" t="n">
        <v>836</v>
      </c>
      <c r="B25" t="inlineStr">
        <is>
          <t>华润电力</t>
        </is>
      </c>
      <c r="C25" t="n">
        <v>200000</v>
      </c>
      <c r="D25" t="n">
        <v>3339492.34</v>
      </c>
      <c r="E25" t="n">
        <v>15.533994</v>
      </c>
      <c r="F25" t="n">
        <v>3106798.8</v>
      </c>
      <c r="G25" t="inlineStr">
        <is>
          <t>自营权益4</t>
        </is>
      </c>
    </row>
    <row r="26">
      <c r="A26" t="n">
        <v>939</v>
      </c>
      <c r="B26" t="inlineStr">
        <is>
          <t>建设银行</t>
        </is>
      </c>
      <c r="C26" t="n">
        <v>1100000</v>
      </c>
      <c r="D26" t="n">
        <v>7667625.7</v>
      </c>
      <c r="E26" t="n">
        <v>6.901006</v>
      </c>
      <c r="F26" t="n">
        <v>7591106.6</v>
      </c>
      <c r="G26" t="inlineStr">
        <is>
          <t>自营权益4</t>
        </is>
      </c>
    </row>
    <row r="27">
      <c r="A27" t="n">
        <v>941</v>
      </c>
      <c r="B27" t="inlineStr">
        <is>
          <t>中国移动</t>
        </is>
      </c>
      <c r="C27" t="n">
        <v>120000</v>
      </c>
      <c r="D27" t="n">
        <v>9653485.810000001</v>
      </c>
      <c r="E27" t="n">
        <v>73.31758000000001</v>
      </c>
      <c r="F27" t="n">
        <v>8798109.6</v>
      </c>
      <c r="G27" t="inlineStr">
        <is>
          <t>自营权益4</t>
        </is>
      </c>
    </row>
    <row r="28">
      <c r="A28" t="n">
        <v>995</v>
      </c>
      <c r="B28" t="inlineStr">
        <is>
          <t>安徽皖通高速公路</t>
        </is>
      </c>
      <c r="C28" t="n">
        <v>10000</v>
      </c>
      <c r="D28" t="n">
        <v>120619.17</v>
      </c>
      <c r="E28" t="n">
        <v>11.737992</v>
      </c>
      <c r="F28" t="n">
        <v>117379.92</v>
      </c>
      <c r="G28" t="inlineStr">
        <is>
          <t>自营权益4</t>
        </is>
      </c>
    </row>
    <row r="29">
      <c r="A29" t="n">
        <v>998</v>
      </c>
      <c r="B29" t="inlineStr">
        <is>
          <t>中信银行</t>
        </is>
      </c>
      <c r="C29" t="n">
        <v>1300000</v>
      </c>
      <c r="D29" t="n">
        <v>8672908.109999999</v>
      </c>
      <c r="E29" t="n">
        <v>6.227956</v>
      </c>
      <c r="F29" t="n">
        <v>8096342.8</v>
      </c>
      <c r="G29" t="inlineStr">
        <is>
          <t>自营权益4</t>
        </is>
      </c>
    </row>
    <row r="30">
      <c r="A30" t="n">
        <v>1071</v>
      </c>
      <c r="B30" t="inlineStr">
        <is>
          <t>华电国际电力股份</t>
        </is>
      </c>
      <c r="C30" t="n">
        <v>1500000</v>
      </c>
      <c r="D30" t="n">
        <v>6077428.48</v>
      </c>
      <c r="E30" t="n">
        <v>3.652418</v>
      </c>
      <c r="F30" t="n">
        <v>5478627</v>
      </c>
      <c r="G30" t="inlineStr">
        <is>
          <t>自营权益4</t>
        </is>
      </c>
    </row>
    <row r="31">
      <c r="A31" t="n">
        <v>1368</v>
      </c>
      <c r="B31" t="inlineStr">
        <is>
          <t>特步国际</t>
        </is>
      </c>
      <c r="C31" t="n">
        <v>700000</v>
      </c>
      <c r="D31" t="n">
        <v>3687661.29</v>
      </c>
      <c r="E31" t="n">
        <v>4.765194</v>
      </c>
      <c r="F31" t="n">
        <v>3335635.8</v>
      </c>
      <c r="G31" t="inlineStr">
        <is>
          <t>自营权益4</t>
        </is>
      </c>
    </row>
    <row r="32">
      <c r="A32" t="n">
        <v>1398</v>
      </c>
      <c r="B32" t="inlineStr">
        <is>
          <t>工商银行</t>
        </is>
      </c>
      <c r="C32" t="n">
        <v>1700000</v>
      </c>
      <c r="D32" t="n">
        <v>8142918.83</v>
      </c>
      <c r="E32" t="n">
        <v>5.644646</v>
      </c>
      <c r="F32" t="n">
        <v>9595898.199999999</v>
      </c>
      <c r="G32" t="inlineStr">
        <is>
          <t>自营权益4</t>
        </is>
      </c>
    </row>
    <row r="33">
      <c r="A33" t="n">
        <v>2020</v>
      </c>
      <c r="B33" t="inlineStr">
        <is>
          <t>安踏体育</t>
        </is>
      </c>
      <c r="C33" t="n">
        <v>100000</v>
      </c>
      <c r="D33" t="n">
        <v>7587539.92</v>
      </c>
      <c r="E33" t="n">
        <v>72.28557000000001</v>
      </c>
      <c r="F33" t="n">
        <v>7228557</v>
      </c>
      <c r="G33" t="inlineStr">
        <is>
          <t>自营权益4</t>
        </is>
      </c>
    </row>
    <row r="34">
      <c r="A34" t="n">
        <v>2318</v>
      </c>
      <c r="B34" t="inlineStr">
        <is>
          <t>中国平安</t>
        </is>
      </c>
      <c r="C34" t="n">
        <v>120000</v>
      </c>
      <c r="D34" t="n">
        <v>5090446.5</v>
      </c>
      <c r="E34" t="n">
        <v>58.46561</v>
      </c>
      <c r="F34" t="n">
        <v>7015873.2</v>
      </c>
      <c r="G34" t="inlineStr">
        <is>
          <t>自营权益4</t>
        </is>
      </c>
    </row>
    <row r="35">
      <c r="A35" t="n">
        <v>2319</v>
      </c>
      <c r="B35" t="inlineStr">
        <is>
          <t>蒙牛乳业</t>
        </is>
      </c>
      <c r="C35" t="n">
        <v>10000</v>
      </c>
      <c r="D35" t="n">
        <v>167025.5</v>
      </c>
      <c r="E35" t="n">
        <v>13.380234</v>
      </c>
      <c r="F35" t="n">
        <v>133802.34</v>
      </c>
      <c r="G35" t="inlineStr">
        <is>
          <t>自营权益4</t>
        </is>
      </c>
    </row>
    <row r="36">
      <c r="A36" t="n">
        <v>2607</v>
      </c>
      <c r="B36" t="inlineStr">
        <is>
          <t>上海医药</t>
        </is>
      </c>
      <c r="C36" t="n">
        <v>100000</v>
      </c>
      <c r="D36" t="n">
        <v>1153391.73</v>
      </c>
      <c r="E36" t="n">
        <v>10.212412</v>
      </c>
      <c r="F36" t="n">
        <v>1021241.2</v>
      </c>
      <c r="G36" t="inlineStr">
        <is>
          <t>自营权益4</t>
        </is>
      </c>
    </row>
    <row r="37">
      <c r="A37" t="n">
        <v>3328</v>
      </c>
      <c r="B37" t="inlineStr">
        <is>
          <t>交通银行</t>
        </is>
      </c>
      <c r="C37" t="n">
        <v>1400000</v>
      </c>
      <c r="D37" t="n">
        <v>8994109.699999999</v>
      </c>
      <c r="E37" t="n">
        <v>5.78823</v>
      </c>
      <c r="F37" t="n">
        <v>8103522</v>
      </c>
      <c r="G37" t="inlineStr">
        <is>
          <t>自营权益4</t>
        </is>
      </c>
    </row>
    <row r="38">
      <c r="A38" t="n">
        <v>3933</v>
      </c>
      <c r="B38" t="inlineStr">
        <is>
          <t>联邦制药</t>
        </is>
      </c>
      <c r="C38" t="n">
        <v>400000</v>
      </c>
      <c r="D38" t="n">
        <v>4614077.63</v>
      </c>
      <c r="E38" t="n">
        <v>10.400866</v>
      </c>
      <c r="F38" t="n">
        <v>4160346.4</v>
      </c>
      <c r="G38" t="inlineStr">
        <is>
          <t>自营权益4</t>
        </is>
      </c>
    </row>
    <row r="39">
      <c r="A39" t="n">
        <v>3988</v>
      </c>
      <c r="B39" t="inlineStr">
        <is>
          <t>中国银行</t>
        </is>
      </c>
      <c r="C39" t="n">
        <v>2100000</v>
      </c>
      <c r="D39" t="n">
        <v>8936072.810000001</v>
      </c>
      <c r="E39" t="n">
        <v>4.002404</v>
      </c>
      <c r="F39" t="n">
        <v>8405048.4</v>
      </c>
      <c r="G39" t="inlineStr">
        <is>
          <t>自营权益4</t>
        </is>
      </c>
    </row>
    <row r="40">
      <c r="A40" t="n">
        <v>6690</v>
      </c>
      <c r="B40" t="inlineStr">
        <is>
          <t>海尔智家</t>
        </is>
      </c>
      <c r="C40" t="n">
        <v>200000</v>
      </c>
      <c r="D40" t="n">
        <v>4534033.28</v>
      </c>
      <c r="E40" t="n">
        <v>21.788872</v>
      </c>
      <c r="F40" t="n">
        <v>4357774.4</v>
      </c>
      <c r="G40" t="inlineStr">
        <is>
          <t>自营权益4</t>
        </is>
      </c>
    </row>
    <row r="41">
      <c r="A41" t="n">
        <v>6862</v>
      </c>
      <c r="B41" t="inlineStr">
        <is>
          <t>海底捞</t>
        </is>
      </c>
      <c r="C41" t="n">
        <v>400000</v>
      </c>
      <c r="D41" t="n">
        <v>5365768.8</v>
      </c>
      <c r="E41" t="n">
        <v>12.78795</v>
      </c>
      <c r="F41" t="n">
        <v>5115180</v>
      </c>
      <c r="G41" t="inlineStr">
        <is>
          <t>自营权益4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账户名称</t>
        </is>
      </c>
      <c r="B1" s="3" t="inlineStr">
        <is>
          <t>期初资金</t>
        </is>
      </c>
    </row>
    <row r="2">
      <c r="A2" t="inlineStr">
        <is>
          <t>自营权益4</t>
        </is>
      </c>
      <c r="B2" t="n">
        <v>202510600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组合名称样例</t>
        </is>
      </c>
      <c r="B1" s="3" t="inlineStr">
        <is>
          <t>II-a 列</t>
        </is>
      </c>
      <c r="C1" s="3" t="inlineStr">
        <is>
          <t>COUNTIFS 通配</t>
        </is>
      </c>
    </row>
    <row r="2">
      <c r="A2" t="inlineStr">
        <is>
          <t>自营权益4（深港）</t>
        </is>
      </c>
      <c r="B2" t="inlineStr">
        <is>
          <t>深港</t>
        </is>
      </c>
      <c r="C2" t="inlineStr">
        <is>
          <t>*深港*</t>
        </is>
      </c>
    </row>
    <row r="3">
      <c r="A3" t="inlineStr">
        <is>
          <t>自营权益4（场内）</t>
        </is>
      </c>
      <c r="B3" t="inlineStr">
        <is>
          <t>场内</t>
        </is>
      </c>
      <c r="C3" t="inlineStr">
        <is>
          <t>*场内*</t>
        </is>
      </c>
    </row>
    <row r="5">
      <c r="A5" t="inlineStr">
        <is>
          <t>说明</t>
        </is>
      </c>
      <c r="B5" t="inlineStr">
        <is>
          <t>场内/深港 由组合名称关键字判定；股指/基金本样例为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账户名称</t>
        </is>
      </c>
      <c r="B1" s="3" t="inlineStr">
        <is>
          <t>证券代码</t>
        </is>
      </c>
      <c r="C1" s="3" t="inlineStr">
        <is>
          <t>证券名称</t>
        </is>
      </c>
      <c r="D1" s="3" t="inlineStr">
        <is>
          <t>数量</t>
        </is>
      </c>
      <c r="E1" s="3" t="inlineStr">
        <is>
          <t>成本总额(CNY)</t>
        </is>
      </c>
      <c r="F1" s="3" t="inlineStr">
        <is>
          <t>成本单价(CNY)</t>
        </is>
      </c>
      <c r="G1" s="3" t="inlineStr">
        <is>
          <t>市价(CNY)</t>
        </is>
      </c>
      <c r="H1" s="3" t="inlineStr">
        <is>
          <t>市值(CNY)</t>
        </is>
      </c>
      <c r="I1" s="3" t="inlineStr">
        <is>
          <t>叶子投组</t>
        </is>
      </c>
      <c r="J1" s="3" t="inlineStr">
        <is>
          <t>标准代码</t>
        </is>
      </c>
      <c r="K1" s="3" t="inlineStr">
        <is>
          <t>期初折算汇率(HKD/CNY)</t>
        </is>
      </c>
      <c r="L1" s="3" t="inlineStr">
        <is>
          <t>成本单价(原币)</t>
        </is>
      </c>
      <c r="M1" s="3" t="inlineStr">
        <is>
          <t>成本总额(原币)</t>
        </is>
      </c>
    </row>
    <row r="2">
      <c r="A2" t="inlineStr">
        <is>
          <t>自营权益4</t>
        </is>
      </c>
      <c r="B2" t="n">
        <v>600036</v>
      </c>
      <c r="C2" t="inlineStr">
        <is>
          <t>招商银行</t>
        </is>
      </c>
      <c r="D2" t="n">
        <v>150000</v>
      </c>
      <c r="E2" t="n">
        <v>6307325.23</v>
      </c>
      <c r="F2" t="n">
        <v>42.04883486666667</v>
      </c>
      <c r="G2" t="n">
        <v>42.1</v>
      </c>
      <c r="H2" t="n">
        <v>6315000</v>
      </c>
      <c r="I2" t="inlineStr">
        <is>
          <t>场内</t>
        </is>
      </c>
      <c r="J2" t="inlineStr">
        <is>
          <t>600036.SH</t>
        </is>
      </c>
      <c r="K2">
        <f>'FX_RATES_TO_CNY_HIST'!$B$5</f>
        <v/>
      </c>
      <c r="L2">
        <f>IF(I2="深港",IF(K2&gt;0,F2/K2,""),F2)</f>
        <v/>
      </c>
      <c r="M2">
        <f>IF(I2="深港",IF(K2&gt;0,E2/K2,""),E2)</f>
        <v/>
      </c>
    </row>
    <row r="3">
      <c r="A3" t="inlineStr">
        <is>
          <t>自营权益4</t>
        </is>
      </c>
      <c r="B3" t="n">
        <v>600519</v>
      </c>
      <c r="C3" t="inlineStr">
        <is>
          <t>贵州茅台</t>
        </is>
      </c>
      <c r="D3" t="n">
        <v>100</v>
      </c>
      <c r="E3" t="n">
        <v>148310.9</v>
      </c>
      <c r="F3" t="n">
        <v>1483.109</v>
      </c>
      <c r="G3" t="n">
        <v>1377.18</v>
      </c>
      <c r="H3" t="n">
        <v>137718</v>
      </c>
      <c r="I3" t="inlineStr">
        <is>
          <t>场内</t>
        </is>
      </c>
      <c r="J3" t="inlineStr">
        <is>
          <t>600519.SH</t>
        </is>
      </c>
      <c r="K3">
        <f>'FX_RATES_TO_CNY_HIST'!$B$5</f>
        <v/>
      </c>
      <c r="L3">
        <f>IF(I3="深港",IF(K3&gt;0,F3/K3,""),F3)</f>
        <v/>
      </c>
      <c r="M3">
        <f>IF(I3="深港",IF(K3&gt;0,E3/K3,""),E3)</f>
        <v/>
      </c>
    </row>
    <row r="4">
      <c r="A4" t="inlineStr">
        <is>
          <t>自营权益4</t>
        </is>
      </c>
      <c r="B4" t="n">
        <v>600809</v>
      </c>
      <c r="C4" t="inlineStr">
        <is>
          <t>山西汾酒</t>
        </is>
      </c>
      <c r="D4" t="n">
        <v>16000</v>
      </c>
      <c r="E4" t="n">
        <v>2869126.87</v>
      </c>
      <c r="F4" t="n">
        <v>179.320429375</v>
      </c>
      <c r="G4" t="n">
        <v>171.7</v>
      </c>
      <c r="H4" t="n">
        <v>2747200</v>
      </c>
      <c r="I4" t="inlineStr">
        <is>
          <t>场内</t>
        </is>
      </c>
      <c r="J4" t="inlineStr">
        <is>
          <t>600809.SH</t>
        </is>
      </c>
      <c r="K4">
        <f>'FX_RATES_TO_CNY_HIST'!$B$5</f>
        <v/>
      </c>
      <c r="L4">
        <f>IF(I4="深港",IF(K4&gt;0,F4/K4,""),F4)</f>
        <v/>
      </c>
      <c r="M4">
        <f>IF(I4="深港",IF(K4&gt;0,E4/K4,""),E4)</f>
        <v/>
      </c>
    </row>
    <row r="5">
      <c r="A5" t="inlineStr">
        <is>
          <t>自营权益4</t>
        </is>
      </c>
      <c r="B5" t="n">
        <v>601009</v>
      </c>
      <c r="C5" t="inlineStr">
        <is>
          <t>南京银行</t>
        </is>
      </c>
      <c r="D5" t="n">
        <v>300000</v>
      </c>
      <c r="E5" t="n">
        <v>3332290.45</v>
      </c>
      <c r="F5" t="n">
        <v>11.10763483333333</v>
      </c>
      <c r="G5" t="n">
        <v>11.43</v>
      </c>
      <c r="H5" t="n">
        <v>3429000</v>
      </c>
      <c r="I5" t="inlineStr">
        <is>
          <t>场内</t>
        </is>
      </c>
      <c r="J5" t="inlineStr">
        <is>
          <t>601009.SH</t>
        </is>
      </c>
      <c r="K5">
        <f>'FX_RATES_TO_CNY_HIST'!$B$5</f>
        <v/>
      </c>
      <c r="L5">
        <f>IF(I5="深港",IF(K5&gt;0,F5/K5,""),F5)</f>
        <v/>
      </c>
      <c r="M5">
        <f>IF(I5="深港",IF(K5&gt;0,E5/K5,""),E5)</f>
        <v/>
      </c>
    </row>
    <row r="6">
      <c r="A6" t="inlineStr">
        <is>
          <t>自营权益4</t>
        </is>
      </c>
      <c r="B6" t="n">
        <v>601098</v>
      </c>
      <c r="C6" t="inlineStr">
        <is>
          <t>中南传媒</t>
        </is>
      </c>
      <c r="D6" t="n">
        <v>300000</v>
      </c>
      <c r="E6" t="n">
        <v>3912034.05</v>
      </c>
      <c r="F6" t="n">
        <v>13.0401135</v>
      </c>
      <c r="G6" t="n">
        <v>11.26</v>
      </c>
      <c r="H6" t="n">
        <v>3378000</v>
      </c>
      <c r="I6" t="inlineStr">
        <is>
          <t>场内</t>
        </is>
      </c>
      <c r="J6" t="inlineStr">
        <is>
          <t>601098.SH</t>
        </is>
      </c>
      <c r="K6">
        <f>'FX_RATES_TO_CNY_HIST'!$B$5</f>
        <v/>
      </c>
      <c r="L6">
        <f>IF(I6="深港",IF(K6&gt;0,F6/K6,""),F6)</f>
        <v/>
      </c>
      <c r="M6">
        <f>IF(I6="深港",IF(K6&gt;0,E6/K6,""),E6)</f>
        <v/>
      </c>
    </row>
    <row r="7">
      <c r="A7" t="inlineStr">
        <is>
          <t>自营权益4</t>
        </is>
      </c>
      <c r="B7" t="n">
        <v>601166</v>
      </c>
      <c r="C7" t="inlineStr">
        <is>
          <t>兴业银行</t>
        </is>
      </c>
      <c r="D7" t="n">
        <v>300000</v>
      </c>
      <c r="E7" t="n">
        <v>6347906.6</v>
      </c>
      <c r="F7" t="n">
        <v>21.15968866666666</v>
      </c>
      <c r="G7" t="n">
        <v>21.06</v>
      </c>
      <c r="H7" t="n">
        <v>6318000</v>
      </c>
      <c r="I7" t="inlineStr">
        <is>
          <t>场内</t>
        </is>
      </c>
      <c r="J7" t="inlineStr">
        <is>
          <t>601166.SH</t>
        </is>
      </c>
      <c r="K7">
        <f>'FX_RATES_TO_CNY_HIST'!$B$5</f>
        <v/>
      </c>
      <c r="L7">
        <f>IF(I7="深港",IF(K7&gt;0,F7/K7,""),F7)</f>
        <v/>
      </c>
      <c r="M7">
        <f>IF(I7="深港",IF(K7&gt;0,E7/K7,""),E7)</f>
        <v/>
      </c>
    </row>
    <row r="8">
      <c r="A8" t="inlineStr">
        <is>
          <t>自营权益4</t>
        </is>
      </c>
      <c r="B8" t="n">
        <v>601169</v>
      </c>
      <c r="C8" t="inlineStr">
        <is>
          <t>北京银行</t>
        </is>
      </c>
      <c r="D8" t="n">
        <v>1500000</v>
      </c>
      <c r="E8" t="n">
        <v>8791842.59</v>
      </c>
      <c r="F8" t="n">
        <v>5.861228393333334</v>
      </c>
      <c r="G8" t="n">
        <v>5.48</v>
      </c>
      <c r="H8" t="n">
        <v>8220000</v>
      </c>
      <c r="I8" t="inlineStr">
        <is>
          <t>场内</t>
        </is>
      </c>
      <c r="J8" t="inlineStr">
        <is>
          <t>601169.SH</t>
        </is>
      </c>
      <c r="K8">
        <f>'FX_RATES_TO_CNY_HIST'!$B$5</f>
        <v/>
      </c>
      <c r="L8">
        <f>IF(I8="深港",IF(K8&gt;0,F8/K8,""),F8)</f>
        <v/>
      </c>
      <c r="M8">
        <f>IF(I8="深港",IF(K8&gt;0,E8/K8,""),E8)</f>
        <v/>
      </c>
    </row>
    <row r="9">
      <c r="A9" t="inlineStr">
        <is>
          <t>自营权益4</t>
        </is>
      </c>
      <c r="B9" t="n">
        <v>601818</v>
      </c>
      <c r="C9" t="inlineStr">
        <is>
          <t>光大银行</t>
        </is>
      </c>
      <c r="D9" t="n">
        <v>2700000</v>
      </c>
      <c r="E9" t="n">
        <v>9766819.939999999</v>
      </c>
      <c r="F9" t="n">
        <v>3.617340718518518</v>
      </c>
      <c r="G9" t="n">
        <v>3.49</v>
      </c>
      <c r="H9" t="n">
        <v>9423000</v>
      </c>
      <c r="I9" t="inlineStr">
        <is>
          <t>场内</t>
        </is>
      </c>
      <c r="J9" t="inlineStr">
        <is>
          <t>601818.SH</t>
        </is>
      </c>
      <c r="K9">
        <f>'FX_RATES_TO_CNY_HIST'!$B$5</f>
        <v/>
      </c>
      <c r="L9">
        <f>IF(I9="深港",IF(K9&gt;0,F9/K9,""),F9)</f>
        <v/>
      </c>
      <c r="M9">
        <f>IF(I9="深港",IF(K9&gt;0,E9/K9,""),E9)</f>
        <v/>
      </c>
    </row>
    <row r="10">
      <c r="A10" t="inlineStr">
        <is>
          <t>自营权益4</t>
        </is>
      </c>
      <c r="B10" t="n">
        <v>601900</v>
      </c>
      <c r="C10" t="inlineStr">
        <is>
          <t>南方传媒</t>
        </is>
      </c>
      <c r="D10" t="n">
        <v>200000</v>
      </c>
      <c r="E10" t="n">
        <v>3093896.29</v>
      </c>
      <c r="F10" t="n">
        <v>15.46948145</v>
      </c>
      <c r="G10" t="n">
        <v>13.41</v>
      </c>
      <c r="H10" t="n">
        <v>2682000</v>
      </c>
      <c r="I10" t="inlineStr">
        <is>
          <t>场内</t>
        </is>
      </c>
      <c r="J10" t="inlineStr">
        <is>
          <t>601900.SH</t>
        </is>
      </c>
      <c r="K10">
        <f>'FX_RATES_TO_CNY_HIST'!$B$5</f>
        <v/>
      </c>
      <c r="L10">
        <f>IF(I10="深港",IF(K10&gt;0,F10/K10,""),F10)</f>
        <v/>
      </c>
      <c r="M10">
        <f>IF(I10="深港",IF(K10&gt;0,E10/K10,""),E10)</f>
        <v/>
      </c>
    </row>
    <row r="11">
      <c r="A11" t="inlineStr">
        <is>
          <t>自营权益4</t>
        </is>
      </c>
      <c r="B11" t="n">
        <v>603198</v>
      </c>
      <c r="C11" t="inlineStr">
        <is>
          <t>迎驾贡酒</t>
        </is>
      </c>
      <c r="D11" t="n">
        <v>60000</v>
      </c>
      <c r="E11" t="n">
        <v>2637959.9</v>
      </c>
      <c r="F11" t="n">
        <v>43.96599833333333</v>
      </c>
      <c r="G11" t="n">
        <v>39.56</v>
      </c>
      <c r="H11" t="n">
        <v>2373600</v>
      </c>
      <c r="I11" t="inlineStr">
        <is>
          <t>场内</t>
        </is>
      </c>
      <c r="J11" t="inlineStr">
        <is>
          <t>603198.SH</t>
        </is>
      </c>
      <c r="K11">
        <f>'FX_RATES_TO_CNY_HIST'!$B$5</f>
        <v/>
      </c>
      <c r="L11">
        <f>IF(I11="深港",IF(K11&gt;0,F11/K11,""),F11)</f>
        <v/>
      </c>
      <c r="M11">
        <f>IF(I11="深港",IF(K11&gt;0,E11/K11,""),E11)</f>
        <v/>
      </c>
    </row>
    <row r="12">
      <c r="A12" t="inlineStr">
        <is>
          <t>自营权益4</t>
        </is>
      </c>
      <c r="B12" t="n">
        <v>603369</v>
      </c>
      <c r="C12" t="inlineStr">
        <is>
          <t>今世缘</t>
        </is>
      </c>
      <c r="D12" t="n">
        <v>60000</v>
      </c>
      <c r="E12" t="n">
        <v>2460995.67</v>
      </c>
      <c r="F12" t="n">
        <v>41.0165945</v>
      </c>
      <c r="G12" t="n">
        <v>34.78</v>
      </c>
      <c r="H12" t="n">
        <v>2086800</v>
      </c>
      <c r="I12" t="inlineStr">
        <is>
          <t>场内</t>
        </is>
      </c>
      <c r="J12" t="inlineStr">
        <is>
          <t>603369.SH</t>
        </is>
      </c>
      <c r="K12">
        <f>'FX_RATES_TO_CNY_HIST'!$B$5</f>
        <v/>
      </c>
      <c r="L12">
        <f>IF(I12="深港",IF(K12&gt;0,F12/K12,""),F12)</f>
        <v/>
      </c>
      <c r="M12">
        <f>IF(I12="深港",IF(K12&gt;0,E12/K12,""),E12)</f>
        <v/>
      </c>
    </row>
    <row r="13">
      <c r="A13" t="inlineStr">
        <is>
          <t>自营权益4</t>
        </is>
      </c>
      <c r="B13" t="n">
        <v>1</v>
      </c>
      <c r="C13" t="inlineStr">
        <is>
          <t>平安银行</t>
        </is>
      </c>
      <c r="D13" t="n">
        <v>700000</v>
      </c>
      <c r="E13" t="n">
        <v>8159372.57</v>
      </c>
      <c r="F13" t="n">
        <v>11.65624652857143</v>
      </c>
      <c r="G13" t="n">
        <v>11.41</v>
      </c>
      <c r="H13" t="n">
        <v>7987000</v>
      </c>
      <c r="I13" t="inlineStr">
        <is>
          <t>场内</t>
        </is>
      </c>
      <c r="J13" t="inlineStr">
        <is>
          <t>000001.SZ</t>
        </is>
      </c>
      <c r="K13">
        <f>'FX_RATES_TO_CNY_HIST'!$B$5</f>
        <v/>
      </c>
      <c r="L13">
        <f>IF(I13="深港",IF(K13&gt;0,F13/K13,""),F13)</f>
        <v/>
      </c>
      <c r="M13">
        <f>IF(I13="深港",IF(K13&gt;0,E13/K13,""),E13)</f>
        <v/>
      </c>
    </row>
    <row r="14">
      <c r="A14" t="inlineStr">
        <is>
          <t>自营权益4</t>
        </is>
      </c>
      <c r="B14" t="n">
        <v>568</v>
      </c>
      <c r="C14" t="inlineStr">
        <is>
          <t>泸州老窖</t>
        </is>
      </c>
      <c r="D14" t="n">
        <v>25000</v>
      </c>
      <c r="E14" t="n">
        <v>3043094.93</v>
      </c>
      <c r="F14" t="n">
        <v>121.7237972</v>
      </c>
      <c r="G14" t="n">
        <v>116.22</v>
      </c>
      <c r="H14" t="n">
        <v>2905500</v>
      </c>
      <c r="I14" t="inlineStr">
        <is>
          <t>场内</t>
        </is>
      </c>
      <c r="J14" t="inlineStr">
        <is>
          <t>000568.SZ</t>
        </is>
      </c>
      <c r="K14">
        <f>'FX_RATES_TO_CNY_HIST'!$B$5</f>
        <v/>
      </c>
      <c r="L14">
        <f>IF(I14="深港",IF(K14&gt;0,F14/K14,""),F14)</f>
        <v/>
      </c>
      <c r="M14">
        <f>IF(I14="深港",IF(K14&gt;0,E14/K14,""),E14)</f>
        <v/>
      </c>
    </row>
    <row r="15">
      <c r="A15" t="inlineStr">
        <is>
          <t>自营权益4</t>
        </is>
      </c>
      <c r="B15" t="n">
        <v>858</v>
      </c>
      <c r="C15" t="inlineStr">
        <is>
          <t>五 粮 液</t>
        </is>
      </c>
      <c r="D15" t="n">
        <v>20000</v>
      </c>
      <c r="E15" t="n">
        <v>2595968.9</v>
      </c>
      <c r="F15" t="n">
        <v>129.798445</v>
      </c>
      <c r="G15" t="n">
        <v>105.94</v>
      </c>
      <c r="H15" t="n">
        <v>2118800</v>
      </c>
      <c r="I15" t="inlineStr">
        <is>
          <t>场内</t>
        </is>
      </c>
      <c r="J15" t="inlineStr">
        <is>
          <t>000858.SZ</t>
        </is>
      </c>
      <c r="K15">
        <f>'FX_RATES_TO_CNY_HIST'!$B$5</f>
        <v/>
      </c>
      <c r="L15">
        <f>IF(I15="深港",IF(K15&gt;0,F15/K15,""),F15)</f>
        <v/>
      </c>
      <c r="M15">
        <f>IF(I15="深港",IF(K15&gt;0,E15/K15,""),E15)</f>
        <v/>
      </c>
    </row>
    <row r="16">
      <c r="A16" t="inlineStr">
        <is>
          <t>自营权益4</t>
        </is>
      </c>
      <c r="B16" t="n">
        <v>177</v>
      </c>
      <c r="C16" t="inlineStr">
        <is>
          <t>江苏宁沪高速公路</t>
        </is>
      </c>
      <c r="D16" t="n">
        <v>650000</v>
      </c>
      <c r="E16" t="n">
        <v>5863319.29</v>
      </c>
      <c r="F16" t="n">
        <v>9.020491215384615</v>
      </c>
      <c r="G16" t="n">
        <v>8.965026</v>
      </c>
      <c r="H16" t="n">
        <v>5827266.9</v>
      </c>
      <c r="I16" t="inlineStr">
        <is>
          <t>深港</t>
        </is>
      </c>
      <c r="J16" t="inlineStr">
        <is>
          <t>0177.HK</t>
        </is>
      </c>
      <c r="K16">
        <f>'FX_RATES_TO_CNY_HIST'!$B$5</f>
        <v/>
      </c>
      <c r="L16">
        <f>IF(I16="深港",IF(K16&gt;0,F16/K16,""),F16)</f>
        <v/>
      </c>
      <c r="M16">
        <f>IF(I16="深港",IF(K16&gt;0,E16/K16,""),E16)</f>
        <v/>
      </c>
    </row>
    <row r="17">
      <c r="A17" t="inlineStr">
        <is>
          <t>自营权益4</t>
        </is>
      </c>
      <c r="B17" t="n">
        <v>300</v>
      </c>
      <c r="C17" t="inlineStr">
        <is>
          <t>美的集团</t>
        </is>
      </c>
      <c r="D17" t="n">
        <v>100000</v>
      </c>
      <c r="E17" t="n">
        <v>6933854.89</v>
      </c>
      <c r="F17" t="n">
        <v>69.33854889999999</v>
      </c>
      <c r="G17" t="n">
        <v>76.23412999999999</v>
      </c>
      <c r="H17" t="n">
        <v>7623413</v>
      </c>
      <c r="I17" t="inlineStr">
        <is>
          <t>深港</t>
        </is>
      </c>
      <c r="J17" t="inlineStr">
        <is>
          <t>0300.HK</t>
        </is>
      </c>
      <c r="K17">
        <f>'FX_RATES_TO_CNY_HIST'!$B$5</f>
        <v/>
      </c>
      <c r="L17">
        <f>IF(I17="深港",IF(K17&gt;0,F17/K17,""),F17)</f>
        <v/>
      </c>
      <c r="M17">
        <f>IF(I17="深港",IF(K17&gt;0,E17/K17,""),E17)</f>
        <v/>
      </c>
    </row>
    <row r="18">
      <c r="A18" t="inlineStr">
        <is>
          <t>自营权益4</t>
        </is>
      </c>
      <c r="B18" t="n">
        <v>322</v>
      </c>
      <c r="C18" t="inlineStr">
        <is>
          <t>康师傅控股</t>
        </is>
      </c>
      <c r="D18" t="n">
        <v>600000</v>
      </c>
      <c r="E18" t="n">
        <v>6343601.17</v>
      </c>
      <c r="F18" t="n">
        <v>10.57266861666667</v>
      </c>
      <c r="G18" t="n">
        <v>10.580346</v>
      </c>
      <c r="H18" t="n">
        <v>6348207.6</v>
      </c>
      <c r="I18" t="inlineStr">
        <is>
          <t>深港</t>
        </is>
      </c>
      <c r="J18" t="inlineStr">
        <is>
          <t>0322.HK</t>
        </is>
      </c>
      <c r="K18">
        <f>'FX_RATES_TO_CNY_HIST'!$B$5</f>
        <v/>
      </c>
      <c r="L18">
        <f>IF(I18="深港",IF(K18&gt;0,F18/K18,""),F18)</f>
        <v/>
      </c>
      <c r="M18">
        <f>IF(I18="深港",IF(K18&gt;0,E18/K18,""),E18)</f>
        <v/>
      </c>
    </row>
    <row r="19">
      <c r="A19" t="inlineStr">
        <is>
          <t>自营权益4</t>
        </is>
      </c>
      <c r="B19" t="n">
        <v>371</v>
      </c>
      <c r="C19" t="inlineStr">
        <is>
          <t>北控水务集团</t>
        </is>
      </c>
      <c r="D19" t="n">
        <v>2000000</v>
      </c>
      <c r="E19" t="n">
        <v>4522632.09</v>
      </c>
      <c r="F19" t="n">
        <v>2.261316045</v>
      </c>
      <c r="G19" t="n">
        <v>2.207604</v>
      </c>
      <c r="H19" t="n">
        <v>4415208</v>
      </c>
      <c r="I19" t="inlineStr">
        <is>
          <t>深港</t>
        </is>
      </c>
      <c r="J19" t="inlineStr">
        <is>
          <t>0371.HK</t>
        </is>
      </c>
      <c r="K19">
        <f>'FX_RATES_TO_CNY_HIST'!$B$5</f>
        <v/>
      </c>
      <c r="L19">
        <f>IF(I19="深港",IF(K19&gt;0,F19/K19,""),F19)</f>
        <v/>
      </c>
      <c r="M19">
        <f>IF(I19="深港",IF(K19&gt;0,E19/K19,""),E19)</f>
        <v/>
      </c>
    </row>
    <row r="20">
      <c r="A20" t="inlineStr">
        <is>
          <t>自营权益4</t>
        </is>
      </c>
      <c r="B20" t="n">
        <v>576</v>
      </c>
      <c r="C20" t="inlineStr">
        <is>
          <t>浙江沪杭甬</t>
        </is>
      </c>
      <c r="D20" t="n">
        <v>600000</v>
      </c>
      <c r="E20" t="n">
        <v>3539217.35</v>
      </c>
      <c r="F20" t="n">
        <v>5.898695583333334</v>
      </c>
      <c r="G20" t="n">
        <v>6.434358</v>
      </c>
      <c r="H20" t="n">
        <v>3860614.8</v>
      </c>
      <c r="I20" t="inlineStr">
        <is>
          <t>深港</t>
        </is>
      </c>
      <c r="J20" t="inlineStr">
        <is>
          <t>0576.HK</t>
        </is>
      </c>
      <c r="K20">
        <f>'FX_RATES_TO_CNY_HIST'!$B$5</f>
        <v/>
      </c>
      <c r="L20">
        <f>IF(I20="深港",IF(K20&gt;0,F20/K20,""),F20)</f>
        <v/>
      </c>
      <c r="M20">
        <f>IF(I20="深港",IF(K20&gt;0,E20/K20,""),E20)</f>
        <v/>
      </c>
    </row>
    <row r="21">
      <c r="A21" t="inlineStr">
        <is>
          <t>自营权益4</t>
        </is>
      </c>
      <c r="B21" t="n">
        <v>728</v>
      </c>
      <c r="C21" t="inlineStr">
        <is>
          <t>中国电信</t>
        </is>
      </c>
      <c r="D21" t="n">
        <v>1700000</v>
      </c>
      <c r="E21" t="n">
        <v>8799860.869999999</v>
      </c>
      <c r="F21" t="n">
        <v>5.176388747058823</v>
      </c>
      <c r="G21" t="n">
        <v>4.836986</v>
      </c>
      <c r="H21" t="n">
        <v>8222876.2</v>
      </c>
      <c r="I21" t="inlineStr">
        <is>
          <t>深港</t>
        </is>
      </c>
      <c r="J21" t="inlineStr">
        <is>
          <t>0728.HK</t>
        </is>
      </c>
      <c r="K21">
        <f>'FX_RATES_TO_CNY_HIST'!$B$5</f>
        <v/>
      </c>
      <c r="L21">
        <f>IF(I21="深港",IF(K21&gt;0,F21/K21,""),F21)</f>
        <v/>
      </c>
      <c r="M21">
        <f>IF(I21="深港",IF(K21&gt;0,E21/K21,""),E21)</f>
        <v/>
      </c>
    </row>
    <row r="22">
      <c r="A22" t="inlineStr">
        <is>
          <t>自营权益4</t>
        </is>
      </c>
      <c r="B22" t="n">
        <v>762</v>
      </c>
      <c r="C22" t="inlineStr">
        <is>
          <t>中国联通</t>
        </is>
      </c>
      <c r="D22" t="n">
        <v>1240000</v>
      </c>
      <c r="E22" t="n">
        <v>9950233.41</v>
      </c>
      <c r="F22" t="n">
        <v>8.024381782258065</v>
      </c>
      <c r="G22" t="n">
        <v>6.981772</v>
      </c>
      <c r="H22" t="n">
        <v>8657397.279999999</v>
      </c>
      <c r="I22" t="inlineStr">
        <is>
          <t>深港</t>
        </is>
      </c>
      <c r="J22" t="inlineStr">
        <is>
          <t>0762.HK</t>
        </is>
      </c>
      <c r="K22">
        <f>'FX_RATES_TO_CNY_HIST'!$B$5</f>
        <v/>
      </c>
      <c r="L22">
        <f>IF(I22="深港",IF(K22&gt;0,F22/K22,""),F22)</f>
        <v/>
      </c>
      <c r="M22">
        <f>IF(I22="深港",IF(K22&gt;0,E22/K22,""),E22)</f>
        <v/>
      </c>
    </row>
    <row r="23">
      <c r="A23" t="inlineStr">
        <is>
          <t>自营权益4</t>
        </is>
      </c>
      <c r="B23" t="n">
        <v>788</v>
      </c>
      <c r="C23" t="inlineStr">
        <is>
          <t>中国铁塔</t>
        </is>
      </c>
      <c r="D23" t="n">
        <v>200000</v>
      </c>
      <c r="E23" t="n">
        <v>2121426.33</v>
      </c>
      <c r="F23" t="n">
        <v>10.60713165</v>
      </c>
      <c r="G23" t="n">
        <v>10.373944</v>
      </c>
      <c r="H23" t="n">
        <v>2074788.8</v>
      </c>
      <c r="I23" t="inlineStr">
        <is>
          <t>深港</t>
        </is>
      </c>
      <c r="J23" t="inlineStr">
        <is>
          <t>0788.HK</t>
        </is>
      </c>
      <c r="K23">
        <f>'FX_RATES_TO_CNY_HIST'!$B$5</f>
        <v/>
      </c>
      <c r="L23">
        <f>IF(I23="深港",IF(K23&gt;0,F23/K23,""),F23)</f>
        <v/>
      </c>
      <c r="M23">
        <f>IF(I23="深港",IF(K23&gt;0,E23/K23,""),E23)</f>
        <v/>
      </c>
    </row>
    <row r="24">
      <c r="A24" t="inlineStr">
        <is>
          <t>自营权益4</t>
        </is>
      </c>
      <c r="B24" t="n">
        <v>811</v>
      </c>
      <c r="C24" t="inlineStr">
        <is>
          <t>新华文轩</t>
        </is>
      </c>
      <c r="D24" t="n">
        <v>300000</v>
      </c>
      <c r="E24" t="n">
        <v>2971851.84</v>
      </c>
      <c r="F24" t="n">
        <v>9.9061728</v>
      </c>
      <c r="G24" t="n">
        <v>9.189375999999999</v>
      </c>
      <c r="H24" t="n">
        <v>2756812.8</v>
      </c>
      <c r="I24" t="inlineStr">
        <is>
          <t>深港</t>
        </is>
      </c>
      <c r="J24" t="inlineStr">
        <is>
          <t>0811.HK</t>
        </is>
      </c>
      <c r="K24">
        <f>'FX_RATES_TO_CNY_HIST'!$B$5</f>
        <v/>
      </c>
      <c r="L24">
        <f>IF(I24="深港",IF(K24&gt;0,F24/K24,""),F24)</f>
        <v/>
      </c>
      <c r="M24">
        <f>IF(I24="深港",IF(K24&gt;0,E24/K24,""),E24)</f>
        <v/>
      </c>
    </row>
    <row r="25">
      <c r="A25" t="inlineStr">
        <is>
          <t>自营权益4</t>
        </is>
      </c>
      <c r="B25" t="n">
        <v>836</v>
      </c>
      <c r="C25" t="inlineStr">
        <is>
          <t>华润电力</t>
        </is>
      </c>
      <c r="D25" t="n">
        <v>200000</v>
      </c>
      <c r="E25" t="n">
        <v>3339492.34</v>
      </c>
      <c r="F25" t="n">
        <v>16.6974617</v>
      </c>
      <c r="G25" t="n">
        <v>15.533994</v>
      </c>
      <c r="H25" t="n">
        <v>3106798.8</v>
      </c>
      <c r="I25" t="inlineStr">
        <is>
          <t>深港</t>
        </is>
      </c>
      <c r="J25" t="inlineStr">
        <is>
          <t>0836.HK</t>
        </is>
      </c>
      <c r="K25">
        <f>'FX_RATES_TO_CNY_HIST'!$B$5</f>
        <v/>
      </c>
      <c r="L25">
        <f>IF(I25="深港",IF(K25&gt;0,F25/K25,""),F25)</f>
        <v/>
      </c>
      <c r="M25">
        <f>IF(I25="深港",IF(K25&gt;0,E25/K25,""),E25)</f>
        <v/>
      </c>
    </row>
    <row r="26">
      <c r="A26" t="inlineStr">
        <is>
          <t>自营权益4</t>
        </is>
      </c>
      <c r="B26" t="n">
        <v>939</v>
      </c>
      <c r="C26" t="inlineStr">
        <is>
          <t>建设银行</t>
        </is>
      </c>
      <c r="D26" t="n">
        <v>1100000</v>
      </c>
      <c r="E26" t="n">
        <v>7667625.7</v>
      </c>
      <c r="F26" t="n">
        <v>6.970568818181818</v>
      </c>
      <c r="G26" t="n">
        <v>6.901006</v>
      </c>
      <c r="H26" t="n">
        <v>7591106.6</v>
      </c>
      <c r="I26" t="inlineStr">
        <is>
          <t>深港</t>
        </is>
      </c>
      <c r="J26" t="inlineStr">
        <is>
          <t>0939.HK</t>
        </is>
      </c>
      <c r="K26">
        <f>'FX_RATES_TO_CNY_HIST'!$B$5</f>
        <v/>
      </c>
      <c r="L26">
        <f>IF(I26="深港",IF(K26&gt;0,F26/K26,""),F26)</f>
        <v/>
      </c>
      <c r="M26">
        <f>IF(I26="深港",IF(K26&gt;0,E26/K26,""),E26)</f>
        <v/>
      </c>
    </row>
    <row r="27">
      <c r="A27" t="inlineStr">
        <is>
          <t>自营权益4</t>
        </is>
      </c>
      <c r="B27" t="n">
        <v>941</v>
      </c>
      <c r="C27" t="inlineStr">
        <is>
          <t>中国移动</t>
        </is>
      </c>
      <c r="D27" t="n">
        <v>120000</v>
      </c>
      <c r="E27" t="n">
        <v>9653485.810000001</v>
      </c>
      <c r="F27" t="n">
        <v>80.44571508333334</v>
      </c>
      <c r="G27" t="n">
        <v>73.31758000000001</v>
      </c>
      <c r="H27" t="n">
        <v>8798109.6</v>
      </c>
      <c r="I27" t="inlineStr">
        <is>
          <t>深港</t>
        </is>
      </c>
      <c r="J27" t="inlineStr">
        <is>
          <t>0941.HK</t>
        </is>
      </c>
      <c r="K27">
        <f>'FX_RATES_TO_CNY_HIST'!$B$5</f>
        <v/>
      </c>
      <c r="L27">
        <f>IF(I27="深港",IF(K27&gt;0,F27/K27,""),F27)</f>
        <v/>
      </c>
      <c r="M27">
        <f>IF(I27="深港",IF(K27&gt;0,E27/K27,""),E27)</f>
        <v/>
      </c>
    </row>
    <row r="28">
      <c r="A28" t="inlineStr">
        <is>
          <t>自营权益4</t>
        </is>
      </c>
      <c r="B28" t="n">
        <v>995</v>
      </c>
      <c r="C28" t="inlineStr">
        <is>
          <t>安徽皖通高速公路</t>
        </is>
      </c>
      <c r="D28" t="n">
        <v>10000</v>
      </c>
      <c r="E28" t="n">
        <v>120619.17</v>
      </c>
      <c r="F28" t="n">
        <v>12.061917</v>
      </c>
      <c r="G28" t="n">
        <v>11.737992</v>
      </c>
      <c r="H28" t="n">
        <v>117379.92</v>
      </c>
      <c r="I28" t="inlineStr">
        <is>
          <t>深港</t>
        </is>
      </c>
      <c r="J28" t="inlineStr">
        <is>
          <t>0995.HK</t>
        </is>
      </c>
      <c r="K28">
        <f>'FX_RATES_TO_CNY_HIST'!$B$5</f>
        <v/>
      </c>
      <c r="L28">
        <f>IF(I28="深港",IF(K28&gt;0,F28/K28,""),F28)</f>
        <v/>
      </c>
      <c r="M28">
        <f>IF(I28="深港",IF(K28&gt;0,E28/K28,""),E28)</f>
        <v/>
      </c>
    </row>
    <row r="29">
      <c r="A29" t="inlineStr">
        <is>
          <t>自营权益4</t>
        </is>
      </c>
      <c r="B29" t="n">
        <v>998</v>
      </c>
      <c r="C29" t="inlineStr">
        <is>
          <t>中信银行</t>
        </is>
      </c>
      <c r="D29" t="n">
        <v>1300000</v>
      </c>
      <c r="E29" t="n">
        <v>8672908.109999999</v>
      </c>
      <c r="F29" t="n">
        <v>6.671467776923077</v>
      </c>
      <c r="G29" t="n">
        <v>6.227956</v>
      </c>
      <c r="H29" t="n">
        <v>8096342.8</v>
      </c>
      <c r="I29" t="inlineStr">
        <is>
          <t>深港</t>
        </is>
      </c>
      <c r="J29" t="inlineStr">
        <is>
          <t>0998.HK</t>
        </is>
      </c>
      <c r="K29">
        <f>'FX_RATES_TO_CNY_HIST'!$B$5</f>
        <v/>
      </c>
      <c r="L29">
        <f>IF(I29="深港",IF(K29&gt;0,F29/K29,""),F29)</f>
        <v/>
      </c>
      <c r="M29">
        <f>IF(I29="深港",IF(K29&gt;0,E29/K29,""),E29)</f>
        <v/>
      </c>
    </row>
    <row r="30">
      <c r="A30" t="inlineStr">
        <is>
          <t>自营权益4</t>
        </is>
      </c>
      <c r="B30" t="n">
        <v>1071</v>
      </c>
      <c r="C30" t="inlineStr">
        <is>
          <t>华电国际电力股份</t>
        </is>
      </c>
      <c r="D30" t="n">
        <v>1500000</v>
      </c>
      <c r="E30" t="n">
        <v>6077428.48</v>
      </c>
      <c r="F30" t="n">
        <v>4.051618986666667</v>
      </c>
      <c r="G30" t="n">
        <v>3.652418</v>
      </c>
      <c r="H30" t="n">
        <v>5478627</v>
      </c>
      <c r="I30" t="inlineStr">
        <is>
          <t>深港</t>
        </is>
      </c>
      <c r="J30" t="inlineStr">
        <is>
          <t>1071.HK</t>
        </is>
      </c>
      <c r="K30">
        <f>'FX_RATES_TO_CNY_HIST'!$B$5</f>
        <v/>
      </c>
      <c r="L30">
        <f>IF(I30="深港",IF(K30&gt;0,F30/K30,""),F30)</f>
        <v/>
      </c>
      <c r="M30">
        <f>IF(I30="深港",IF(K30&gt;0,E30/K30,""),E30)</f>
        <v/>
      </c>
    </row>
    <row r="31">
      <c r="A31" t="inlineStr">
        <is>
          <t>自营权益4</t>
        </is>
      </c>
      <c r="B31" t="n">
        <v>1368</v>
      </c>
      <c r="C31" t="inlineStr">
        <is>
          <t>特步国际</t>
        </is>
      </c>
      <c r="D31" t="n">
        <v>700000</v>
      </c>
      <c r="E31" t="n">
        <v>3687661.29</v>
      </c>
      <c r="F31" t="n">
        <v>5.268087557142858</v>
      </c>
      <c r="G31" t="n">
        <v>4.765194</v>
      </c>
      <c r="H31" t="n">
        <v>3335635.8</v>
      </c>
      <c r="I31" t="inlineStr">
        <is>
          <t>深港</t>
        </is>
      </c>
      <c r="J31" t="inlineStr">
        <is>
          <t>1368.HK</t>
        </is>
      </c>
      <c r="K31">
        <f>'FX_RATES_TO_CNY_HIST'!$B$5</f>
        <v/>
      </c>
      <c r="L31">
        <f>IF(I31="深港",IF(K31&gt;0,F31/K31,""),F31)</f>
        <v/>
      </c>
      <c r="M31">
        <f>IF(I31="深港",IF(K31&gt;0,E31/K31,""),E31)</f>
        <v/>
      </c>
    </row>
    <row r="32">
      <c r="A32" t="inlineStr">
        <is>
          <t>自营权益4</t>
        </is>
      </c>
      <c r="B32" t="n">
        <v>1398</v>
      </c>
      <c r="C32" t="inlineStr">
        <is>
          <t>工商银行</t>
        </is>
      </c>
      <c r="D32" t="n">
        <v>1700000</v>
      </c>
      <c r="E32" t="n">
        <v>8142918.83</v>
      </c>
      <c r="F32" t="n">
        <v>4.789952252941177</v>
      </c>
      <c r="G32" t="n">
        <v>5.644646</v>
      </c>
      <c r="H32" t="n">
        <v>9595898.199999999</v>
      </c>
      <c r="I32" t="inlineStr">
        <is>
          <t>深港</t>
        </is>
      </c>
      <c r="J32" t="inlineStr">
        <is>
          <t>1398.HK</t>
        </is>
      </c>
      <c r="K32">
        <f>'FX_RATES_TO_CNY_HIST'!$B$5</f>
        <v/>
      </c>
      <c r="L32">
        <f>IF(I32="深港",IF(K32&gt;0,F32/K32,""),F32)</f>
        <v/>
      </c>
      <c r="M32">
        <f>IF(I32="深港",IF(K32&gt;0,E32/K32,""),E32)</f>
        <v/>
      </c>
    </row>
    <row r="33">
      <c r="A33" t="inlineStr">
        <is>
          <t>自营权益4</t>
        </is>
      </c>
      <c r="B33" t="n">
        <v>2020</v>
      </c>
      <c r="C33" t="inlineStr">
        <is>
          <t>安踏体育</t>
        </is>
      </c>
      <c r="D33" t="n">
        <v>100000</v>
      </c>
      <c r="E33" t="n">
        <v>7587539.92</v>
      </c>
      <c r="F33" t="n">
        <v>75.8753992</v>
      </c>
      <c r="G33" t="n">
        <v>72.28557000000001</v>
      </c>
      <c r="H33" t="n">
        <v>7228557</v>
      </c>
      <c r="I33" t="inlineStr">
        <is>
          <t>深港</t>
        </is>
      </c>
      <c r="J33" t="inlineStr">
        <is>
          <t>2020.HK</t>
        </is>
      </c>
      <c r="K33">
        <f>'FX_RATES_TO_CNY_HIST'!$B$5</f>
        <v/>
      </c>
      <c r="L33">
        <f>IF(I33="深港",IF(K33&gt;0,F33/K33,""),F33)</f>
        <v/>
      </c>
      <c r="M33">
        <f>IF(I33="深港",IF(K33&gt;0,E33/K33,""),E33)</f>
        <v/>
      </c>
    </row>
    <row r="34">
      <c r="A34" t="inlineStr">
        <is>
          <t>自营权益4</t>
        </is>
      </c>
      <c r="B34" t="n">
        <v>2318</v>
      </c>
      <c r="C34" t="inlineStr">
        <is>
          <t>中国平安</t>
        </is>
      </c>
      <c r="D34" t="n">
        <v>120000</v>
      </c>
      <c r="E34" t="n">
        <v>5090446.5</v>
      </c>
      <c r="F34" t="n">
        <v>42.4203875</v>
      </c>
      <c r="G34" t="n">
        <v>58.46561</v>
      </c>
      <c r="H34" t="n">
        <v>7015873.2</v>
      </c>
      <c r="I34" t="inlineStr">
        <is>
          <t>深港</t>
        </is>
      </c>
      <c r="J34" t="inlineStr">
        <is>
          <t>2318.HK</t>
        </is>
      </c>
      <c r="K34">
        <f>'FX_RATES_TO_CNY_HIST'!$B$5</f>
        <v/>
      </c>
      <c r="L34">
        <f>IF(I34="深港",IF(K34&gt;0,F34/K34,""),F34)</f>
        <v/>
      </c>
      <c r="M34">
        <f>IF(I34="深港",IF(K34&gt;0,E34/K34,""),E34)</f>
        <v/>
      </c>
    </row>
    <row r="35">
      <c r="A35" t="inlineStr">
        <is>
          <t>自营权益4</t>
        </is>
      </c>
      <c r="B35" t="n">
        <v>2319</v>
      </c>
      <c r="C35" t="inlineStr">
        <is>
          <t>蒙牛乳业</t>
        </is>
      </c>
      <c r="D35" t="n">
        <v>10000</v>
      </c>
      <c r="E35" t="n">
        <v>167025.5</v>
      </c>
      <c r="F35" t="n">
        <v>16.70255</v>
      </c>
      <c r="G35" t="n">
        <v>13.380234</v>
      </c>
      <c r="H35" t="n">
        <v>133802.34</v>
      </c>
      <c r="I35" t="inlineStr">
        <is>
          <t>深港</t>
        </is>
      </c>
      <c r="J35" t="inlineStr">
        <is>
          <t>2319.HK</t>
        </is>
      </c>
      <c r="K35">
        <f>'FX_RATES_TO_CNY_HIST'!$B$5</f>
        <v/>
      </c>
      <c r="L35">
        <f>IF(I35="深港",IF(K35&gt;0,F35/K35,""),F35)</f>
        <v/>
      </c>
      <c r="M35">
        <f>IF(I35="深港",IF(K35&gt;0,E35/K35,""),E35)</f>
        <v/>
      </c>
    </row>
    <row r="36">
      <c r="A36" t="inlineStr">
        <is>
          <t>自营权益4</t>
        </is>
      </c>
      <c r="B36" t="n">
        <v>2607</v>
      </c>
      <c r="C36" t="inlineStr">
        <is>
          <t>上海医药</t>
        </is>
      </c>
      <c r="D36" t="n">
        <v>100000</v>
      </c>
      <c r="E36" t="n">
        <v>1153391.73</v>
      </c>
      <c r="F36" t="n">
        <v>11.5339173</v>
      </c>
      <c r="G36" t="n">
        <v>10.212412</v>
      </c>
      <c r="H36" t="n">
        <v>1021241.2</v>
      </c>
      <c r="I36" t="inlineStr">
        <is>
          <t>深港</t>
        </is>
      </c>
      <c r="J36" t="inlineStr">
        <is>
          <t>2607.HK</t>
        </is>
      </c>
      <c r="K36">
        <f>'FX_RATES_TO_CNY_HIST'!$B$5</f>
        <v/>
      </c>
      <c r="L36">
        <f>IF(I36="深港",IF(K36&gt;0,F36/K36,""),F36)</f>
        <v/>
      </c>
      <c r="M36">
        <f>IF(I36="深港",IF(K36&gt;0,E36/K36,""),E36)</f>
        <v/>
      </c>
    </row>
    <row r="37">
      <c r="A37" t="inlineStr">
        <is>
          <t>自营权益4</t>
        </is>
      </c>
      <c r="B37" t="n">
        <v>3328</v>
      </c>
      <c r="C37" t="inlineStr">
        <is>
          <t>交通银行</t>
        </is>
      </c>
      <c r="D37" t="n">
        <v>1400000</v>
      </c>
      <c r="E37" t="n">
        <v>8994109.699999999</v>
      </c>
      <c r="F37" t="n">
        <v>6.424364071428571</v>
      </c>
      <c r="G37" t="n">
        <v>5.78823</v>
      </c>
      <c r="H37" t="n">
        <v>8103522</v>
      </c>
      <c r="I37" t="inlineStr">
        <is>
          <t>深港</t>
        </is>
      </c>
      <c r="J37" t="inlineStr">
        <is>
          <t>3328.HK</t>
        </is>
      </c>
      <c r="K37">
        <f>'FX_RATES_TO_CNY_HIST'!$B$5</f>
        <v/>
      </c>
      <c r="L37">
        <f>IF(I37="深港",IF(K37&gt;0,F37/K37,""),F37)</f>
        <v/>
      </c>
      <c r="M37">
        <f>IF(I37="深港",IF(K37&gt;0,E37/K37,""),E37)</f>
        <v/>
      </c>
    </row>
    <row r="38">
      <c r="A38" t="inlineStr">
        <is>
          <t>自营权益4</t>
        </is>
      </c>
      <c r="B38" t="n">
        <v>3933</v>
      </c>
      <c r="C38" t="inlineStr">
        <is>
          <t>联邦制药</t>
        </is>
      </c>
      <c r="D38" t="n">
        <v>400000</v>
      </c>
      <c r="E38" t="n">
        <v>4614077.63</v>
      </c>
      <c r="F38" t="n">
        <v>11.535194075</v>
      </c>
      <c r="G38" t="n">
        <v>10.400866</v>
      </c>
      <c r="H38" t="n">
        <v>4160346.4</v>
      </c>
      <c r="I38" t="inlineStr">
        <is>
          <t>深港</t>
        </is>
      </c>
      <c r="J38" t="inlineStr">
        <is>
          <t>3933.HK</t>
        </is>
      </c>
      <c r="K38">
        <f>'FX_RATES_TO_CNY_HIST'!$B$5</f>
        <v/>
      </c>
      <c r="L38">
        <f>IF(I38="深港",IF(K38&gt;0,F38/K38,""),F38)</f>
        <v/>
      </c>
      <c r="M38">
        <f>IF(I38="深港",IF(K38&gt;0,E38/K38,""),E38)</f>
        <v/>
      </c>
    </row>
    <row r="39">
      <c r="A39" t="inlineStr">
        <is>
          <t>自营权益4</t>
        </is>
      </c>
      <c r="B39" t="n">
        <v>3988</v>
      </c>
      <c r="C39" t="inlineStr">
        <is>
          <t>中国银行</t>
        </is>
      </c>
      <c r="D39" t="n">
        <v>2100000</v>
      </c>
      <c r="E39" t="n">
        <v>8936072.810000001</v>
      </c>
      <c r="F39" t="n">
        <v>4.255272766666667</v>
      </c>
      <c r="G39" t="n">
        <v>4.002404</v>
      </c>
      <c r="H39" t="n">
        <v>8405048.4</v>
      </c>
      <c r="I39" t="inlineStr">
        <is>
          <t>深港</t>
        </is>
      </c>
      <c r="J39" t="inlineStr">
        <is>
          <t>3988.HK</t>
        </is>
      </c>
      <c r="K39">
        <f>'FX_RATES_TO_CNY_HIST'!$B$5</f>
        <v/>
      </c>
      <c r="L39">
        <f>IF(I39="深港",IF(K39&gt;0,F39/K39,""),F39)</f>
        <v/>
      </c>
      <c r="M39">
        <f>IF(I39="深港",IF(K39&gt;0,E39/K39,""),E39)</f>
        <v/>
      </c>
    </row>
    <row r="40">
      <c r="A40" t="inlineStr">
        <is>
          <t>自营权益4</t>
        </is>
      </c>
      <c r="B40" t="n">
        <v>6690</v>
      </c>
      <c r="C40" t="inlineStr">
        <is>
          <t>海尔智家</t>
        </is>
      </c>
      <c r="D40" t="n">
        <v>200000</v>
      </c>
      <c r="E40" t="n">
        <v>4534033.28</v>
      </c>
      <c r="F40" t="n">
        <v>22.6701664</v>
      </c>
      <c r="G40" t="n">
        <v>21.788872</v>
      </c>
      <c r="H40" t="n">
        <v>4357774.4</v>
      </c>
      <c r="I40" t="inlineStr">
        <is>
          <t>深港</t>
        </is>
      </c>
      <c r="J40" t="inlineStr">
        <is>
          <t>6690.HK</t>
        </is>
      </c>
      <c r="K40">
        <f>'FX_RATES_TO_CNY_HIST'!$B$5</f>
        <v/>
      </c>
      <c r="L40">
        <f>IF(I40="深港",IF(K40&gt;0,F40/K40,""),F40)</f>
        <v/>
      </c>
      <c r="M40">
        <f>IF(I40="深港",IF(K40&gt;0,E40/K40,""),E40)</f>
        <v/>
      </c>
    </row>
    <row r="41">
      <c r="A41" t="inlineStr">
        <is>
          <t>自营权益4</t>
        </is>
      </c>
      <c r="B41" t="n">
        <v>6862</v>
      </c>
      <c r="C41" t="inlineStr">
        <is>
          <t>海底捞</t>
        </is>
      </c>
      <c r="D41" t="n">
        <v>400000</v>
      </c>
      <c r="E41" t="n">
        <v>5365768.8</v>
      </c>
      <c r="F41" t="n">
        <v>13.414422</v>
      </c>
      <c r="G41" t="n">
        <v>12.78795</v>
      </c>
      <c r="H41" t="n">
        <v>5115180</v>
      </c>
      <c r="I41" t="inlineStr">
        <is>
          <t>深港</t>
        </is>
      </c>
      <c r="J41" t="inlineStr">
        <is>
          <t>6862.HK</t>
        </is>
      </c>
      <c r="K41">
        <f>'FX_RATES_TO_CNY_HIST'!$B$5</f>
        <v/>
      </c>
      <c r="L41">
        <f>IF(I41="深港",IF(K41&gt;0,F41/K41,""),F41)</f>
        <v/>
      </c>
      <c r="M41">
        <f>IF(I41="深港",IF(K41&gt;0,E41/K41,""),E41)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currency</t>
        </is>
      </c>
      <c r="B1" s="3" t="inlineStr">
        <is>
          <t>rate_to_cny</t>
        </is>
      </c>
    </row>
    <row r="2">
      <c r="A2" t="inlineStr">
        <is>
          <t>CNY</t>
        </is>
      </c>
      <c r="B2" t="n">
        <v>1</v>
      </c>
    </row>
    <row r="3">
      <c r="A3" t="inlineStr">
        <is>
          <t>USD</t>
        </is>
      </c>
      <c r="B3" t="n">
        <v>7.125</v>
      </c>
    </row>
    <row r="4">
      <c r="A4" t="inlineStr">
        <is>
          <t>EUR</t>
        </is>
      </c>
      <c r="B4" t="n">
        <v>7.731</v>
      </c>
    </row>
    <row r="5">
      <c r="A5" t="inlineStr">
        <is>
          <t>GBP</t>
        </is>
      </c>
      <c r="B5" t="n">
        <v>9.010999999999999</v>
      </c>
    </row>
    <row r="6">
      <c r="A6" t="inlineStr">
        <is>
          <t>JPY</t>
        </is>
      </c>
      <c r="B6" t="n">
        <v>0.0475</v>
      </c>
    </row>
    <row r="7">
      <c r="A7" t="inlineStr">
        <is>
          <t>HKD</t>
        </is>
      </c>
      <c r="B7" t="n">
        <v>0.86315</v>
      </c>
    </row>
    <row r="8">
      <c r="A8" t="inlineStr">
        <is>
          <t>CNH</t>
        </is>
      </c>
      <c r="B8" t="n">
        <v>1</v>
      </c>
    </row>
    <row r="9">
      <c r="A9" t="inlineStr">
        <is>
          <t>THB</t>
        </is>
      </c>
      <c r="B9" t="n">
        <v>0.2016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0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报表货币</t>
        </is>
      </c>
      <c r="B1" t="inlineStr">
        <is>
          <t>CNY</t>
        </is>
      </c>
    </row>
    <row r="2">
      <c r="A2" s="6" t="inlineStr">
        <is>
          <t>估值日</t>
        </is>
      </c>
      <c r="B2" t="inlineStr">
        <is>
          <t>2026-06-01</t>
        </is>
      </c>
    </row>
    <row r="3">
      <c r="A3" s="6" t="inlineStr">
        <is>
          <t>估值日 HKD→CNY</t>
        </is>
      </c>
      <c r="B3" t="n">
        <v>0.86315</v>
      </c>
    </row>
    <row r="4">
      <c r="A4" s="6" t="inlineStr">
        <is>
          <t>期初折算日(参数)</t>
        </is>
      </c>
      <c r="B4" t="inlineStr">
        <is>
          <t>2026-01-01</t>
        </is>
      </c>
    </row>
    <row r="5">
      <c r="A5" s="6" t="inlineStr">
        <is>
          <t>期初日 HKD→CNY</t>
        </is>
      </c>
      <c r="B5" t="n">
        <v>0.89834</v>
      </c>
    </row>
    <row r="6">
      <c r="A6" t="inlineStr">
        <is>
          <t>说明</t>
        </is>
      </c>
      <c r="B6" t="inlineStr">
        <is>
          <t>B3/B5：1 HKD = rate CNY；B3 供估值日盯市折合，B5 供期初深港成本 CNY→HKD（÷B5）。历史表已过滤异常汇率并锁定前海锚点日。</t>
        </is>
      </c>
    </row>
    <row r="8">
      <c r="A8" s="3" t="inlineStr">
        <is>
          <t>valuation_date</t>
        </is>
      </c>
      <c r="B8" s="3" t="inlineStr">
        <is>
          <t>currency</t>
        </is>
      </c>
      <c r="C8" s="3" t="inlineStr">
        <is>
          <t>rate_to_cny</t>
        </is>
      </c>
    </row>
    <row r="9">
      <c r="A9" t="inlineStr">
        <is>
          <t>2024-06-03</t>
        </is>
      </c>
      <c r="B9" t="inlineStr">
        <is>
          <t>USD</t>
        </is>
      </c>
      <c r="C9" t="n">
        <v>7.1257</v>
      </c>
    </row>
    <row r="10">
      <c r="A10" t="inlineStr">
        <is>
          <t>2024-06-04</t>
        </is>
      </c>
      <c r="B10" t="inlineStr">
        <is>
          <t>USD</t>
        </is>
      </c>
      <c r="C10" t="n">
        <v>7.0647</v>
      </c>
    </row>
    <row r="11">
      <c r="A11" t="inlineStr">
        <is>
          <t>2024-06-05</t>
        </is>
      </c>
      <c r="B11" t="inlineStr">
        <is>
          <t>USD</t>
        </is>
      </c>
      <c r="C11" t="n">
        <v>7.2688</v>
      </c>
    </row>
    <row r="12">
      <c r="A12" t="inlineStr">
        <is>
          <t>2024-07-11</t>
        </is>
      </c>
      <c r="B12" t="inlineStr">
        <is>
          <t>HKD</t>
        </is>
      </c>
      <c r="C12" t="n">
        <v>0.92953</v>
      </c>
    </row>
    <row r="13">
      <c r="A13" t="inlineStr">
        <is>
          <t>2024-07-12</t>
        </is>
      </c>
      <c r="B13" t="inlineStr">
        <is>
          <t>HKD</t>
        </is>
      </c>
      <c r="C13" t="n">
        <v>0.92857</v>
      </c>
    </row>
    <row r="14">
      <c r="A14" t="inlineStr">
        <is>
          <t>2024-07-15</t>
        </is>
      </c>
      <c r="B14" t="inlineStr">
        <is>
          <t>HKD</t>
        </is>
      </c>
      <c r="C14" t="n">
        <v>0.92989</v>
      </c>
    </row>
    <row r="15">
      <c r="A15" t="inlineStr">
        <is>
          <t>2024-07-16</t>
        </is>
      </c>
      <c r="B15" t="inlineStr">
        <is>
          <t>HKD</t>
        </is>
      </c>
      <c r="C15" t="n">
        <v>0.93092</v>
      </c>
    </row>
    <row r="16">
      <c r="A16" t="inlineStr">
        <is>
          <t>2024-07-17</t>
        </is>
      </c>
      <c r="B16" t="inlineStr">
        <is>
          <t>HKD</t>
        </is>
      </c>
      <c r="C16" t="n">
        <v>0.92998</v>
      </c>
    </row>
    <row r="17">
      <c r="A17" t="inlineStr">
        <is>
          <t>2024-07-18</t>
        </is>
      </c>
      <c r="B17" t="inlineStr">
        <is>
          <t>HKD</t>
        </is>
      </c>
      <c r="C17" t="n">
        <v>0.92955</v>
      </c>
    </row>
    <row r="18">
      <c r="A18" t="inlineStr">
        <is>
          <t>2024-07-19</t>
        </is>
      </c>
      <c r="B18" t="inlineStr">
        <is>
          <t>HKD</t>
        </is>
      </c>
      <c r="C18" t="n">
        <v>0.93075</v>
      </c>
    </row>
    <row r="19">
      <c r="A19" t="inlineStr">
        <is>
          <t>2024-07-22</t>
        </is>
      </c>
      <c r="B19" t="inlineStr">
        <is>
          <t>HKD</t>
        </is>
      </c>
      <c r="C19" t="n">
        <v>0.93165</v>
      </c>
    </row>
    <row r="20">
      <c r="A20" t="inlineStr">
        <is>
          <t>2024-07-23</t>
        </is>
      </c>
      <c r="B20" t="inlineStr">
        <is>
          <t>HKD</t>
        </is>
      </c>
      <c r="C20" t="n">
        <v>0.93152</v>
      </c>
    </row>
    <row r="21">
      <c r="A21" t="inlineStr">
        <is>
          <t>2024-07-24</t>
        </is>
      </c>
      <c r="B21" t="inlineStr">
        <is>
          <t>HKD</t>
        </is>
      </c>
      <c r="C21" t="n">
        <v>0.93006</v>
      </c>
    </row>
    <row r="22">
      <c r="A22" t="inlineStr">
        <is>
          <t>2024-07-25</t>
        </is>
      </c>
      <c r="B22" t="inlineStr">
        <is>
          <t>HKD</t>
        </is>
      </c>
      <c r="C22" t="n">
        <v>0.92626</v>
      </c>
    </row>
    <row r="23">
      <c r="A23" t="inlineStr">
        <is>
          <t>2024-07-26</t>
        </is>
      </c>
      <c r="B23" t="inlineStr">
        <is>
          <t>HKD</t>
        </is>
      </c>
      <c r="C23" t="n">
        <v>0.92869</v>
      </c>
    </row>
    <row r="24">
      <c r="A24" t="inlineStr">
        <is>
          <t>2024-07-29</t>
        </is>
      </c>
      <c r="B24" t="inlineStr">
        <is>
          <t>HKD</t>
        </is>
      </c>
      <c r="C24" t="n">
        <v>0.92947</v>
      </c>
    </row>
    <row r="25">
      <c r="A25" t="inlineStr">
        <is>
          <t>2024-07-30</t>
        </is>
      </c>
      <c r="B25" t="inlineStr">
        <is>
          <t>HKD</t>
        </is>
      </c>
      <c r="C25" t="n">
        <v>0.92802</v>
      </c>
    </row>
    <row r="26">
      <c r="A26" t="inlineStr">
        <is>
          <t>2024-07-31</t>
        </is>
      </c>
      <c r="B26" t="inlineStr">
        <is>
          <t>HKD</t>
        </is>
      </c>
      <c r="C26" t="n">
        <v>0.92402</v>
      </c>
    </row>
    <row r="27">
      <c r="A27" t="inlineStr">
        <is>
          <t>2024-08-01</t>
        </is>
      </c>
      <c r="B27" t="inlineStr">
        <is>
          <t>HKD</t>
        </is>
      </c>
      <c r="C27" t="n">
        <v>0.92697</v>
      </c>
    </row>
    <row r="28">
      <c r="A28" t="inlineStr">
        <is>
          <t>2024-08-02</t>
        </is>
      </c>
      <c r="B28" t="inlineStr">
        <is>
          <t>HKD</t>
        </is>
      </c>
      <c r="C28" t="n">
        <v>0.91704</v>
      </c>
    </row>
    <row r="29">
      <c r="A29" t="inlineStr">
        <is>
          <t>2024-08-05</t>
        </is>
      </c>
      <c r="B29" t="inlineStr">
        <is>
          <t>HKD</t>
        </is>
      </c>
      <c r="C29" t="n">
        <v>0.91532</v>
      </c>
    </row>
    <row r="30">
      <c r="A30" t="inlineStr">
        <is>
          <t>2024-08-06</t>
        </is>
      </c>
      <c r="B30" t="inlineStr">
        <is>
          <t>HKD</t>
        </is>
      </c>
      <c r="C30" t="n">
        <v>0.91804</v>
      </c>
    </row>
    <row r="31">
      <c r="A31" t="inlineStr">
        <is>
          <t>2024-08-07</t>
        </is>
      </c>
      <c r="B31" t="inlineStr">
        <is>
          <t>HKD</t>
        </is>
      </c>
      <c r="C31" t="n">
        <v>0.92017</v>
      </c>
    </row>
    <row r="32">
      <c r="A32" t="inlineStr">
        <is>
          <t>2024-08-08</t>
        </is>
      </c>
      <c r="B32" t="inlineStr">
        <is>
          <t>HKD</t>
        </is>
      </c>
      <c r="C32" t="n">
        <v>0.92039</v>
      </c>
    </row>
    <row r="33">
      <c r="A33" t="inlineStr">
        <is>
          <t>2024-08-09</t>
        </is>
      </c>
      <c r="B33" t="inlineStr">
        <is>
          <t>HKD</t>
        </is>
      </c>
      <c r="C33" t="n">
        <v>0.91899</v>
      </c>
    </row>
    <row r="34">
      <c r="A34" t="inlineStr">
        <is>
          <t>2024-08-12</t>
        </is>
      </c>
      <c r="B34" t="inlineStr">
        <is>
          <t>HKD</t>
        </is>
      </c>
      <c r="C34" t="n">
        <v>0.9208</v>
      </c>
    </row>
    <row r="35">
      <c r="A35" t="inlineStr">
        <is>
          <t>2024-08-13</t>
        </is>
      </c>
      <c r="B35" t="inlineStr">
        <is>
          <t>HKD</t>
        </is>
      </c>
      <c r="C35" t="n">
        <v>0.91866</v>
      </c>
    </row>
    <row r="36">
      <c r="A36" t="inlineStr">
        <is>
          <t>2024-08-14</t>
        </is>
      </c>
      <c r="B36" t="inlineStr">
        <is>
          <t>HKD</t>
        </is>
      </c>
      <c r="C36" t="n">
        <v>0.91599</v>
      </c>
    </row>
    <row r="37">
      <c r="A37" t="inlineStr">
        <is>
          <t>2024-08-15</t>
        </is>
      </c>
      <c r="B37" t="inlineStr">
        <is>
          <t>HKD</t>
        </is>
      </c>
      <c r="C37" t="n">
        <v>0.92003</v>
      </c>
    </row>
    <row r="38">
      <c r="A38" t="inlineStr">
        <is>
          <t>2024-08-16</t>
        </is>
      </c>
      <c r="B38" t="inlineStr">
        <is>
          <t>HKD</t>
        </is>
      </c>
      <c r="C38" t="n">
        <v>0.91917</v>
      </c>
    </row>
    <row r="39">
      <c r="A39" t="inlineStr">
        <is>
          <t>2024-08-19</t>
        </is>
      </c>
      <c r="B39" t="inlineStr">
        <is>
          <t>HKD</t>
        </is>
      </c>
      <c r="C39" t="n">
        <v>0.91662</v>
      </c>
    </row>
    <row r="40">
      <c r="A40" t="inlineStr">
        <is>
          <t>2024-08-20</t>
        </is>
      </c>
      <c r="B40" t="inlineStr">
        <is>
          <t>HKD</t>
        </is>
      </c>
      <c r="C40" t="n">
        <v>0.9157</v>
      </c>
    </row>
    <row r="41">
      <c r="A41" t="inlineStr">
        <is>
          <t>2024-08-21</t>
        </is>
      </c>
      <c r="B41" t="inlineStr">
        <is>
          <t>HKD</t>
        </is>
      </c>
      <c r="C41" t="n">
        <v>0.91535</v>
      </c>
    </row>
    <row r="42">
      <c r="A42" t="inlineStr">
        <is>
          <t>2024-08-22</t>
        </is>
      </c>
      <c r="B42" t="inlineStr">
        <is>
          <t>HKD</t>
        </is>
      </c>
      <c r="C42" t="n">
        <v>0.91616</v>
      </c>
    </row>
    <row r="43">
      <c r="A43" t="inlineStr">
        <is>
          <t>2024-08-23</t>
        </is>
      </c>
      <c r="B43" t="inlineStr">
        <is>
          <t>HKD</t>
        </is>
      </c>
      <c r="C43" t="n">
        <v>0.91375</v>
      </c>
    </row>
    <row r="44">
      <c r="A44" t="inlineStr">
        <is>
          <t>2024-08-26</t>
        </is>
      </c>
      <c r="B44" t="inlineStr">
        <is>
          <t>HKD</t>
        </is>
      </c>
      <c r="C44" t="n">
        <v>0.9133599999999999</v>
      </c>
    </row>
    <row r="45">
      <c r="A45" t="inlineStr">
        <is>
          <t>2024-08-27</t>
        </is>
      </c>
      <c r="B45" t="inlineStr">
        <is>
          <t>HKD</t>
        </is>
      </c>
      <c r="C45" t="n">
        <v>0.91315</v>
      </c>
    </row>
    <row r="46">
      <c r="A46" t="inlineStr">
        <is>
          <t>2024-08-28</t>
        </is>
      </c>
      <c r="B46" t="inlineStr">
        <is>
          <t>HKD</t>
        </is>
      </c>
      <c r="C46" t="n">
        <v>0.91322</v>
      </c>
    </row>
    <row r="47">
      <c r="A47" t="inlineStr">
        <is>
          <t>2024-08-29</t>
        </is>
      </c>
      <c r="B47" t="inlineStr">
        <is>
          <t>HKD</t>
        </is>
      </c>
      <c r="C47" t="n">
        <v>0.91011</v>
      </c>
    </row>
    <row r="48">
      <c r="A48" t="inlineStr">
        <is>
          <t>2024-08-30</t>
        </is>
      </c>
      <c r="B48" t="inlineStr">
        <is>
          <t>HKD</t>
        </is>
      </c>
      <c r="C48" t="n">
        <v>0.90928</v>
      </c>
    </row>
    <row r="49">
      <c r="A49" t="inlineStr">
        <is>
          <t>2024-09-02</t>
        </is>
      </c>
      <c r="B49" t="inlineStr">
        <is>
          <t>HKD</t>
        </is>
      </c>
      <c r="C49" t="n">
        <v>0.91278</v>
      </c>
    </row>
    <row r="50">
      <c r="A50" t="inlineStr">
        <is>
          <t>2024-09-03</t>
        </is>
      </c>
      <c r="B50" t="inlineStr">
        <is>
          <t>HKD</t>
        </is>
      </c>
      <c r="C50" t="n">
        <v>0.91304</v>
      </c>
    </row>
    <row r="51">
      <c r="A51" t="inlineStr">
        <is>
          <t>2024-09-04</t>
        </is>
      </c>
      <c r="B51" t="inlineStr">
        <is>
          <t>HKD</t>
        </is>
      </c>
      <c r="C51" t="n">
        <v>0.91214</v>
      </c>
    </row>
    <row r="52">
      <c r="A52" t="inlineStr">
        <is>
          <t>2024-09-05</t>
        </is>
      </c>
      <c r="B52" t="inlineStr">
        <is>
          <t>HKD</t>
        </is>
      </c>
      <c r="C52" t="n">
        <v>0.91001</v>
      </c>
    </row>
    <row r="53">
      <c r="A53" t="inlineStr">
        <is>
          <t>2024-09-06</t>
        </is>
      </c>
      <c r="B53" t="inlineStr">
        <is>
          <t>HKD</t>
        </is>
      </c>
      <c r="C53" t="n">
        <v>0.90916</v>
      </c>
    </row>
    <row r="54">
      <c r="A54" t="inlineStr">
        <is>
          <t>2024-09-09</t>
        </is>
      </c>
      <c r="B54" t="inlineStr">
        <is>
          <t>HKD</t>
        </is>
      </c>
      <c r="C54" t="n">
        <v>0.91225</v>
      </c>
    </row>
    <row r="55">
      <c r="A55" t="inlineStr">
        <is>
          <t>2024-09-10</t>
        </is>
      </c>
      <c r="B55" t="inlineStr">
        <is>
          <t>HKD</t>
        </is>
      </c>
      <c r="C55" t="n">
        <v>0.91315</v>
      </c>
    </row>
    <row r="56">
      <c r="A56" t="inlineStr">
        <is>
          <t>2024-09-11</t>
        </is>
      </c>
      <c r="B56" t="inlineStr">
        <is>
          <t>HKD</t>
        </is>
      </c>
      <c r="C56" t="n">
        <v>0.91286</v>
      </c>
    </row>
    <row r="57">
      <c r="A57" t="inlineStr">
        <is>
          <t>2024-09-12</t>
        </is>
      </c>
      <c r="B57" t="inlineStr">
        <is>
          <t>HKD</t>
        </is>
      </c>
      <c r="C57" t="n">
        <v>0.9121</v>
      </c>
    </row>
    <row r="58">
      <c r="A58" t="inlineStr">
        <is>
          <t>2024-09-13</t>
        </is>
      </c>
      <c r="B58" t="inlineStr">
        <is>
          <t>HKD</t>
        </is>
      </c>
      <c r="C58" t="n">
        <v>0.90939</v>
      </c>
    </row>
    <row r="59">
      <c r="A59" t="inlineStr">
        <is>
          <t>2024-09-16</t>
        </is>
      </c>
      <c r="B59" t="inlineStr">
        <is>
          <t>HKD</t>
        </is>
      </c>
      <c r="C59" t="n">
        <v>0.9101900000000001</v>
      </c>
    </row>
    <row r="60">
      <c r="A60" t="inlineStr">
        <is>
          <t>2024-09-17</t>
        </is>
      </c>
      <c r="B60" t="inlineStr">
        <is>
          <t>HKD</t>
        </is>
      </c>
      <c r="C60" t="n">
        <v>0.90999</v>
      </c>
    </row>
    <row r="61">
      <c r="A61" t="inlineStr">
        <is>
          <t>2024-09-18</t>
        </is>
      </c>
      <c r="B61" t="inlineStr">
        <is>
          <t>HKD</t>
        </is>
      </c>
      <c r="C61" t="n">
        <v>0.9086</v>
      </c>
    </row>
    <row r="62">
      <c r="A62" t="inlineStr">
        <is>
          <t>2024-09-19</t>
        </is>
      </c>
      <c r="B62" t="inlineStr">
        <is>
          <t>HKD</t>
        </is>
      </c>
      <c r="C62" t="n">
        <v>0.90667</v>
      </c>
    </row>
    <row r="63">
      <c r="A63" t="inlineStr">
        <is>
          <t>2024-09-20</t>
        </is>
      </c>
      <c r="B63" t="inlineStr">
        <is>
          <t>HKD</t>
        </is>
      </c>
      <c r="C63" t="n">
        <v>0.90504</v>
      </c>
    </row>
    <row r="64">
      <c r="A64" t="inlineStr">
        <is>
          <t>2024-09-23</t>
        </is>
      </c>
      <c r="B64" t="inlineStr">
        <is>
          <t>HKD</t>
        </is>
      </c>
      <c r="C64" t="n">
        <v>0.90542</v>
      </c>
    </row>
    <row r="65">
      <c r="A65" t="inlineStr">
        <is>
          <t>2024-09-24</t>
        </is>
      </c>
      <c r="B65" t="inlineStr">
        <is>
          <t>HKD</t>
        </is>
      </c>
      <c r="C65" t="n">
        <v>0.90323</v>
      </c>
    </row>
    <row r="66">
      <c r="A66" t="inlineStr">
        <is>
          <t>2024-09-25</t>
        </is>
      </c>
      <c r="B66" t="inlineStr">
        <is>
          <t>HKD</t>
        </is>
      </c>
      <c r="C66" t="n">
        <v>0.90321</v>
      </c>
    </row>
    <row r="67">
      <c r="A67" t="inlineStr">
        <is>
          <t>2024-09-26</t>
        </is>
      </c>
      <c r="B67" t="inlineStr">
        <is>
          <t>HKD</t>
        </is>
      </c>
      <c r="C67" t="n">
        <v>0.90117</v>
      </c>
    </row>
    <row r="68">
      <c r="A68" t="inlineStr">
        <is>
          <t>2024-09-27</t>
        </is>
      </c>
      <c r="B68" t="inlineStr">
        <is>
          <t>HKD</t>
        </is>
      </c>
      <c r="C68" t="n">
        <v>0.90206</v>
      </c>
    </row>
    <row r="69">
      <c r="A69" t="inlineStr">
        <is>
          <t>2024-09-30</t>
        </is>
      </c>
      <c r="B69" t="inlineStr">
        <is>
          <t>HKD</t>
        </is>
      </c>
      <c r="C69" t="n">
        <v>0.90284</v>
      </c>
    </row>
    <row r="70">
      <c r="A70" t="inlineStr">
        <is>
          <t>2024-10-01</t>
        </is>
      </c>
      <c r="B70" t="inlineStr">
        <is>
          <t>HKD</t>
        </is>
      </c>
      <c r="C70" t="n">
        <v>0.90296</v>
      </c>
    </row>
    <row r="71">
      <c r="A71" t="inlineStr">
        <is>
          <t>2024-10-02</t>
        </is>
      </c>
      <c r="B71" t="inlineStr">
        <is>
          <t>HKD</t>
        </is>
      </c>
      <c r="C71" t="n">
        <v>0.90388</v>
      </c>
    </row>
    <row r="72">
      <c r="A72" t="inlineStr">
        <is>
          <t>2024-10-03</t>
        </is>
      </c>
      <c r="B72" t="inlineStr">
        <is>
          <t>HKD</t>
        </is>
      </c>
      <c r="C72" t="n">
        <v>0.90383</v>
      </c>
    </row>
    <row r="73">
      <c r="A73" t="inlineStr">
        <is>
          <t>2024-10-04</t>
        </is>
      </c>
      <c r="B73" t="inlineStr">
        <is>
          <t>HKD</t>
        </is>
      </c>
      <c r="C73" t="n">
        <v>0.90351</v>
      </c>
    </row>
    <row r="74">
      <c r="A74" t="inlineStr">
        <is>
          <t>2024-10-07</t>
        </is>
      </c>
      <c r="B74" t="inlineStr">
        <is>
          <t>HKD</t>
        </is>
      </c>
      <c r="C74" t="n">
        <v>0.90364</v>
      </c>
    </row>
    <row r="75">
      <c r="A75" t="inlineStr">
        <is>
          <t>2024-10-08</t>
        </is>
      </c>
      <c r="B75" t="inlineStr">
        <is>
          <t>HKD</t>
        </is>
      </c>
      <c r="C75" t="n">
        <v>0.90786</v>
      </c>
    </row>
    <row r="76">
      <c r="A76" t="inlineStr">
        <is>
          <t>2024-10-09</t>
        </is>
      </c>
      <c r="B76" t="inlineStr">
        <is>
          <t>HKD</t>
        </is>
      </c>
      <c r="C76" t="n">
        <v>0.91106</v>
      </c>
    </row>
    <row r="77">
      <c r="A77" t="inlineStr">
        <is>
          <t>2024-10-10</t>
        </is>
      </c>
      <c r="B77" t="inlineStr">
        <is>
          <t>HKD</t>
        </is>
      </c>
      <c r="C77" t="n">
        <v>0.91103</v>
      </c>
    </row>
    <row r="78">
      <c r="A78" t="inlineStr">
        <is>
          <t>2024-10-11</t>
        </is>
      </c>
      <c r="B78" t="inlineStr">
        <is>
          <t>HKD</t>
        </is>
      </c>
      <c r="C78" t="n">
        <v>0.9093</v>
      </c>
    </row>
    <row r="79">
      <c r="A79" t="inlineStr">
        <is>
          <t>2024-10-14</t>
        </is>
      </c>
      <c r="B79" t="inlineStr">
        <is>
          <t>HKD</t>
        </is>
      </c>
      <c r="C79" t="n">
        <v>0.9127999999999999</v>
      </c>
    </row>
    <row r="80">
      <c r="A80" t="inlineStr">
        <is>
          <t>2024-10-15</t>
        </is>
      </c>
      <c r="B80" t="inlineStr">
        <is>
          <t>HKD</t>
        </is>
      </c>
      <c r="C80" t="n">
        <v>0.91656</v>
      </c>
    </row>
    <row r="81">
      <c r="A81" t="inlineStr">
        <is>
          <t>2024-10-16</t>
        </is>
      </c>
      <c r="B81" t="inlineStr">
        <is>
          <t>HKD</t>
        </is>
      </c>
      <c r="C81" t="n">
        <v>0.91616</v>
      </c>
    </row>
    <row r="82">
      <c r="A82" t="inlineStr">
        <is>
          <t>2024-10-17</t>
        </is>
      </c>
      <c r="B82" t="inlineStr">
        <is>
          <t>HKD</t>
        </is>
      </c>
      <c r="C82" t="n">
        <v>0.91637</v>
      </c>
    </row>
    <row r="83">
      <c r="A83" t="inlineStr">
        <is>
          <t>2024-10-18</t>
        </is>
      </c>
      <c r="B83" t="inlineStr">
        <is>
          <t>HKD</t>
        </is>
      </c>
      <c r="C83" t="n">
        <v>0.91387</v>
      </c>
    </row>
    <row r="84">
      <c r="A84" t="inlineStr">
        <is>
          <t>2024-10-21</t>
        </is>
      </c>
      <c r="B84" t="inlineStr">
        <is>
          <t>HKD</t>
        </is>
      </c>
      <c r="C84" t="n">
        <v>0.91579</v>
      </c>
    </row>
    <row r="85">
      <c r="A85" t="inlineStr">
        <is>
          <t>2024-10-22</t>
        </is>
      </c>
      <c r="B85" t="inlineStr">
        <is>
          <t>HKD</t>
        </is>
      </c>
      <c r="C85" t="n">
        <v>0.91644</v>
      </c>
    </row>
    <row r="86">
      <c r="A86" t="inlineStr">
        <is>
          <t>2024-10-23</t>
        </is>
      </c>
      <c r="B86" t="inlineStr">
        <is>
          <t>HKD</t>
        </is>
      </c>
      <c r="C86" t="n">
        <v>0.91713</v>
      </c>
    </row>
    <row r="87">
      <c r="A87" t="inlineStr">
        <is>
          <t>2024-10-24</t>
        </is>
      </c>
      <c r="B87" t="inlineStr">
        <is>
          <t>HKD</t>
        </is>
      </c>
      <c r="C87" t="n">
        <v>0.91621</v>
      </c>
    </row>
    <row r="88">
      <c r="A88" t="inlineStr">
        <is>
          <t>2024-10-25</t>
        </is>
      </c>
      <c r="B88" t="inlineStr">
        <is>
          <t>HKD</t>
        </is>
      </c>
      <c r="C88" t="n">
        <v>0.91631</v>
      </c>
    </row>
    <row r="89">
      <c r="A89" t="inlineStr">
        <is>
          <t>2024-10-28</t>
        </is>
      </c>
      <c r="B89" t="inlineStr">
        <is>
          <t>HKD</t>
        </is>
      </c>
      <c r="C89" t="n">
        <v>0.9167999999999999</v>
      </c>
    </row>
    <row r="90">
      <c r="A90" t="inlineStr">
        <is>
          <t>2024-10-29</t>
        </is>
      </c>
      <c r="B90" t="inlineStr">
        <is>
          <t>HKD</t>
        </is>
      </c>
      <c r="C90" t="n">
        <v>0.91748</v>
      </c>
    </row>
    <row r="91">
      <c r="A91" t="inlineStr">
        <is>
          <t>2024-10-30</t>
        </is>
      </c>
      <c r="B91" t="inlineStr">
        <is>
          <t>HKD</t>
        </is>
      </c>
      <c r="C91" t="n">
        <v>0.91542</v>
      </c>
    </row>
    <row r="92">
      <c r="A92" t="inlineStr">
        <is>
          <t>2024-10-31</t>
        </is>
      </c>
      <c r="B92" t="inlineStr">
        <is>
          <t>HKD</t>
        </is>
      </c>
      <c r="C92" t="n">
        <v>0.91566</v>
      </c>
    </row>
    <row r="93">
      <c r="A93" t="inlineStr">
        <is>
          <t>2024-11-01</t>
        </is>
      </c>
      <c r="B93" t="inlineStr">
        <is>
          <t>HKD</t>
        </is>
      </c>
      <c r="C93" t="n">
        <v>0.9156300000000001</v>
      </c>
    </row>
    <row r="94">
      <c r="A94" t="inlineStr">
        <is>
          <t>2024-11-04</t>
        </is>
      </c>
      <c r="B94" t="inlineStr">
        <is>
          <t>HKD</t>
        </is>
      </c>
      <c r="C94" t="n">
        <v>0.91337</v>
      </c>
    </row>
    <row r="95">
      <c r="A95" t="inlineStr">
        <is>
          <t>2024-11-05</t>
        </is>
      </c>
      <c r="B95" t="inlineStr">
        <is>
          <t>HKD</t>
        </is>
      </c>
      <c r="C95" t="n">
        <v>0.91405</v>
      </c>
    </row>
    <row r="96">
      <c r="A96" t="inlineStr">
        <is>
          <t>2024-11-06</t>
        </is>
      </c>
      <c r="B96" t="inlineStr">
        <is>
          <t>HKD</t>
        </is>
      </c>
      <c r="C96" t="n">
        <v>0.92309</v>
      </c>
    </row>
    <row r="97">
      <c r="A97" t="inlineStr">
        <is>
          <t>2024-11-07</t>
        </is>
      </c>
      <c r="B97" t="inlineStr">
        <is>
          <t>HKD</t>
        </is>
      </c>
      <c r="C97" t="n">
        <v>0.91898</v>
      </c>
    </row>
    <row r="98">
      <c r="A98" t="inlineStr">
        <is>
          <t>2024-11-08</t>
        </is>
      </c>
      <c r="B98" t="inlineStr">
        <is>
          <t>HKD</t>
        </is>
      </c>
      <c r="C98" t="n">
        <v>0.9232900000000001</v>
      </c>
    </row>
    <row r="99">
      <c r="A99" t="inlineStr">
        <is>
          <t>2024-11-11</t>
        </is>
      </c>
      <c r="B99" t="inlineStr">
        <is>
          <t>HKD</t>
        </is>
      </c>
      <c r="C99" t="n">
        <v>0.92769</v>
      </c>
    </row>
    <row r="100">
      <c r="A100" t="inlineStr">
        <is>
          <t>2024-11-12</t>
        </is>
      </c>
      <c r="B100" t="inlineStr">
        <is>
          <t>HKD</t>
        </is>
      </c>
      <c r="C100" t="n">
        <v>0.92977</v>
      </c>
    </row>
    <row r="101">
      <c r="A101" t="inlineStr">
        <is>
          <t>2024-11-13</t>
        </is>
      </c>
      <c r="B101" t="inlineStr">
        <is>
          <t>HKD</t>
        </is>
      </c>
      <c r="C101" t="n">
        <v>0.9285</v>
      </c>
    </row>
    <row r="102">
      <c r="A102" t="inlineStr">
        <is>
          <t>2024-11-14</t>
        </is>
      </c>
      <c r="B102" t="inlineStr">
        <is>
          <t>HKD</t>
        </is>
      </c>
      <c r="C102" t="n">
        <v>0.9287300000000001</v>
      </c>
    </row>
    <row r="103">
      <c r="A103" t="inlineStr">
        <is>
          <t>2024-11-15</t>
        </is>
      </c>
      <c r="B103" t="inlineStr">
        <is>
          <t>HKD</t>
        </is>
      </c>
      <c r="C103" t="n">
        <v>0.92871</v>
      </c>
    </row>
    <row r="104">
      <c r="A104" t="inlineStr">
        <is>
          <t>2024-11-18</t>
        </is>
      </c>
      <c r="B104" t="inlineStr">
        <is>
          <t>HKD</t>
        </is>
      </c>
      <c r="C104" t="n">
        <v>0.92969</v>
      </c>
    </row>
    <row r="105">
      <c r="A105" t="inlineStr">
        <is>
          <t>2024-11-19</t>
        </is>
      </c>
      <c r="B105" t="inlineStr">
        <is>
          <t>HKD</t>
        </is>
      </c>
      <c r="C105" t="n">
        <v>0.93</v>
      </c>
    </row>
    <row r="106">
      <c r="A106" t="inlineStr">
        <is>
          <t>2024-11-20</t>
        </is>
      </c>
      <c r="B106" t="inlineStr">
        <is>
          <t>HKD</t>
        </is>
      </c>
      <c r="C106" t="n">
        <v>0.93091</v>
      </c>
    </row>
    <row r="107">
      <c r="A107" t="inlineStr">
        <is>
          <t>2024-11-21</t>
        </is>
      </c>
      <c r="B107" t="inlineStr">
        <is>
          <t>HKD</t>
        </is>
      </c>
      <c r="C107" t="n">
        <v>0.92982</v>
      </c>
    </row>
    <row r="108">
      <c r="A108" t="inlineStr">
        <is>
          <t>2024-11-22</t>
        </is>
      </c>
      <c r="B108" t="inlineStr">
        <is>
          <t>HKD</t>
        </is>
      </c>
      <c r="C108" t="n">
        <v>0.9307800000000001</v>
      </c>
    </row>
    <row r="109">
      <c r="A109" t="inlineStr">
        <is>
          <t>2024-11-25</t>
        </is>
      </c>
      <c r="B109" t="inlineStr">
        <is>
          <t>HKD</t>
        </is>
      </c>
      <c r="C109" t="n">
        <v>0.93023</v>
      </c>
    </row>
    <row r="110">
      <c r="A110" t="inlineStr">
        <is>
          <t>2024-11-26</t>
        </is>
      </c>
      <c r="B110" t="inlineStr">
        <is>
          <t>HKD</t>
        </is>
      </c>
      <c r="C110" t="n">
        <v>0.93176</v>
      </c>
    </row>
    <row r="111">
      <c r="A111" t="inlineStr">
        <is>
          <t>2024-11-27</t>
        </is>
      </c>
      <c r="B111" t="inlineStr">
        <is>
          <t>HKD</t>
        </is>
      </c>
      <c r="C111" t="n">
        <v>0.93113</v>
      </c>
    </row>
    <row r="112">
      <c r="A112" t="inlineStr">
        <is>
          <t>2024-11-28</t>
        </is>
      </c>
      <c r="B112" t="inlineStr">
        <is>
          <t>HKD</t>
        </is>
      </c>
      <c r="C112" t="n">
        <v>0.93066</v>
      </c>
    </row>
    <row r="113">
      <c r="A113" t="inlineStr">
        <is>
          <t>2024-11-29</t>
        </is>
      </c>
      <c r="B113" t="inlineStr">
        <is>
          <t>HKD</t>
        </is>
      </c>
      <c r="C113" t="n">
        <v>0.93062</v>
      </c>
    </row>
    <row r="114">
      <c r="A114" t="inlineStr">
        <is>
          <t>2024-12-02</t>
        </is>
      </c>
      <c r="B114" t="inlineStr">
        <is>
          <t>HKD</t>
        </is>
      </c>
      <c r="C114" t="n">
        <v>0.93441</v>
      </c>
    </row>
    <row r="115">
      <c r="A115" t="inlineStr">
        <is>
          <t>2024-12-03</t>
        </is>
      </c>
      <c r="B115" t="inlineStr">
        <is>
          <t>HKD</t>
        </is>
      </c>
      <c r="C115" t="n">
        <v>0.93614</v>
      </c>
    </row>
    <row r="116">
      <c r="A116" t="inlineStr">
        <is>
          <t>2024-12-04</t>
        </is>
      </c>
      <c r="B116" t="inlineStr">
        <is>
          <t>HKD</t>
        </is>
      </c>
      <c r="C116" t="n">
        <v>0.93303</v>
      </c>
    </row>
    <row r="117">
      <c r="A117" t="inlineStr">
        <is>
          <t>2024-12-05</t>
        </is>
      </c>
      <c r="B117" t="inlineStr">
        <is>
          <t>HKD</t>
        </is>
      </c>
      <c r="C117" t="n">
        <v>0.9327800000000001</v>
      </c>
    </row>
    <row r="118">
      <c r="A118" t="inlineStr">
        <is>
          <t>2024-12-06</t>
        </is>
      </c>
      <c r="B118" t="inlineStr">
        <is>
          <t>HKD</t>
        </is>
      </c>
      <c r="C118" t="n">
        <v>0.93453</v>
      </c>
    </row>
    <row r="119">
      <c r="A119" t="inlineStr">
        <is>
          <t>2024-12-09</t>
        </is>
      </c>
      <c r="B119" t="inlineStr">
        <is>
          <t>HKD</t>
        </is>
      </c>
      <c r="C119" t="n">
        <v>0.93386</v>
      </c>
    </row>
    <row r="120">
      <c r="A120" t="inlineStr">
        <is>
          <t>2024-12-10</t>
        </is>
      </c>
      <c r="B120" t="inlineStr">
        <is>
          <t>HKD</t>
        </is>
      </c>
      <c r="C120" t="n">
        <v>0.9325599999999999</v>
      </c>
    </row>
    <row r="121">
      <c r="A121" t="inlineStr">
        <is>
          <t>2024-12-11</t>
        </is>
      </c>
      <c r="B121" t="inlineStr">
        <is>
          <t>HKD</t>
        </is>
      </c>
      <c r="C121" t="n">
        <v>0.9337800000000001</v>
      </c>
    </row>
    <row r="122">
      <c r="A122" t="inlineStr">
        <is>
          <t>2024-12-12</t>
        </is>
      </c>
      <c r="B122" t="inlineStr">
        <is>
          <t>HKD</t>
        </is>
      </c>
      <c r="C122" t="n">
        <v>0.93489</v>
      </c>
    </row>
    <row r="123">
      <c r="A123" t="inlineStr">
        <is>
          <t>2024-12-13</t>
        </is>
      </c>
      <c r="B123" t="inlineStr">
        <is>
          <t>HKD</t>
        </is>
      </c>
      <c r="C123" t="n">
        <v>0.93565</v>
      </c>
    </row>
    <row r="124">
      <c r="A124" t="inlineStr">
        <is>
          <t>2024-12-16</t>
        </is>
      </c>
      <c r="B124" t="inlineStr">
        <is>
          <t>HKD</t>
        </is>
      </c>
      <c r="C124" t="n">
        <v>0.93688</v>
      </c>
    </row>
    <row r="125">
      <c r="A125" t="inlineStr">
        <is>
          <t>2024-12-17</t>
        </is>
      </c>
      <c r="B125" t="inlineStr">
        <is>
          <t>HKD</t>
        </is>
      </c>
      <c r="C125" t="n">
        <v>0.93758</v>
      </c>
    </row>
    <row r="126">
      <c r="A126" t="inlineStr">
        <is>
          <t>2024-12-18</t>
        </is>
      </c>
      <c r="B126" t="inlineStr">
        <is>
          <t>HKD</t>
        </is>
      </c>
      <c r="C126" t="n">
        <v>0.9377</v>
      </c>
    </row>
    <row r="127">
      <c r="A127" t="inlineStr">
        <is>
          <t>2024-12-19</t>
        </is>
      </c>
      <c r="B127" t="inlineStr">
        <is>
          <t>HKD</t>
        </is>
      </c>
      <c r="C127" t="n">
        <v>0.93899</v>
      </c>
    </row>
    <row r="128">
      <c r="A128" t="inlineStr">
        <is>
          <t>2024-12-20</t>
        </is>
      </c>
      <c r="B128" t="inlineStr">
        <is>
          <t>HKD</t>
        </is>
      </c>
      <c r="C128" t="n">
        <v>0.9382</v>
      </c>
    </row>
    <row r="129">
      <c r="A129" t="inlineStr">
        <is>
          <t>2024-12-23</t>
        </is>
      </c>
      <c r="B129" t="inlineStr">
        <is>
          <t>HKD</t>
        </is>
      </c>
      <c r="C129" t="n">
        <v>0.93928</v>
      </c>
    </row>
    <row r="130">
      <c r="A130" t="inlineStr">
        <is>
          <t>2024-12-24</t>
        </is>
      </c>
      <c r="B130" t="inlineStr">
        <is>
          <t>HKD</t>
        </is>
      </c>
      <c r="C130" t="n">
        <v>0.93913</v>
      </c>
    </row>
    <row r="131">
      <c r="A131" t="inlineStr">
        <is>
          <t>2024-12-25</t>
        </is>
      </c>
      <c r="B131" t="inlineStr">
        <is>
          <t>HKD</t>
        </is>
      </c>
      <c r="C131" t="n">
        <v>0.93952</v>
      </c>
    </row>
    <row r="132">
      <c r="A132" t="inlineStr">
        <is>
          <t>2024-12-26</t>
        </is>
      </c>
      <c r="B132" t="inlineStr">
        <is>
          <t>HKD</t>
        </is>
      </c>
      <c r="C132" t="n">
        <v>0.93947</v>
      </c>
    </row>
    <row r="133">
      <c r="A133" t="inlineStr">
        <is>
          <t>2024-12-27</t>
        </is>
      </c>
      <c r="B133" t="inlineStr">
        <is>
          <t>HKD</t>
        </is>
      </c>
      <c r="C133" t="n">
        <v>0.94021</v>
      </c>
    </row>
    <row r="134">
      <c r="A134" t="inlineStr">
        <is>
          <t>2024-12-30</t>
        </is>
      </c>
      <c r="B134" t="inlineStr">
        <is>
          <t>HKD</t>
        </is>
      </c>
      <c r="C134" t="n">
        <v>0.93984</v>
      </c>
    </row>
    <row r="135">
      <c r="A135" t="inlineStr">
        <is>
          <t>2024-12-31</t>
        </is>
      </c>
      <c r="B135" t="inlineStr">
        <is>
          <t>HKD</t>
        </is>
      </c>
      <c r="C135" t="n">
        <v>0.9396</v>
      </c>
    </row>
    <row r="136">
      <c r="A136" t="inlineStr">
        <is>
          <t>2025-01-01</t>
        </is>
      </c>
      <c r="B136" t="inlineStr">
        <is>
          <t>HKD</t>
        </is>
      </c>
      <c r="C136" t="n">
        <v>0.9396</v>
      </c>
    </row>
    <row r="137">
      <c r="A137" t="inlineStr">
        <is>
          <t>2025-01-02</t>
        </is>
      </c>
      <c r="B137" t="inlineStr">
        <is>
          <t>HKD</t>
        </is>
      </c>
      <c r="C137" t="n">
        <v>0.9386100000000001</v>
      </c>
    </row>
    <row r="138">
      <c r="A138" t="inlineStr">
        <is>
          <t>2025-01-03</t>
        </is>
      </c>
      <c r="B138" t="inlineStr">
        <is>
          <t>HKD</t>
        </is>
      </c>
      <c r="C138" t="n">
        <v>0.94098</v>
      </c>
    </row>
    <row r="139">
      <c r="A139" t="inlineStr">
        <is>
          <t>2025-01-06</t>
        </is>
      </c>
      <c r="B139" t="inlineStr">
        <is>
          <t>HKD</t>
        </is>
      </c>
      <c r="C139" t="n">
        <v>0.94171</v>
      </c>
    </row>
    <row r="140">
      <c r="A140" t="inlineStr">
        <is>
          <t>2025-01-07</t>
        </is>
      </c>
      <c r="B140" t="inlineStr">
        <is>
          <t>HKD</t>
        </is>
      </c>
      <c r="C140" t="n">
        <v>0.94206</v>
      </c>
    </row>
    <row r="141">
      <c r="A141" t="inlineStr">
        <is>
          <t>2025-01-08</t>
        </is>
      </c>
      <c r="B141" t="inlineStr">
        <is>
          <t>HKD</t>
        </is>
      </c>
      <c r="C141" t="n">
        <v>0.9425</v>
      </c>
    </row>
    <row r="142">
      <c r="A142" t="inlineStr">
        <is>
          <t>2025-01-09</t>
        </is>
      </c>
      <c r="B142" t="inlineStr">
        <is>
          <t>HKD</t>
        </is>
      </c>
      <c r="C142" t="n">
        <v>0.94211</v>
      </c>
    </row>
    <row r="143">
      <c r="A143" t="inlineStr">
        <is>
          <t>2025-01-10</t>
        </is>
      </c>
      <c r="B143" t="inlineStr">
        <is>
          <t>HKD</t>
        </is>
      </c>
      <c r="C143" t="n">
        <v>0.94159</v>
      </c>
    </row>
    <row r="144">
      <c r="A144" t="inlineStr">
        <is>
          <t>2025-01-13</t>
        </is>
      </c>
      <c r="B144" t="inlineStr">
        <is>
          <t>HKD</t>
        </is>
      </c>
      <c r="C144" t="n">
        <v>0.94169</v>
      </c>
    </row>
    <row r="145">
      <c r="A145" t="inlineStr">
        <is>
          <t>2025-01-14</t>
        </is>
      </c>
      <c r="B145" t="inlineStr">
        <is>
          <t>HKD</t>
        </is>
      </c>
      <c r="C145" t="n">
        <v>0.94147</v>
      </c>
    </row>
    <row r="146">
      <c r="A146" t="inlineStr">
        <is>
          <t>2025-01-15</t>
        </is>
      </c>
      <c r="B146" t="inlineStr">
        <is>
          <t>HKD</t>
        </is>
      </c>
      <c r="C146" t="n">
        <v>0.94132</v>
      </c>
    </row>
    <row r="147">
      <c r="A147" t="inlineStr">
        <is>
          <t>2025-01-16</t>
        </is>
      </c>
      <c r="B147" t="inlineStr">
        <is>
          <t>HKD</t>
        </is>
      </c>
      <c r="C147" t="n">
        <v>0.94148</v>
      </c>
    </row>
    <row r="148">
      <c r="A148" t="inlineStr">
        <is>
          <t>2025-01-17</t>
        </is>
      </c>
      <c r="B148" t="inlineStr">
        <is>
          <t>HKD</t>
        </is>
      </c>
      <c r="C148" t="n">
        <v>0.94077</v>
      </c>
    </row>
    <row r="149">
      <c r="A149" t="inlineStr">
        <is>
          <t>2025-01-20</t>
        </is>
      </c>
      <c r="B149" t="inlineStr">
        <is>
          <t>HKD</t>
        </is>
      </c>
      <c r="C149" t="n">
        <v>0.93836</v>
      </c>
    </row>
    <row r="150">
      <c r="A150" t="inlineStr">
        <is>
          <t>2025-01-21</t>
        </is>
      </c>
      <c r="B150" t="inlineStr">
        <is>
          <t>HKD</t>
        </is>
      </c>
      <c r="C150" t="n">
        <v>0.93398</v>
      </c>
    </row>
    <row r="151">
      <c r="A151" t="inlineStr">
        <is>
          <t>2025-01-22</t>
        </is>
      </c>
      <c r="B151" t="inlineStr">
        <is>
          <t>HKD</t>
        </is>
      </c>
      <c r="C151" t="n">
        <v>0.9337800000000001</v>
      </c>
    </row>
    <row r="152">
      <c r="A152" t="inlineStr">
        <is>
          <t>2025-01-23</t>
        </is>
      </c>
      <c r="B152" t="inlineStr">
        <is>
          <t>HKD</t>
        </is>
      </c>
      <c r="C152" t="n">
        <v>0.93563</v>
      </c>
    </row>
    <row r="153">
      <c r="A153" t="inlineStr">
        <is>
          <t>2025-01-24</t>
        </is>
      </c>
      <c r="B153" t="inlineStr">
        <is>
          <t>HKD</t>
        </is>
      </c>
      <c r="C153" t="n">
        <v>0.93024</v>
      </c>
    </row>
    <row r="154">
      <c r="A154" t="inlineStr">
        <is>
          <t>2025-01-27</t>
        </is>
      </c>
      <c r="B154" t="inlineStr">
        <is>
          <t>HKD</t>
        </is>
      </c>
      <c r="C154" t="n">
        <v>0.93096</v>
      </c>
    </row>
    <row r="155">
      <c r="A155" t="inlineStr">
        <is>
          <t>2025-01-28</t>
        </is>
      </c>
      <c r="B155" t="inlineStr">
        <is>
          <t>HKD</t>
        </is>
      </c>
      <c r="C155" t="n">
        <v>0.9307299999999999</v>
      </c>
    </row>
    <row r="156">
      <c r="A156" t="inlineStr">
        <is>
          <t>2025-01-29</t>
        </is>
      </c>
      <c r="B156" t="inlineStr">
        <is>
          <t>HKD</t>
        </is>
      </c>
      <c r="C156" t="n">
        <v>0.9305099999999999</v>
      </c>
    </row>
    <row r="157">
      <c r="A157" t="inlineStr">
        <is>
          <t>2025-01-30</t>
        </is>
      </c>
      <c r="B157" t="inlineStr">
        <is>
          <t>HKD</t>
        </is>
      </c>
      <c r="C157" t="n">
        <v>0.93054</v>
      </c>
    </row>
    <row r="158">
      <c r="A158" t="inlineStr">
        <is>
          <t>2025-01-31</t>
        </is>
      </c>
      <c r="B158" t="inlineStr">
        <is>
          <t>HKD</t>
        </is>
      </c>
      <c r="C158" t="n">
        <v>0.93044</v>
      </c>
    </row>
    <row r="159">
      <c r="A159" t="inlineStr">
        <is>
          <t>2025-02-03</t>
        </is>
      </c>
      <c r="B159" t="inlineStr">
        <is>
          <t>HKD</t>
        </is>
      </c>
      <c r="C159" t="n">
        <v>0.93042</v>
      </c>
    </row>
    <row r="160">
      <c r="A160" t="inlineStr">
        <is>
          <t>2025-02-04</t>
        </is>
      </c>
      <c r="B160" t="inlineStr">
        <is>
          <t>HKD</t>
        </is>
      </c>
      <c r="C160" t="n">
        <v>0.93102</v>
      </c>
    </row>
    <row r="161">
      <c r="A161" t="inlineStr">
        <is>
          <t>2025-02-05</t>
        </is>
      </c>
      <c r="B161" t="inlineStr">
        <is>
          <t>HKD</t>
        </is>
      </c>
      <c r="C161" t="n">
        <v>0.9339</v>
      </c>
    </row>
    <row r="162">
      <c r="A162" t="inlineStr">
        <is>
          <t>2025-02-06</t>
        </is>
      </c>
      <c r="B162" t="inlineStr">
        <is>
          <t>HKD</t>
        </is>
      </c>
      <c r="C162" t="n">
        <v>0.93599</v>
      </c>
    </row>
    <row r="163">
      <c r="A163" t="inlineStr">
        <is>
          <t>2025-02-07</t>
        </is>
      </c>
      <c r="B163" t="inlineStr">
        <is>
          <t>HKD</t>
        </is>
      </c>
      <c r="C163" t="n">
        <v>0.93543</v>
      </c>
    </row>
    <row r="164">
      <c r="A164" t="inlineStr">
        <is>
          <t>2025-02-10</t>
        </is>
      </c>
      <c r="B164" t="inlineStr">
        <is>
          <t>HKD</t>
        </is>
      </c>
      <c r="C164" t="n">
        <v>0.93781</v>
      </c>
    </row>
    <row r="165">
      <c r="A165" t="inlineStr">
        <is>
          <t>2025-02-11</t>
        </is>
      </c>
      <c r="B165" t="inlineStr">
        <is>
          <t>HKD</t>
        </is>
      </c>
      <c r="C165" t="n">
        <v>0.93776</v>
      </c>
    </row>
    <row r="166">
      <c r="A166" t="inlineStr">
        <is>
          <t>2025-02-12</t>
        </is>
      </c>
      <c r="B166" t="inlineStr">
        <is>
          <t>HKD</t>
        </is>
      </c>
      <c r="C166" t="n">
        <v>0.9382</v>
      </c>
    </row>
    <row r="167">
      <c r="A167" t="inlineStr">
        <is>
          <t>2025-02-13</t>
        </is>
      </c>
      <c r="B167" t="inlineStr">
        <is>
          <t>HKD</t>
        </is>
      </c>
      <c r="C167" t="n">
        <v>0.93585</v>
      </c>
    </row>
    <row r="168">
      <c r="A168" t="inlineStr">
        <is>
          <t>2025-02-14</t>
        </is>
      </c>
      <c r="B168" t="inlineStr">
        <is>
          <t>HKD</t>
        </is>
      </c>
      <c r="C168" t="n">
        <v>0.9317</v>
      </c>
    </row>
    <row r="169">
      <c r="A169" t="inlineStr">
        <is>
          <t>2025-02-17</t>
        </is>
      </c>
      <c r="B169" t="inlineStr">
        <is>
          <t>HKD</t>
        </is>
      </c>
      <c r="C169" t="n">
        <v>0.9335</v>
      </c>
    </row>
    <row r="170">
      <c r="A170" t="inlineStr">
        <is>
          <t>2025-02-18</t>
        </is>
      </c>
      <c r="B170" t="inlineStr">
        <is>
          <t>HKD</t>
        </is>
      </c>
      <c r="C170" t="n">
        <v>0.9361699999999999</v>
      </c>
    </row>
    <row r="171">
      <c r="A171" t="inlineStr">
        <is>
          <t>2025-02-19</t>
        </is>
      </c>
      <c r="B171" t="inlineStr">
        <is>
          <t>HKD</t>
        </is>
      </c>
      <c r="C171" t="n">
        <v>0.93647</v>
      </c>
    </row>
    <row r="172">
      <c r="A172" t="inlineStr">
        <is>
          <t>2025-02-20</t>
        </is>
      </c>
      <c r="B172" t="inlineStr">
        <is>
          <t>HKD</t>
        </is>
      </c>
      <c r="C172" t="n">
        <v>0.93297</v>
      </c>
    </row>
    <row r="173">
      <c r="A173" t="inlineStr">
        <is>
          <t>2025-02-21</t>
        </is>
      </c>
      <c r="B173" t="inlineStr">
        <is>
          <t>HKD</t>
        </is>
      </c>
      <c r="C173" t="n">
        <v>0.93309</v>
      </c>
    </row>
    <row r="174">
      <c r="A174" t="inlineStr">
        <is>
          <t>2025-02-24</t>
        </is>
      </c>
      <c r="B174" t="inlineStr">
        <is>
          <t>HKD</t>
        </is>
      </c>
      <c r="C174" t="n">
        <v>0.9321700000000001</v>
      </c>
    </row>
    <row r="175">
      <c r="A175" t="inlineStr">
        <is>
          <t>2025-02-25</t>
        </is>
      </c>
      <c r="B175" t="inlineStr">
        <is>
          <t>HKD</t>
        </is>
      </c>
      <c r="C175" t="n">
        <v>0.93275</v>
      </c>
    </row>
    <row r="176">
      <c r="A176" t="inlineStr">
        <is>
          <t>2025-02-26</t>
        </is>
      </c>
      <c r="B176" t="inlineStr">
        <is>
          <t>HKD</t>
        </is>
      </c>
      <c r="C176" t="n">
        <v>0.93379</v>
      </c>
    </row>
    <row r="177">
      <c r="A177" t="inlineStr">
        <is>
          <t>2025-02-27</t>
        </is>
      </c>
      <c r="B177" t="inlineStr">
        <is>
          <t>HKD</t>
        </is>
      </c>
      <c r="C177" t="n">
        <v>0.9367</v>
      </c>
    </row>
    <row r="178">
      <c r="A178" t="inlineStr">
        <is>
          <t>2025-02-28</t>
        </is>
      </c>
      <c r="B178" t="inlineStr">
        <is>
          <t>HKD</t>
        </is>
      </c>
      <c r="C178" t="n">
        <v>0.93621</v>
      </c>
    </row>
    <row r="179">
      <c r="A179" t="inlineStr">
        <is>
          <t>2025-03-03</t>
        </is>
      </c>
      <c r="B179" t="inlineStr">
        <is>
          <t>HKD</t>
        </is>
      </c>
      <c r="C179" t="n">
        <v>0.93663</v>
      </c>
    </row>
    <row r="180">
      <c r="A180" t="inlineStr">
        <is>
          <t>2025-03-04</t>
        </is>
      </c>
      <c r="B180" t="inlineStr">
        <is>
          <t>HKD</t>
        </is>
      </c>
      <c r="C180" t="n">
        <v>0.93481</v>
      </c>
    </row>
    <row r="181">
      <c r="A181" t="inlineStr">
        <is>
          <t>2025-03-05</t>
        </is>
      </c>
      <c r="B181" t="inlineStr">
        <is>
          <t>HKD</t>
        </is>
      </c>
      <c r="C181" t="n">
        <v>0.93305</v>
      </c>
    </row>
    <row r="182">
      <c r="A182" t="inlineStr">
        <is>
          <t>2025-03-06</t>
        </is>
      </c>
      <c r="B182" t="inlineStr">
        <is>
          <t>HKD</t>
        </is>
      </c>
      <c r="C182" t="n">
        <v>0.93242</v>
      </c>
    </row>
    <row r="183">
      <c r="A183" t="inlineStr">
        <is>
          <t>2025-03-07</t>
        </is>
      </c>
      <c r="B183" t="inlineStr">
        <is>
          <t>HKD</t>
        </is>
      </c>
      <c r="C183" t="n">
        <v>0.93086</v>
      </c>
    </row>
    <row r="184">
      <c r="A184" t="inlineStr">
        <is>
          <t>2025-03-10</t>
        </is>
      </c>
      <c r="B184" t="inlineStr">
        <is>
          <t>HKD</t>
        </is>
      </c>
      <c r="C184" t="n">
        <v>0.93443</v>
      </c>
    </row>
    <row r="185">
      <c r="A185" t="inlineStr">
        <is>
          <t>2025-03-11</t>
        </is>
      </c>
      <c r="B185" t="inlineStr">
        <is>
          <t>HKD</t>
        </is>
      </c>
      <c r="C185" t="n">
        <v>0.93016</v>
      </c>
    </row>
    <row r="186">
      <c r="A186" t="inlineStr">
        <is>
          <t>2025-03-12</t>
        </is>
      </c>
      <c r="B186" t="inlineStr">
        <is>
          <t>HKD</t>
        </is>
      </c>
      <c r="C186" t="n">
        <v>0.93144</v>
      </c>
    </row>
    <row r="187">
      <c r="A187" t="inlineStr">
        <is>
          <t>2025-03-13</t>
        </is>
      </c>
      <c r="B187" t="inlineStr">
        <is>
          <t>HKD</t>
        </is>
      </c>
      <c r="C187" t="n">
        <v>0.93205</v>
      </c>
    </row>
    <row r="188">
      <c r="A188" t="inlineStr">
        <is>
          <t>2025-03-14</t>
        </is>
      </c>
      <c r="B188" t="inlineStr">
        <is>
          <t>HKD</t>
        </is>
      </c>
      <c r="C188" t="n">
        <v>0.93113</v>
      </c>
    </row>
    <row r="189">
      <c r="A189" t="inlineStr">
        <is>
          <t>2025-03-17</t>
        </is>
      </c>
      <c r="B189" t="inlineStr">
        <is>
          <t>HKD</t>
        </is>
      </c>
      <c r="C189" t="n">
        <v>0.93089</v>
      </c>
    </row>
    <row r="190">
      <c r="A190" t="inlineStr">
        <is>
          <t>2025-03-18</t>
        </is>
      </c>
      <c r="B190" t="inlineStr">
        <is>
          <t>HKD</t>
        </is>
      </c>
      <c r="C190" t="n">
        <v>0.93021</v>
      </c>
    </row>
    <row r="191">
      <c r="A191" t="inlineStr">
        <is>
          <t>2025-03-19</t>
        </is>
      </c>
      <c r="B191" t="inlineStr">
        <is>
          <t>HKD</t>
        </is>
      </c>
      <c r="C191" t="n">
        <v>0.93042</v>
      </c>
    </row>
    <row r="192">
      <c r="A192" t="inlineStr">
        <is>
          <t>2025-03-20</t>
        </is>
      </c>
      <c r="B192" t="inlineStr">
        <is>
          <t>HKD</t>
        </is>
      </c>
      <c r="C192" t="n">
        <v>0.93242</v>
      </c>
    </row>
    <row r="193">
      <c r="A193" t="inlineStr">
        <is>
          <t>2025-03-21</t>
        </is>
      </c>
      <c r="B193" t="inlineStr">
        <is>
          <t>HKD</t>
        </is>
      </c>
      <c r="C193" t="n">
        <v>0.93243</v>
      </c>
    </row>
    <row r="194">
      <c r="A194" t="inlineStr">
        <is>
          <t>2025-03-24</t>
        </is>
      </c>
      <c r="B194" t="inlineStr">
        <is>
          <t>HKD</t>
        </is>
      </c>
      <c r="C194" t="n">
        <v>0.93296</v>
      </c>
    </row>
    <row r="195">
      <c r="A195" t="inlineStr">
        <is>
          <t>2025-03-25</t>
        </is>
      </c>
      <c r="B195" t="inlineStr">
        <is>
          <t>HKD</t>
        </is>
      </c>
      <c r="C195" t="n">
        <v>0.93338</v>
      </c>
    </row>
    <row r="196">
      <c r="A196" t="inlineStr">
        <is>
          <t>2025-03-26</t>
        </is>
      </c>
      <c r="B196" t="inlineStr">
        <is>
          <t>HKD</t>
        </is>
      </c>
      <c r="C196" t="n">
        <v>0.93458</v>
      </c>
    </row>
    <row r="197">
      <c r="A197" t="inlineStr">
        <is>
          <t>2025-03-27</t>
        </is>
      </c>
      <c r="B197" t="inlineStr">
        <is>
          <t>HKD</t>
        </is>
      </c>
      <c r="C197" t="n">
        <v>0.93427</v>
      </c>
    </row>
    <row r="198">
      <c r="A198" t="inlineStr">
        <is>
          <t>2025-03-28</t>
        </is>
      </c>
      <c r="B198" t="inlineStr">
        <is>
          <t>HKD</t>
        </is>
      </c>
      <c r="C198" t="n">
        <v>0.93368</v>
      </c>
    </row>
    <row r="199">
      <c r="A199" t="inlineStr">
        <is>
          <t>2025-03-31</t>
        </is>
      </c>
      <c r="B199" t="inlineStr">
        <is>
          <t>HKD</t>
        </is>
      </c>
      <c r="C199" t="n">
        <v>0.93268</v>
      </c>
    </row>
    <row r="200">
      <c r="A200" t="inlineStr">
        <is>
          <t>2025-04-01</t>
        </is>
      </c>
      <c r="B200" t="inlineStr">
        <is>
          <t>HKD</t>
        </is>
      </c>
      <c r="C200" t="n">
        <v>0.93428</v>
      </c>
    </row>
    <row r="201">
      <c r="A201" t="inlineStr">
        <is>
          <t>2025-04-02</t>
        </is>
      </c>
      <c r="B201" t="inlineStr">
        <is>
          <t>HKD</t>
        </is>
      </c>
      <c r="C201" t="n">
        <v>0.93386</v>
      </c>
    </row>
    <row r="202">
      <c r="A202" t="inlineStr">
        <is>
          <t>2025-04-03</t>
        </is>
      </c>
      <c r="B202" t="inlineStr">
        <is>
          <t>HKD</t>
        </is>
      </c>
      <c r="C202" t="n">
        <v>0.93609</v>
      </c>
    </row>
    <row r="203">
      <c r="A203" t="inlineStr">
        <is>
          <t>2025-04-04</t>
        </is>
      </c>
      <c r="B203" t="inlineStr">
        <is>
          <t>HKD</t>
        </is>
      </c>
      <c r="C203" t="n">
        <v>0.93648</v>
      </c>
    </row>
    <row r="204">
      <c r="A204" t="inlineStr">
        <is>
          <t>2025-04-07</t>
        </is>
      </c>
      <c r="B204" t="inlineStr">
        <is>
          <t>HKD</t>
        </is>
      </c>
      <c r="C204" t="n">
        <v>0.9408300000000001</v>
      </c>
    </row>
    <row r="205">
      <c r="A205" t="inlineStr">
        <is>
          <t>2025-04-08</t>
        </is>
      </c>
      <c r="B205" t="inlineStr">
        <is>
          <t>HKD</t>
        </is>
      </c>
      <c r="C205" t="n">
        <v>0.94438</v>
      </c>
    </row>
    <row r="206">
      <c r="A206" t="inlineStr">
        <is>
          <t>2025-04-09</t>
        </is>
      </c>
      <c r="B206" t="inlineStr">
        <is>
          <t>HKD</t>
        </is>
      </c>
      <c r="C206" t="n">
        <v>0.94698</v>
      </c>
    </row>
    <row r="207">
      <c r="A207" t="inlineStr">
        <is>
          <t>2025-04-10</t>
        </is>
      </c>
      <c r="B207" t="inlineStr">
        <is>
          <t>HKD</t>
        </is>
      </c>
      <c r="C207" t="n">
        <v>0.94267</v>
      </c>
    </row>
    <row r="208">
      <c r="A208" t="inlineStr">
        <is>
          <t>2025-04-11</t>
        </is>
      </c>
      <c r="B208" t="inlineStr">
        <is>
          <t>HKD</t>
        </is>
      </c>
      <c r="C208" t="n">
        <v>0.9404</v>
      </c>
    </row>
    <row r="209">
      <c r="A209" t="inlineStr">
        <is>
          <t>2025-04-14</t>
        </is>
      </c>
      <c r="B209" t="inlineStr">
        <is>
          <t>HKD</t>
        </is>
      </c>
      <c r="C209" t="n">
        <v>0.94272</v>
      </c>
    </row>
    <row r="210">
      <c r="A210" t="inlineStr">
        <is>
          <t>2025-04-15</t>
        </is>
      </c>
      <c r="B210" t="inlineStr">
        <is>
          <t>HKD</t>
        </is>
      </c>
      <c r="C210" t="n">
        <v>0.94295</v>
      </c>
    </row>
    <row r="211">
      <c r="A211" t="inlineStr">
        <is>
          <t>2025-04-16</t>
        </is>
      </c>
      <c r="B211" t="inlineStr">
        <is>
          <t>HKD</t>
        </is>
      </c>
      <c r="C211" t="n">
        <v>0.9411</v>
      </c>
    </row>
    <row r="212">
      <c r="A212" t="inlineStr">
        <is>
          <t>2025-04-17</t>
        </is>
      </c>
      <c r="B212" t="inlineStr">
        <is>
          <t>HKD</t>
        </is>
      </c>
      <c r="C212" t="n">
        <v>0.94011</v>
      </c>
    </row>
    <row r="213">
      <c r="A213" t="inlineStr">
        <is>
          <t>2025-04-18</t>
        </is>
      </c>
      <c r="B213" t="inlineStr">
        <is>
          <t>HKD</t>
        </is>
      </c>
      <c r="C213" t="n">
        <v>0.94041</v>
      </c>
    </row>
    <row r="214">
      <c r="A214" t="inlineStr">
        <is>
          <t>2025-04-21</t>
        </is>
      </c>
      <c r="B214" t="inlineStr">
        <is>
          <t>EUR</t>
        </is>
      </c>
      <c r="C214" t="n">
        <v>8.39683</v>
      </c>
    </row>
    <row r="215">
      <c r="A215" t="inlineStr">
        <is>
          <t>2025-04-21</t>
        </is>
      </c>
      <c r="B215" t="inlineStr">
        <is>
          <t>HKD</t>
        </is>
      </c>
      <c r="C215" t="n">
        <v>0.93967</v>
      </c>
    </row>
    <row r="216">
      <c r="A216" t="inlineStr">
        <is>
          <t>2025-04-21</t>
        </is>
      </c>
      <c r="B216" t="inlineStr">
        <is>
          <t>JPY</t>
        </is>
      </c>
      <c r="C216" t="n">
        <v>0.049211</v>
      </c>
    </row>
    <row r="217">
      <c r="A217" t="inlineStr">
        <is>
          <t>2025-04-21</t>
        </is>
      </c>
      <c r="B217" t="inlineStr">
        <is>
          <t>USD</t>
        </is>
      </c>
      <c r="C217" t="n">
        <v>7.2924</v>
      </c>
    </row>
    <row r="218">
      <c r="A218" t="inlineStr">
        <is>
          <t>2025-04-22</t>
        </is>
      </c>
      <c r="B218" t="inlineStr">
        <is>
          <t>EUR</t>
        </is>
      </c>
      <c r="C218" t="n">
        <v>8.35101</v>
      </c>
    </row>
    <row r="219">
      <c r="A219" t="inlineStr">
        <is>
          <t>2025-04-22</t>
        </is>
      </c>
      <c r="B219" t="inlineStr">
        <is>
          <t>HKD</t>
        </is>
      </c>
      <c r="C219" t="n">
        <v>0.94246</v>
      </c>
    </row>
    <row r="220">
      <c r="A220" t="inlineStr">
        <is>
          <t>2025-04-22</t>
        </is>
      </c>
      <c r="B220" t="inlineStr">
        <is>
          <t>JPY</t>
        </is>
      </c>
      <c r="C220" t="n">
        <v>0.049098</v>
      </c>
    </row>
    <row r="221">
      <c r="A221" t="inlineStr">
        <is>
          <t>2025-04-22</t>
        </is>
      </c>
      <c r="B221" t="inlineStr">
        <is>
          <t>USD</t>
        </is>
      </c>
      <c r="C221" t="n">
        <v>7.3123</v>
      </c>
    </row>
    <row r="222">
      <c r="A222" t="inlineStr">
        <is>
          <t>2025-04-23</t>
        </is>
      </c>
      <c r="B222" t="inlineStr">
        <is>
          <t>EUR</t>
        </is>
      </c>
      <c r="C222" t="n">
        <v>8.245240000000001</v>
      </c>
    </row>
    <row r="223">
      <c r="A223" t="inlineStr">
        <is>
          <t>2025-04-23</t>
        </is>
      </c>
      <c r="B223" t="inlineStr">
        <is>
          <t>HKD</t>
        </is>
      </c>
      <c r="C223" t="n">
        <v>0.93889</v>
      </c>
    </row>
    <row r="224">
      <c r="A224" t="inlineStr">
        <is>
          <t>2025-04-23</t>
        </is>
      </c>
      <c r="B224" t="inlineStr">
        <is>
          <t>JPY</t>
        </is>
      </c>
      <c r="C224" t="n">
        <v>0.048858</v>
      </c>
    </row>
    <row r="225">
      <c r="A225" t="inlineStr">
        <is>
          <t>2025-04-23</t>
        </is>
      </c>
      <c r="B225" t="inlineStr">
        <is>
          <t>USD</t>
        </is>
      </c>
      <c r="C225" t="n">
        <v>7.287</v>
      </c>
    </row>
    <row r="226">
      <c r="A226" t="inlineStr">
        <is>
          <t>2025-04-24</t>
        </is>
      </c>
      <c r="B226" t="inlineStr">
        <is>
          <t>EUR</t>
        </is>
      </c>
      <c r="C226" t="n">
        <v>8.301119999999999</v>
      </c>
    </row>
    <row r="227">
      <c r="A227" t="inlineStr">
        <is>
          <t>2025-04-24</t>
        </is>
      </c>
      <c r="B227" t="inlineStr">
        <is>
          <t>HKD</t>
        </is>
      </c>
      <c r="C227" t="n">
        <v>0.93928</v>
      </c>
    </row>
    <row r="228">
      <c r="A228" t="inlineStr">
        <is>
          <t>2025-04-24</t>
        </is>
      </c>
      <c r="B228" t="inlineStr">
        <is>
          <t>JPY</t>
        </is>
      </c>
      <c r="C228" t="n">
        <v>0.04924</v>
      </c>
    </row>
    <row r="229">
      <c r="A229" t="inlineStr">
        <is>
          <t>2025-04-24</t>
        </is>
      </c>
      <c r="B229" t="inlineStr">
        <is>
          <t>USD</t>
        </is>
      </c>
      <c r="C229" t="n">
        <v>7.2884</v>
      </c>
    </row>
    <row r="230">
      <c r="A230" t="inlineStr">
        <is>
          <t>2025-04-25</t>
        </is>
      </c>
      <c r="B230" t="inlineStr">
        <is>
          <t>EUR</t>
        </is>
      </c>
      <c r="C230" t="n">
        <v>8.28247</v>
      </c>
    </row>
    <row r="231">
      <c r="A231" t="inlineStr">
        <is>
          <t>2025-04-25</t>
        </is>
      </c>
      <c r="B231" t="inlineStr">
        <is>
          <t>HKD</t>
        </is>
      </c>
      <c r="C231" t="n">
        <v>0.9392200000000001</v>
      </c>
    </row>
    <row r="232">
      <c r="A232" t="inlineStr">
        <is>
          <t>2025-04-25</t>
        </is>
      </c>
      <c r="B232" t="inlineStr">
        <is>
          <t>JPY</t>
        </is>
      </c>
      <c r="C232" t="n">
        <v>0.049379</v>
      </c>
    </row>
    <row r="233">
      <c r="A233" t="inlineStr">
        <is>
          <t>2025-04-25</t>
        </is>
      </c>
      <c r="B233" t="inlineStr">
        <is>
          <t>USD</t>
        </is>
      </c>
      <c r="C233" t="n">
        <v>7.2877</v>
      </c>
    </row>
    <row r="234">
      <c r="A234" t="inlineStr">
        <is>
          <t>2025-04-27</t>
        </is>
      </c>
      <c r="B234" t="inlineStr">
        <is>
          <t>USD</t>
        </is>
      </c>
      <c r="C234" t="n">
        <v>7.2877</v>
      </c>
    </row>
    <row r="235">
      <c r="A235" t="inlineStr">
        <is>
          <t>2025-04-28</t>
        </is>
      </c>
      <c r="B235" t="inlineStr">
        <is>
          <t>EUR</t>
        </is>
      </c>
      <c r="C235" t="n">
        <v>8.33201</v>
      </c>
    </row>
    <row r="236">
      <c r="A236" t="inlineStr">
        <is>
          <t>2025-04-28</t>
        </is>
      </c>
      <c r="B236" t="inlineStr">
        <is>
          <t>HKD</t>
        </is>
      </c>
      <c r="C236" t="n">
        <v>0.94036</v>
      </c>
    </row>
    <row r="237">
      <c r="A237" t="inlineStr">
        <is>
          <t>2025-04-28</t>
        </is>
      </c>
      <c r="B237" t="inlineStr">
        <is>
          <t>JPY</t>
        </is>
      </c>
      <c r="C237" t="n">
        <v>0.049017</v>
      </c>
    </row>
    <row r="238">
      <c r="A238" t="inlineStr">
        <is>
          <t>2025-04-28</t>
        </is>
      </c>
      <c r="B238" t="inlineStr">
        <is>
          <t>USD</t>
        </is>
      </c>
      <c r="C238" t="n">
        <v>7.2947</v>
      </c>
    </row>
    <row r="239">
      <c r="A239" t="inlineStr">
        <is>
          <t>2025-04-29</t>
        </is>
      </c>
      <c r="B239" t="inlineStr">
        <is>
          <t>EUR</t>
        </is>
      </c>
      <c r="C239" t="n">
        <v>8.27669</v>
      </c>
    </row>
    <row r="240">
      <c r="A240" t="inlineStr">
        <is>
          <t>2025-04-29</t>
        </is>
      </c>
      <c r="B240" t="inlineStr">
        <is>
          <t>HKD</t>
        </is>
      </c>
      <c r="C240" t="n">
        <v>0.93685</v>
      </c>
    </row>
    <row r="241">
      <c r="A241" t="inlineStr">
        <is>
          <t>2025-04-29</t>
        </is>
      </c>
      <c r="B241" t="inlineStr">
        <is>
          <t>JPY</t>
        </is>
      </c>
      <c r="C241" t="n">
        <v>0.049448</v>
      </c>
    </row>
    <row r="242">
      <c r="A242" t="inlineStr">
        <is>
          <t>2025-04-29</t>
        </is>
      </c>
      <c r="B242" t="inlineStr">
        <is>
          <t>USD</t>
        </is>
      </c>
      <c r="C242" t="n">
        <v>7.2695</v>
      </c>
    </row>
    <row r="243">
      <c r="A243" t="inlineStr">
        <is>
          <t>2025-04-30</t>
        </is>
      </c>
      <c r="B243" t="inlineStr">
        <is>
          <t>EUR</t>
        </is>
      </c>
      <c r="C243" t="n">
        <v>8.237349999999999</v>
      </c>
    </row>
    <row r="244">
      <c r="A244" t="inlineStr">
        <is>
          <t>2025-04-30</t>
        </is>
      </c>
      <c r="B244" t="inlineStr">
        <is>
          <t>HKD</t>
        </is>
      </c>
      <c r="C244" t="n">
        <v>0.93745</v>
      </c>
    </row>
    <row r="245">
      <c r="A245" t="inlineStr">
        <is>
          <t>2025-04-30</t>
        </is>
      </c>
      <c r="B245" t="inlineStr">
        <is>
          <t>JPY</t>
        </is>
      </c>
      <c r="C245" t="n">
        <v>0.049568</v>
      </c>
    </row>
    <row r="246">
      <c r="A246" t="inlineStr">
        <is>
          <t>2025-04-30</t>
        </is>
      </c>
      <c r="B246" t="inlineStr">
        <is>
          <t>USD</t>
        </is>
      </c>
      <c r="C246" t="n">
        <v>7.27135</v>
      </c>
    </row>
    <row r="247">
      <c r="A247" t="inlineStr">
        <is>
          <t>2025-05-01</t>
        </is>
      </c>
      <c r="B247" t="inlineStr">
        <is>
          <t>EUR</t>
        </is>
      </c>
      <c r="C247" t="n">
        <v>8.211169999999999</v>
      </c>
    </row>
    <row r="248">
      <c r="A248" t="inlineStr">
        <is>
          <t>2025-05-01</t>
        </is>
      </c>
      <c r="B248" t="inlineStr">
        <is>
          <t>HKD</t>
        </is>
      </c>
      <c r="C248" t="n">
        <v>0.93733</v>
      </c>
    </row>
    <row r="249">
      <c r="A249" t="inlineStr">
        <is>
          <t>2025-05-01</t>
        </is>
      </c>
      <c r="B249" t="inlineStr">
        <is>
          <t>JPY</t>
        </is>
      </c>
      <c r="C249" t="n">
        <v>0.049253</v>
      </c>
    </row>
    <row r="250">
      <c r="A250" t="inlineStr">
        <is>
          <t>2025-05-01</t>
        </is>
      </c>
      <c r="B250" t="inlineStr">
        <is>
          <t>USD</t>
        </is>
      </c>
      <c r="C250" t="n">
        <v>7.27135</v>
      </c>
    </row>
    <row r="251">
      <c r="A251" t="inlineStr">
        <is>
          <t>2025-05-02</t>
        </is>
      </c>
      <c r="B251" t="inlineStr">
        <is>
          <t>EUR</t>
        </is>
      </c>
      <c r="C251" t="n">
        <v>8.21372</v>
      </c>
    </row>
    <row r="252">
      <c r="A252" t="inlineStr">
        <is>
          <t>2025-05-02</t>
        </is>
      </c>
      <c r="B252" t="inlineStr">
        <is>
          <t>HKD</t>
        </is>
      </c>
      <c r="C252" t="n">
        <v>0.93813</v>
      </c>
    </row>
    <row r="253">
      <c r="A253" t="inlineStr">
        <is>
          <t>2025-05-02</t>
        </is>
      </c>
      <c r="B253" t="inlineStr">
        <is>
          <t>JPY</t>
        </is>
      </c>
      <c r="C253" t="n">
        <v>0.049468</v>
      </c>
    </row>
    <row r="254">
      <c r="A254" t="inlineStr">
        <is>
          <t>2025-05-02</t>
        </is>
      </c>
      <c r="B254" t="inlineStr">
        <is>
          <t>USD</t>
        </is>
      </c>
      <c r="C254" t="n">
        <v>7.27135</v>
      </c>
    </row>
    <row r="255">
      <c r="A255" t="inlineStr">
        <is>
          <t>2025-05-05</t>
        </is>
      </c>
      <c r="B255" t="inlineStr">
        <is>
          <t>EUR</t>
        </is>
      </c>
      <c r="C255" t="n">
        <v>8.227169999999999</v>
      </c>
    </row>
    <row r="256">
      <c r="A256" t="inlineStr">
        <is>
          <t>2025-05-05</t>
        </is>
      </c>
      <c r="B256" t="inlineStr">
        <is>
          <t>HKD</t>
        </is>
      </c>
      <c r="C256" t="n">
        <v>0.93812</v>
      </c>
    </row>
    <row r="257">
      <c r="A257" t="inlineStr">
        <is>
          <t>2025-05-05</t>
        </is>
      </c>
      <c r="B257" t="inlineStr">
        <is>
          <t>JPY</t>
        </is>
      </c>
      <c r="C257" t="n">
        <v>0.049638</v>
      </c>
    </row>
    <row r="258">
      <c r="A258" t="inlineStr">
        <is>
          <t>2025-05-05</t>
        </is>
      </c>
      <c r="B258" t="inlineStr">
        <is>
          <t>USD</t>
        </is>
      </c>
      <c r="C258" t="n">
        <v>7.27135</v>
      </c>
    </row>
    <row r="259">
      <c r="A259" t="inlineStr">
        <is>
          <t>2025-05-06</t>
        </is>
      </c>
      <c r="B259" t="inlineStr">
        <is>
          <t>EUR</t>
        </is>
      </c>
      <c r="C259" t="n">
        <v>8.20542</v>
      </c>
    </row>
    <row r="260">
      <c r="A260" t="inlineStr">
        <is>
          <t>2025-05-06</t>
        </is>
      </c>
      <c r="B260" t="inlineStr">
        <is>
          <t>HKD</t>
        </is>
      </c>
      <c r="C260" t="n">
        <v>0.93076</v>
      </c>
    </row>
    <row r="261">
      <c r="A261" t="inlineStr">
        <is>
          <t>2025-05-06</t>
        </is>
      </c>
      <c r="B261" t="inlineStr">
        <is>
          <t>JPY</t>
        </is>
      </c>
      <c r="C261" t="n">
        <v>0.049291</v>
      </c>
    </row>
    <row r="262">
      <c r="A262" t="inlineStr">
        <is>
          <t>2025-05-06</t>
        </is>
      </c>
      <c r="B262" t="inlineStr">
        <is>
          <t>USD</t>
        </is>
      </c>
      <c r="C262" t="n">
        <v>7.21705</v>
      </c>
    </row>
    <row r="263">
      <c r="A263" t="inlineStr">
        <is>
          <t>2025-05-07</t>
        </is>
      </c>
      <c r="B263" t="inlineStr">
        <is>
          <t>EUR</t>
        </is>
      </c>
      <c r="C263" t="n">
        <v>8.164529999999999</v>
      </c>
    </row>
    <row r="264">
      <c r="A264" t="inlineStr">
        <is>
          <t>2025-05-07</t>
        </is>
      </c>
      <c r="B264" t="inlineStr">
        <is>
          <t>HKD</t>
        </is>
      </c>
      <c r="C264" t="n">
        <v>0.93084</v>
      </c>
    </row>
    <row r="265">
      <c r="A265" t="inlineStr">
        <is>
          <t>2025-05-07</t>
        </is>
      </c>
      <c r="B265" t="inlineStr">
        <is>
          <t>JPY</t>
        </is>
      </c>
      <c r="C265" t="n">
        <v>0.048977</v>
      </c>
    </row>
    <row r="266">
      <c r="A266" t="inlineStr">
        <is>
          <t>2025-05-07</t>
        </is>
      </c>
      <c r="B266" t="inlineStr">
        <is>
          <t>USD</t>
        </is>
      </c>
      <c r="C266" t="n">
        <v>7.22525</v>
      </c>
    </row>
    <row r="267">
      <c r="A267" t="inlineStr">
        <is>
          <t>2025-05-08</t>
        </is>
      </c>
      <c r="B267" t="inlineStr">
        <is>
          <t>EUR</t>
        </is>
      </c>
      <c r="C267" t="n">
        <v>8.12318</v>
      </c>
    </row>
    <row r="268">
      <c r="A268" t="inlineStr">
        <is>
          <t>2025-05-08</t>
        </is>
      </c>
      <c r="B268" t="inlineStr">
        <is>
          <t>HKD</t>
        </is>
      </c>
      <c r="C268" t="n">
        <v>0.93053</v>
      </c>
    </row>
    <row r="269">
      <c r="A269" t="inlineStr">
        <is>
          <t>2025-05-08</t>
        </is>
      </c>
      <c r="B269" t="inlineStr">
        <is>
          <t>JPY</t>
        </is>
      </c>
      <c r="C269" t="n">
        <v>0.0492</v>
      </c>
    </row>
    <row r="270">
      <c r="A270" t="inlineStr">
        <is>
          <t>2025-05-08</t>
        </is>
      </c>
      <c r="B270" t="inlineStr">
        <is>
          <t>USD</t>
        </is>
      </c>
      <c r="C270" t="n">
        <v>7.23475</v>
      </c>
    </row>
    <row r="271">
      <c r="A271" t="inlineStr">
        <is>
          <t>2025-05-09</t>
        </is>
      </c>
      <c r="B271" t="inlineStr">
        <is>
          <t>EUR</t>
        </is>
      </c>
      <c r="C271" t="n">
        <v>8.14012</v>
      </c>
    </row>
    <row r="272">
      <c r="A272" t="inlineStr">
        <is>
          <t>2025-05-09</t>
        </is>
      </c>
      <c r="B272" t="inlineStr">
        <is>
          <t>HKD</t>
        </is>
      </c>
      <c r="C272" t="n">
        <v>0.93027</v>
      </c>
    </row>
    <row r="273">
      <c r="A273" t="inlineStr">
        <is>
          <t>2025-05-09</t>
        </is>
      </c>
      <c r="B273" t="inlineStr">
        <is>
          <t>JPY</t>
        </is>
      </c>
      <c r="C273" t="n">
        <v>0.049325</v>
      </c>
    </row>
    <row r="274">
      <c r="A274" t="inlineStr">
        <is>
          <t>2025-05-09</t>
        </is>
      </c>
      <c r="B274" t="inlineStr">
        <is>
          <t>USD</t>
        </is>
      </c>
      <c r="C274" t="n">
        <v>7.23695</v>
      </c>
    </row>
    <row r="275">
      <c r="A275" t="inlineStr">
        <is>
          <t>2025-05-12</t>
        </is>
      </c>
      <c r="B275" t="inlineStr">
        <is>
          <t>EUR</t>
        </is>
      </c>
      <c r="C275" t="n">
        <v>7.98616</v>
      </c>
    </row>
    <row r="276">
      <c r="A276" t="inlineStr">
        <is>
          <t>2025-05-12</t>
        </is>
      </c>
      <c r="B276" t="inlineStr">
        <is>
          <t>HKD</t>
        </is>
      </c>
      <c r="C276" t="n">
        <v>0.92433</v>
      </c>
    </row>
    <row r="277">
      <c r="A277" t="inlineStr">
        <is>
          <t>2025-05-12</t>
        </is>
      </c>
      <c r="B277" t="inlineStr">
        <is>
          <t>JPY</t>
        </is>
      </c>
      <c r="C277" t="n">
        <v>0.0492</v>
      </c>
    </row>
    <row r="278">
      <c r="A278" t="inlineStr">
        <is>
          <t>2025-05-12</t>
        </is>
      </c>
      <c r="B278" t="inlineStr">
        <is>
          <t>USD</t>
        </is>
      </c>
      <c r="C278" t="n">
        <v>7.20285</v>
      </c>
    </row>
    <row r="279">
      <c r="A279" t="inlineStr">
        <is>
          <t>2025-05-13</t>
        </is>
      </c>
      <c r="B279" t="inlineStr">
        <is>
          <t>EUR</t>
        </is>
      </c>
      <c r="C279" t="n">
        <v>8.06066</v>
      </c>
    </row>
    <row r="280">
      <c r="A280" t="inlineStr">
        <is>
          <t>2025-05-13</t>
        </is>
      </c>
      <c r="B280" t="inlineStr">
        <is>
          <t>HKD</t>
        </is>
      </c>
      <c r="C280" t="n">
        <v>0.92415</v>
      </c>
    </row>
    <row r="281">
      <c r="A281" t="inlineStr">
        <is>
          <t>2025-05-13</t>
        </is>
      </c>
      <c r="B281" t="inlineStr">
        <is>
          <t>JPY</t>
        </is>
      </c>
      <c r="C281" t="n">
        <v>0.04868</v>
      </c>
    </row>
    <row r="282">
      <c r="A282" t="inlineStr">
        <is>
          <t>2025-05-13</t>
        </is>
      </c>
      <c r="B282" t="inlineStr">
        <is>
          <t>USD</t>
        </is>
      </c>
      <c r="C282" t="n">
        <v>7.20635</v>
      </c>
    </row>
    <row r="283">
      <c r="A283" t="inlineStr">
        <is>
          <t>2025-05-14</t>
        </is>
      </c>
      <c r="B283" t="inlineStr">
        <is>
          <t>EUR</t>
        </is>
      </c>
      <c r="C283" t="n">
        <v>8.0555</v>
      </c>
    </row>
    <row r="284">
      <c r="A284" t="inlineStr">
        <is>
          <t>2025-05-14</t>
        </is>
      </c>
      <c r="B284" t="inlineStr">
        <is>
          <t>HKD</t>
        </is>
      </c>
      <c r="C284" t="n">
        <v>0.92319</v>
      </c>
    </row>
    <row r="285">
      <c r="A285" t="inlineStr">
        <is>
          <t>2025-05-14</t>
        </is>
      </c>
      <c r="B285" t="inlineStr">
        <is>
          <t>JPY</t>
        </is>
      </c>
      <c r="C285" t="n">
        <v>0.048161</v>
      </c>
    </row>
    <row r="286">
      <c r="A286" t="inlineStr">
        <is>
          <t>2025-05-14</t>
        </is>
      </c>
      <c r="B286" t="inlineStr">
        <is>
          <t>USD</t>
        </is>
      </c>
      <c r="C286" t="n">
        <v>7.2085</v>
      </c>
    </row>
    <row r="287">
      <c r="A287" t="inlineStr">
        <is>
          <t>2025-05-15</t>
        </is>
      </c>
      <c r="B287" t="inlineStr">
        <is>
          <t>EUR</t>
        </is>
      </c>
      <c r="C287" t="n">
        <v>8.064249999999999</v>
      </c>
    </row>
    <row r="288">
      <c r="A288" t="inlineStr">
        <is>
          <t>2025-05-15</t>
        </is>
      </c>
      <c r="B288" t="inlineStr">
        <is>
          <t>HKD</t>
        </is>
      </c>
      <c r="C288" t="n">
        <v>0.92317</v>
      </c>
    </row>
    <row r="289">
      <c r="A289" t="inlineStr">
        <is>
          <t>2025-05-15</t>
        </is>
      </c>
      <c r="B289" t="inlineStr">
        <is>
          <t>JPY</t>
        </is>
      </c>
      <c r="C289" t="n">
        <v>0.04791</v>
      </c>
    </row>
    <row r="290">
      <c r="A290" t="inlineStr">
        <is>
          <t>2025-05-15</t>
        </is>
      </c>
      <c r="B290" t="inlineStr">
        <is>
          <t>USD</t>
        </is>
      </c>
      <c r="C290" t="n">
        <v>7.2073</v>
      </c>
    </row>
    <row r="291">
      <c r="A291" t="inlineStr">
        <is>
          <t>2025-05-16</t>
        </is>
      </c>
      <c r="B291" t="inlineStr">
        <is>
          <t>EUR</t>
        </is>
      </c>
      <c r="C291" t="n">
        <v>8.04833</v>
      </c>
    </row>
    <row r="292">
      <c r="A292" t="inlineStr">
        <is>
          <t>2025-05-16</t>
        </is>
      </c>
      <c r="B292" t="inlineStr">
        <is>
          <t>HKD</t>
        </is>
      </c>
      <c r="C292" t="n">
        <v>0.92247</v>
      </c>
    </row>
    <row r="293">
      <c r="A293" t="inlineStr">
        <is>
          <t>2025-05-16</t>
        </is>
      </c>
      <c r="B293" t="inlineStr">
        <is>
          <t>JPY</t>
        </is>
      </c>
      <c r="C293" t="n">
        <v>0.047831</v>
      </c>
    </row>
    <row r="294">
      <c r="A294" t="inlineStr">
        <is>
          <t>2025-05-16</t>
        </is>
      </c>
      <c r="B294" t="inlineStr">
        <is>
          <t>USD</t>
        </is>
      </c>
      <c r="C294" t="n">
        <v>7.2095</v>
      </c>
    </row>
    <row r="295">
      <c r="A295" t="inlineStr">
        <is>
          <t>2025-05-19</t>
        </is>
      </c>
      <c r="B295" t="inlineStr">
        <is>
          <t>EUR</t>
        </is>
      </c>
      <c r="C295" t="n">
        <v>8.112019999999999</v>
      </c>
    </row>
    <row r="296">
      <c r="A296" t="inlineStr">
        <is>
          <t>2025-05-19</t>
        </is>
      </c>
      <c r="B296" t="inlineStr">
        <is>
          <t>HKD</t>
        </is>
      </c>
      <c r="C296" t="n">
        <v>0.92238</v>
      </c>
    </row>
    <row r="297">
      <c r="A297" t="inlineStr">
        <is>
          <t>2025-05-19</t>
        </is>
      </c>
      <c r="B297" t="inlineStr">
        <is>
          <t>JPY</t>
        </is>
      </c>
      <c r="C297" t="n">
        <v>0.047689</v>
      </c>
    </row>
    <row r="298">
      <c r="A298" t="inlineStr">
        <is>
          <t>2025-05-19</t>
        </is>
      </c>
      <c r="B298" t="inlineStr">
        <is>
          <t>USD</t>
        </is>
      </c>
      <c r="C298" t="n">
        <v>7.21485</v>
      </c>
    </row>
    <row r="299">
      <c r="A299" t="inlineStr">
        <is>
          <t>2025-05-20</t>
        </is>
      </c>
      <c r="B299" t="inlineStr">
        <is>
          <t>EUR</t>
        </is>
      </c>
      <c r="C299" t="n">
        <v>8.145759999999999</v>
      </c>
    </row>
    <row r="300">
      <c r="A300" t="inlineStr">
        <is>
          <t>2025-05-20</t>
        </is>
      </c>
      <c r="B300" t="inlineStr">
        <is>
          <t>HKD</t>
        </is>
      </c>
      <c r="C300" t="n">
        <v>0.92238</v>
      </c>
    </row>
    <row r="301">
      <c r="A301" t="inlineStr">
        <is>
          <t>2025-05-20</t>
        </is>
      </c>
      <c r="B301" t="inlineStr">
        <is>
          <t>JPY</t>
        </is>
      </c>
      <c r="C301" t="n">
        <v>0.047363</v>
      </c>
    </row>
    <row r="302">
      <c r="A302" t="inlineStr">
        <is>
          <t>2025-05-20</t>
        </is>
      </c>
      <c r="B302" t="inlineStr">
        <is>
          <t>USD</t>
        </is>
      </c>
      <c r="C302" t="n">
        <v>7.2195</v>
      </c>
    </row>
    <row r="303">
      <c r="A303" t="inlineStr">
        <is>
          <t>2025-05-21</t>
        </is>
      </c>
      <c r="B303" t="inlineStr">
        <is>
          <t>EUR</t>
        </is>
      </c>
      <c r="C303" t="n">
        <v>8.161149999999999</v>
      </c>
    </row>
    <row r="304">
      <c r="A304" t="inlineStr">
        <is>
          <t>2025-05-21</t>
        </is>
      </c>
      <c r="B304" t="inlineStr">
        <is>
          <t>HKD</t>
        </is>
      </c>
      <c r="C304" t="n">
        <v>0.91952</v>
      </c>
    </row>
    <row r="305">
      <c r="A305" t="inlineStr">
        <is>
          <t>2025-05-21</t>
        </is>
      </c>
      <c r="B305" t="inlineStr">
        <is>
          <t>JPY</t>
        </is>
      </c>
      <c r="C305" t="n">
        <v>0.047474</v>
      </c>
    </row>
    <row r="306">
      <c r="A306" t="inlineStr">
        <is>
          <t>2025-05-21</t>
        </is>
      </c>
      <c r="B306" t="inlineStr">
        <is>
          <t>USD</t>
        </is>
      </c>
      <c r="C306" t="n">
        <v>7.2025</v>
      </c>
    </row>
    <row r="307">
      <c r="A307" t="inlineStr">
        <is>
          <t>2025-05-22</t>
        </is>
      </c>
      <c r="B307" t="inlineStr">
        <is>
          <t>EUR</t>
        </is>
      </c>
      <c r="C307" t="n">
        <v>8.126810000000001</v>
      </c>
    </row>
    <row r="308">
      <c r="A308" t="inlineStr">
        <is>
          <t>2025-05-22</t>
        </is>
      </c>
      <c r="B308" t="inlineStr">
        <is>
          <t>HKD</t>
        </is>
      </c>
      <c r="C308" t="n">
        <v>0.92039</v>
      </c>
    </row>
    <row r="309">
      <c r="A309" t="inlineStr">
        <is>
          <t>2025-05-22</t>
        </is>
      </c>
      <c r="B309" t="inlineStr">
        <is>
          <t>JPY</t>
        </is>
      </c>
      <c r="C309" t="n">
        <v>0.047206</v>
      </c>
    </row>
    <row r="310">
      <c r="A310" t="inlineStr">
        <is>
          <t>2025-05-22</t>
        </is>
      </c>
      <c r="B310" t="inlineStr">
        <is>
          <t>USD</t>
        </is>
      </c>
      <c r="C310" t="n">
        <v>7.2043</v>
      </c>
    </row>
    <row r="311">
      <c r="A311" t="inlineStr">
        <is>
          <t>2025-05-23</t>
        </is>
      </c>
      <c r="B311" t="inlineStr">
        <is>
          <t>EUR</t>
        </is>
      </c>
      <c r="C311" t="n">
        <v>8.16075</v>
      </c>
    </row>
    <row r="312">
      <c r="A312" t="inlineStr">
        <is>
          <t>2025-05-23</t>
        </is>
      </c>
      <c r="B312" t="inlineStr">
        <is>
          <t>HKD</t>
        </is>
      </c>
      <c r="C312" t="n">
        <v>0.91664</v>
      </c>
    </row>
    <row r="313">
      <c r="A313" t="inlineStr">
        <is>
          <t>2025-05-23</t>
        </is>
      </c>
      <c r="B313" t="inlineStr">
        <is>
          <t>JPY</t>
        </is>
      </c>
      <c r="C313" t="n">
        <v>0.047349</v>
      </c>
    </row>
    <row r="314">
      <c r="A314" t="inlineStr">
        <is>
          <t>2025-05-23</t>
        </is>
      </c>
      <c r="B314" t="inlineStr">
        <is>
          <t>USD</t>
        </is>
      </c>
      <c r="C314" t="n">
        <v>7.1806</v>
      </c>
    </row>
    <row r="315">
      <c r="A315" t="inlineStr">
        <is>
          <t>2025-05-26</t>
        </is>
      </c>
      <c r="B315" t="inlineStr">
        <is>
          <t>EUR</t>
        </is>
      </c>
      <c r="C315" t="n">
        <v>8.18444</v>
      </c>
    </row>
    <row r="316">
      <c r="A316" t="inlineStr">
        <is>
          <t>2025-05-26</t>
        </is>
      </c>
      <c r="B316" t="inlineStr">
        <is>
          <t>HKD</t>
        </is>
      </c>
      <c r="C316" t="n">
        <v>0.91705</v>
      </c>
    </row>
    <row r="317">
      <c r="A317" t="inlineStr">
        <is>
          <t>2025-05-26</t>
        </is>
      </c>
      <c r="B317" t="inlineStr">
        <is>
          <t>JPY</t>
        </is>
      </c>
      <c r="C317" t="n">
        <v>0.047543</v>
      </c>
    </row>
    <row r="318">
      <c r="A318" t="inlineStr">
        <is>
          <t>2025-05-26</t>
        </is>
      </c>
      <c r="B318" t="inlineStr">
        <is>
          <t>USD</t>
        </is>
      </c>
      <c r="C318" t="n">
        <v>7.1869</v>
      </c>
    </row>
    <row r="319">
      <c r="A319" t="inlineStr">
        <is>
          <t>2025-05-27</t>
        </is>
      </c>
      <c r="B319" t="inlineStr">
        <is>
          <t>EUR</t>
        </is>
      </c>
      <c r="C319" t="n">
        <v>8.151899999999999</v>
      </c>
    </row>
    <row r="320">
      <c r="A320" t="inlineStr">
        <is>
          <t>2025-05-27</t>
        </is>
      </c>
      <c r="B320" t="inlineStr">
        <is>
          <t>HKD</t>
        </is>
      </c>
      <c r="C320" t="n">
        <v>0.91791</v>
      </c>
    </row>
    <row r="321">
      <c r="A321" t="inlineStr">
        <is>
          <t>2025-05-27</t>
        </is>
      </c>
      <c r="B321" t="inlineStr">
        <is>
          <t>JPY</t>
        </is>
      </c>
      <c r="C321" t="n">
        <v>0.047383</v>
      </c>
    </row>
    <row r="322">
      <c r="A322" t="inlineStr">
        <is>
          <t>2025-05-27</t>
        </is>
      </c>
      <c r="B322" t="inlineStr">
        <is>
          <t>USD</t>
        </is>
      </c>
      <c r="C322" t="n">
        <v>7.1956</v>
      </c>
    </row>
    <row r="323">
      <c r="A323" t="inlineStr">
        <is>
          <t>2025-05-28</t>
        </is>
      </c>
      <c r="B323" t="inlineStr">
        <is>
          <t>EUR</t>
        </is>
      </c>
      <c r="C323" t="n">
        <v>8.12509</v>
      </c>
    </row>
    <row r="324">
      <c r="A324" t="inlineStr">
        <is>
          <t>2025-05-28</t>
        </is>
      </c>
      <c r="B324" t="inlineStr">
        <is>
          <t>HKD</t>
        </is>
      </c>
      <c r="C324" t="n">
        <v>0.91777</v>
      </c>
    </row>
    <row r="325">
      <c r="A325" t="inlineStr">
        <is>
          <t>2025-05-28</t>
        </is>
      </c>
      <c r="B325" t="inlineStr">
        <is>
          <t>JPY</t>
        </is>
      </c>
      <c r="C325" t="n">
        <v>0.04772</v>
      </c>
    </row>
    <row r="326">
      <c r="A326" t="inlineStr">
        <is>
          <t>2025-05-28</t>
        </is>
      </c>
      <c r="B326" t="inlineStr">
        <is>
          <t>USD</t>
        </is>
      </c>
      <c r="C326" t="n">
        <v>7.1948</v>
      </c>
    </row>
    <row r="327">
      <c r="A327" t="inlineStr">
        <is>
          <t>2025-05-29</t>
        </is>
      </c>
      <c r="B327" t="inlineStr">
        <is>
          <t>EUR</t>
        </is>
      </c>
      <c r="C327" t="n">
        <v>8.171810000000001</v>
      </c>
    </row>
    <row r="328">
      <c r="A328" t="inlineStr">
        <is>
          <t>2025-05-29</t>
        </is>
      </c>
      <c r="B328" t="inlineStr">
        <is>
          <t>HKD</t>
        </is>
      </c>
      <c r="C328" t="n">
        <v>0.91628</v>
      </c>
    </row>
    <row r="329">
      <c r="A329" t="inlineStr">
        <is>
          <t>2025-05-29</t>
        </is>
      </c>
      <c r="B329" t="inlineStr">
        <is>
          <t>JPY</t>
        </is>
      </c>
      <c r="C329" t="n">
        <v>0.047695</v>
      </c>
    </row>
    <row r="330">
      <c r="A330" t="inlineStr">
        <is>
          <t>2025-05-29</t>
        </is>
      </c>
      <c r="B330" t="inlineStr">
        <is>
          <t>USD</t>
        </is>
      </c>
      <c r="C330" t="n">
        <v>7.1859</v>
      </c>
    </row>
    <row r="331">
      <c r="A331" t="inlineStr">
        <is>
          <t>2025-05-30</t>
        </is>
      </c>
      <c r="B331" t="inlineStr">
        <is>
          <t>EUR</t>
        </is>
      </c>
      <c r="C331" t="n">
        <v>8.17028</v>
      </c>
    </row>
    <row r="332">
      <c r="A332" t="inlineStr">
        <is>
          <t>2025-05-30</t>
        </is>
      </c>
      <c r="B332" t="inlineStr">
        <is>
          <t>HKD</t>
        </is>
      </c>
      <c r="C332" t="n">
        <v>0.91809</v>
      </c>
    </row>
    <row r="333">
      <c r="A333" t="inlineStr">
        <is>
          <t>2025-05-30</t>
        </is>
      </c>
      <c r="B333" t="inlineStr">
        <is>
          <t>JPY</t>
        </is>
      </c>
      <c r="C333" t="n">
        <v>0.047995</v>
      </c>
    </row>
    <row r="334">
      <c r="A334" t="inlineStr">
        <is>
          <t>2025-05-30</t>
        </is>
      </c>
      <c r="B334" t="inlineStr">
        <is>
          <t>USD</t>
        </is>
      </c>
      <c r="C334" t="n">
        <v>7.19975</v>
      </c>
    </row>
    <row r="335">
      <c r="A335" t="inlineStr">
        <is>
          <t>2025-06-02</t>
        </is>
      </c>
      <c r="B335" t="inlineStr">
        <is>
          <t>EUR</t>
        </is>
      </c>
      <c r="C335" t="n">
        <v>8.23795</v>
      </c>
    </row>
    <row r="336">
      <c r="A336" t="inlineStr">
        <is>
          <t>2025-06-02</t>
        </is>
      </c>
      <c r="B336" t="inlineStr">
        <is>
          <t>HKD</t>
        </is>
      </c>
      <c r="C336" t="n">
        <v>0.91769</v>
      </c>
    </row>
    <row r="337">
      <c r="A337" t="inlineStr">
        <is>
          <t>2025-06-02</t>
        </is>
      </c>
      <c r="B337" t="inlineStr">
        <is>
          <t>JPY</t>
        </is>
      </c>
      <c r="C337" t="n">
        <v>0.048057</v>
      </c>
    </row>
    <row r="338">
      <c r="A338" t="inlineStr">
        <is>
          <t>2025-06-02</t>
        </is>
      </c>
      <c r="B338" t="inlineStr">
        <is>
          <t>USD</t>
        </is>
      </c>
      <c r="C338" t="n">
        <v>7.19975</v>
      </c>
    </row>
    <row r="339">
      <c r="A339" t="inlineStr">
        <is>
          <t>2025-06-03</t>
        </is>
      </c>
      <c r="B339" t="inlineStr">
        <is>
          <t>EUR</t>
        </is>
      </c>
      <c r="C339" t="n">
        <v>8.17389</v>
      </c>
    </row>
    <row r="340">
      <c r="A340" t="inlineStr">
        <is>
          <t>2025-06-03</t>
        </is>
      </c>
      <c r="B340" t="inlineStr">
        <is>
          <t>HKD</t>
        </is>
      </c>
      <c r="C340" t="n">
        <v>0.91612</v>
      </c>
    </row>
    <row r="341">
      <c r="A341" t="inlineStr">
        <is>
          <t>2025-06-03</t>
        </is>
      </c>
      <c r="B341" t="inlineStr">
        <is>
          <t>JPY</t>
        </is>
      </c>
      <c r="C341" t="n">
        <v>0.04866</v>
      </c>
    </row>
    <row r="342">
      <c r="A342" t="inlineStr">
        <is>
          <t>2025-06-03</t>
        </is>
      </c>
      <c r="B342" t="inlineStr">
        <is>
          <t>USD</t>
        </is>
      </c>
      <c r="C342" t="n">
        <v>7.18805</v>
      </c>
    </row>
    <row r="343">
      <c r="A343" t="inlineStr">
        <is>
          <t>2025-06-04</t>
        </is>
      </c>
      <c r="B343" t="inlineStr">
        <is>
          <t>EUR</t>
        </is>
      </c>
      <c r="C343" t="n">
        <v>8.2037</v>
      </c>
    </row>
    <row r="344">
      <c r="A344" t="inlineStr">
        <is>
          <t>2025-06-04</t>
        </is>
      </c>
      <c r="B344" t="inlineStr">
        <is>
          <t>HKD</t>
        </is>
      </c>
      <c r="C344" t="n">
        <v>0.91561</v>
      </c>
    </row>
    <row r="345">
      <c r="A345" t="inlineStr">
        <is>
          <t>2025-06-04</t>
        </is>
      </c>
      <c r="B345" t="inlineStr">
        <is>
          <t>JPY</t>
        </is>
      </c>
      <c r="C345" t="n">
        <v>0.049077</v>
      </c>
    </row>
    <row r="346">
      <c r="A346" t="inlineStr">
        <is>
          <t>2025-06-04</t>
        </is>
      </c>
      <c r="B346" t="inlineStr">
        <is>
          <t>USD</t>
        </is>
      </c>
      <c r="C346" t="n">
        <v>7.1852</v>
      </c>
    </row>
    <row r="347">
      <c r="A347" t="inlineStr">
        <is>
          <t>2025-06-05</t>
        </is>
      </c>
      <c r="B347" t="inlineStr">
        <is>
          <t>EUR</t>
        </is>
      </c>
      <c r="C347" t="n">
        <v>8.21293</v>
      </c>
    </row>
    <row r="348">
      <c r="A348" t="inlineStr">
        <is>
          <t>2025-06-05</t>
        </is>
      </c>
      <c r="B348" t="inlineStr">
        <is>
          <t>HKD</t>
        </is>
      </c>
      <c r="C348" t="n">
        <v>0.91442</v>
      </c>
    </row>
    <row r="349">
      <c r="A349" t="inlineStr">
        <is>
          <t>2025-06-05</t>
        </is>
      </c>
      <c r="B349" t="inlineStr">
        <is>
          <t>JPY</t>
        </is>
      </c>
      <c r="C349" t="n">
        <v>0.049187</v>
      </c>
    </row>
    <row r="350">
      <c r="A350" t="inlineStr">
        <is>
          <t>2025-06-05</t>
        </is>
      </c>
      <c r="B350" t="inlineStr">
        <is>
          <t>USD</t>
        </is>
      </c>
      <c r="C350" t="n">
        <v>7.176</v>
      </c>
    </row>
    <row r="351">
      <c r="A351" t="inlineStr">
        <is>
          <t>2025-06-06</t>
        </is>
      </c>
      <c r="B351" t="inlineStr">
        <is>
          <t>EUR</t>
        </is>
      </c>
      <c r="C351" t="n">
        <v>8.192489999999999</v>
      </c>
    </row>
    <row r="352">
      <c r="A352" t="inlineStr">
        <is>
          <t>2025-06-06</t>
        </is>
      </c>
      <c r="B352" t="inlineStr">
        <is>
          <t>HKD</t>
        </is>
      </c>
      <c r="C352" t="n">
        <v>0.91606</v>
      </c>
    </row>
    <row r="353">
      <c r="A353" t="inlineStr">
        <is>
          <t>2025-06-06</t>
        </is>
      </c>
      <c r="B353" t="inlineStr">
        <is>
          <t>JPY</t>
        </is>
      </c>
      <c r="C353" t="n">
        <v>0.04905</v>
      </c>
    </row>
    <row r="354">
      <c r="A354" t="inlineStr">
        <is>
          <t>2025-06-06</t>
        </is>
      </c>
      <c r="B354" t="inlineStr">
        <is>
          <t>USD</t>
        </is>
      </c>
      <c r="C354" t="n">
        <v>7.18955</v>
      </c>
    </row>
    <row r="355">
      <c r="A355" t="inlineStr">
        <is>
          <t>2025-06-09</t>
        </is>
      </c>
      <c r="B355" t="inlineStr">
        <is>
          <t>EUR</t>
        </is>
      </c>
      <c r="C355" t="n">
        <v>8.20153</v>
      </c>
    </row>
    <row r="356">
      <c r="A356" t="inlineStr">
        <is>
          <t>2025-06-09</t>
        </is>
      </c>
      <c r="B356" t="inlineStr">
        <is>
          <t>HKD</t>
        </is>
      </c>
      <c r="C356" t="n">
        <v>0.91493</v>
      </c>
    </row>
    <row r="357">
      <c r="A357" t="inlineStr">
        <is>
          <t>2025-06-09</t>
        </is>
      </c>
      <c r="B357" t="inlineStr">
        <is>
          <t>JPY</t>
        </is>
      </c>
      <c r="C357" t="n">
        <v>0.049036</v>
      </c>
    </row>
    <row r="358">
      <c r="A358" t="inlineStr">
        <is>
          <t>2025-06-09</t>
        </is>
      </c>
      <c r="B358" t="inlineStr">
        <is>
          <t>USD</t>
        </is>
      </c>
      <c r="C358" t="n">
        <v>7.1811</v>
      </c>
    </row>
    <row r="359">
      <c r="A359" t="inlineStr">
        <is>
          <t>2025-06-10</t>
        </is>
      </c>
      <c r="B359" t="inlineStr">
        <is>
          <t>EUR</t>
        </is>
      </c>
      <c r="C359" t="n">
        <v>8.21195</v>
      </c>
    </row>
    <row r="360">
      <c r="A360" t="inlineStr">
        <is>
          <t>2025-06-10</t>
        </is>
      </c>
      <c r="B360" t="inlineStr">
        <is>
          <t>HKD</t>
        </is>
      </c>
      <c r="C360" t="n">
        <v>0.91576</v>
      </c>
    </row>
    <row r="361">
      <c r="A361" t="inlineStr">
        <is>
          <t>2025-06-10</t>
        </is>
      </c>
      <c r="B361" t="inlineStr">
        <is>
          <t>JPY</t>
        </is>
      </c>
      <c r="C361" t="n">
        <v>0.04908</v>
      </c>
    </row>
    <row r="362">
      <c r="A362" t="inlineStr">
        <is>
          <t>2025-06-10</t>
        </is>
      </c>
      <c r="B362" t="inlineStr">
        <is>
          <t>USD</t>
        </is>
      </c>
      <c r="C362" t="n">
        <v>7.1877</v>
      </c>
    </row>
    <row r="363">
      <c r="A363" t="inlineStr">
        <is>
          <t>2025-06-11</t>
        </is>
      </c>
      <c r="B363" t="inlineStr">
        <is>
          <t>EUR</t>
        </is>
      </c>
      <c r="C363" t="n">
        <v>8.26319</v>
      </c>
    </row>
    <row r="364">
      <c r="A364" t="inlineStr">
        <is>
          <t>2025-06-11</t>
        </is>
      </c>
      <c r="B364" t="inlineStr">
        <is>
          <t>HKD</t>
        </is>
      </c>
      <c r="C364" t="n">
        <v>0.91634</v>
      </c>
    </row>
    <row r="365">
      <c r="A365" t="inlineStr">
        <is>
          <t>2025-06-11</t>
        </is>
      </c>
      <c r="B365" t="inlineStr">
        <is>
          <t>JPY</t>
        </is>
      </c>
      <c r="C365" t="n">
        <v>0.048948</v>
      </c>
    </row>
    <row r="366">
      <c r="A366" t="inlineStr">
        <is>
          <t>2025-06-11</t>
        </is>
      </c>
      <c r="B366" t="inlineStr">
        <is>
          <t>USD</t>
        </is>
      </c>
      <c r="C366" t="n">
        <v>7.1932</v>
      </c>
    </row>
    <row r="367">
      <c r="A367" t="inlineStr">
        <is>
          <t>2025-06-12</t>
        </is>
      </c>
      <c r="B367" t="inlineStr">
        <is>
          <t>EUR</t>
        </is>
      </c>
      <c r="C367" t="n">
        <v>8.310269999999999</v>
      </c>
    </row>
    <row r="368">
      <c r="A368" t="inlineStr">
        <is>
          <t>2025-06-12</t>
        </is>
      </c>
      <c r="B368" t="inlineStr">
        <is>
          <t>HKD</t>
        </is>
      </c>
      <c r="C368" t="n">
        <v>0.91377</v>
      </c>
    </row>
    <row r="369">
      <c r="A369" t="inlineStr">
        <is>
          <t>2025-06-12</t>
        </is>
      </c>
      <c r="B369" t="inlineStr">
        <is>
          <t>JPY</t>
        </is>
      </c>
      <c r="C369" t="n">
        <v>0.049029</v>
      </c>
    </row>
    <row r="370">
      <c r="A370" t="inlineStr">
        <is>
          <t>2025-06-12</t>
        </is>
      </c>
      <c r="B370" t="inlineStr">
        <is>
          <t>USD</t>
        </is>
      </c>
      <c r="C370" t="n">
        <v>7.1733</v>
      </c>
    </row>
    <row r="371">
      <c r="A371" t="inlineStr">
        <is>
          <t>2025-06-13</t>
        </is>
      </c>
      <c r="B371" t="inlineStr">
        <is>
          <t>EUR</t>
        </is>
      </c>
      <c r="C371" t="n">
        <v>8.29654</v>
      </c>
    </row>
    <row r="372">
      <c r="A372" t="inlineStr">
        <is>
          <t>2025-06-13</t>
        </is>
      </c>
      <c r="B372" t="inlineStr">
        <is>
          <t>HKD</t>
        </is>
      </c>
      <c r="C372" t="n">
        <v>0.91482</v>
      </c>
    </row>
    <row r="373">
      <c r="A373" t="inlineStr">
        <is>
          <t>2025-06-13</t>
        </is>
      </c>
      <c r="B373" t="inlineStr">
        <is>
          <t>JPY</t>
        </is>
      </c>
      <c r="C373" t="n">
        <v>0.049016</v>
      </c>
    </row>
    <row r="374">
      <c r="A374" t="inlineStr">
        <is>
          <t>2025-06-13</t>
        </is>
      </c>
      <c r="B374" t="inlineStr">
        <is>
          <t>USD</t>
        </is>
      </c>
      <c r="C374" t="n">
        <v>7.1816</v>
      </c>
    </row>
    <row r="375">
      <c r="A375" t="inlineStr">
        <is>
          <t>2025-06-16</t>
        </is>
      </c>
      <c r="B375" t="inlineStr">
        <is>
          <t>EUR</t>
        </is>
      </c>
      <c r="C375" t="n">
        <v>8.30123</v>
      </c>
    </row>
    <row r="376">
      <c r="A376" t="inlineStr">
        <is>
          <t>2025-06-16</t>
        </is>
      </c>
      <c r="B376" t="inlineStr">
        <is>
          <t>HKD</t>
        </is>
      </c>
      <c r="C376" t="n">
        <v>0.91455</v>
      </c>
    </row>
    <row r="377">
      <c r="A377" t="inlineStr">
        <is>
          <t>2025-06-16</t>
        </is>
      </c>
      <c r="B377" t="inlineStr">
        <is>
          <t>JPY</t>
        </is>
      </c>
      <c r="C377" t="n">
        <v>0.049202</v>
      </c>
    </row>
    <row r="378">
      <c r="A378" t="inlineStr">
        <is>
          <t>2025-06-16</t>
        </is>
      </c>
      <c r="B378" t="inlineStr">
        <is>
          <t>USD</t>
        </is>
      </c>
      <c r="C378" t="n">
        <v>7.17975</v>
      </c>
    </row>
    <row r="379">
      <c r="A379" t="inlineStr">
        <is>
          <t>2025-06-17</t>
        </is>
      </c>
      <c r="B379" t="inlineStr">
        <is>
          <t>EUR</t>
        </is>
      </c>
      <c r="C379" t="n">
        <v>8.24897</v>
      </c>
    </row>
    <row r="380">
      <c r="A380" t="inlineStr">
        <is>
          <t>2025-06-17</t>
        </is>
      </c>
      <c r="B380" t="inlineStr">
        <is>
          <t>HKD</t>
        </is>
      </c>
      <c r="C380" t="n">
        <v>0.91525</v>
      </c>
    </row>
    <row r="381">
      <c r="A381" t="inlineStr">
        <is>
          <t>2025-06-17</t>
        </is>
      </c>
      <c r="B381" t="inlineStr">
        <is>
          <t>JPY</t>
        </is>
      </c>
      <c r="C381" t="n">
        <v>0.04967</v>
      </c>
    </row>
    <row r="382">
      <c r="A382" t="inlineStr">
        <is>
          <t>2025-06-17</t>
        </is>
      </c>
      <c r="B382" t="inlineStr">
        <is>
          <t>USD</t>
        </is>
      </c>
      <c r="C382" t="n">
        <v>7.1852</v>
      </c>
    </row>
    <row r="383">
      <c r="A383" t="inlineStr">
        <is>
          <t>2025-06-18</t>
        </is>
      </c>
      <c r="B383" t="inlineStr">
        <is>
          <t>EUR</t>
        </is>
      </c>
      <c r="C383" t="n">
        <v>8.254149999999999</v>
      </c>
    </row>
    <row r="384">
      <c r="A384" t="inlineStr">
        <is>
          <t>2025-06-18</t>
        </is>
      </c>
      <c r="B384" t="inlineStr">
        <is>
          <t>HKD</t>
        </is>
      </c>
      <c r="C384" t="n">
        <v>0.91578</v>
      </c>
    </row>
    <row r="385">
      <c r="A385" t="inlineStr">
        <is>
          <t>2025-06-18</t>
        </is>
      </c>
      <c r="B385" t="inlineStr">
        <is>
          <t>JPY</t>
        </is>
      </c>
      <c r="C385" t="n">
        <v>0.049797</v>
      </c>
    </row>
    <row r="386">
      <c r="A386" t="inlineStr">
        <is>
          <t>2025-06-18</t>
        </is>
      </c>
      <c r="B386" t="inlineStr">
        <is>
          <t>USD</t>
        </is>
      </c>
      <c r="C386" t="n">
        <v>7.1894</v>
      </c>
    </row>
    <row r="387">
      <c r="A387" t="inlineStr">
        <is>
          <t>2025-06-19</t>
        </is>
      </c>
      <c r="B387" t="inlineStr">
        <is>
          <t>EUR</t>
        </is>
      </c>
      <c r="C387" t="n">
        <v>8.26301</v>
      </c>
    </row>
    <row r="388">
      <c r="A388" t="inlineStr">
        <is>
          <t>2025-06-19</t>
        </is>
      </c>
      <c r="B388" t="inlineStr">
        <is>
          <t>HKD</t>
        </is>
      </c>
      <c r="C388" t="n">
        <v>0.91568</v>
      </c>
    </row>
    <row r="389">
      <c r="A389" t="inlineStr">
        <is>
          <t>2025-06-19</t>
        </is>
      </c>
      <c r="B389" t="inlineStr">
        <is>
          <t>JPY</t>
        </is>
      </c>
      <c r="C389" t="n">
        <v>0.049646</v>
      </c>
    </row>
    <row r="390">
      <c r="A390" t="inlineStr">
        <is>
          <t>2025-06-19</t>
        </is>
      </c>
      <c r="B390" t="inlineStr">
        <is>
          <t>USD</t>
        </is>
      </c>
      <c r="C390" t="n">
        <v>7.18835</v>
      </c>
    </row>
    <row r="391">
      <c r="A391" t="inlineStr">
        <is>
          <t>2025-06-20</t>
        </is>
      </c>
      <c r="B391" t="inlineStr">
        <is>
          <t>EUR</t>
        </is>
      </c>
      <c r="C391" t="n">
        <v>8.27298</v>
      </c>
    </row>
    <row r="392">
      <c r="A392" t="inlineStr">
        <is>
          <t>2025-06-20</t>
        </is>
      </c>
      <c r="B392" t="inlineStr">
        <is>
          <t>HKD</t>
        </is>
      </c>
      <c r="C392" t="n">
        <v>0.9144600000000001</v>
      </c>
    </row>
    <row r="393">
      <c r="A393" t="inlineStr">
        <is>
          <t>2025-06-20</t>
        </is>
      </c>
      <c r="B393" t="inlineStr">
        <is>
          <t>JPY</t>
        </is>
      </c>
      <c r="C393" t="n">
        <v>0.049503</v>
      </c>
    </row>
    <row r="394">
      <c r="A394" t="inlineStr">
        <is>
          <t>2025-06-20</t>
        </is>
      </c>
      <c r="B394" t="inlineStr">
        <is>
          <t>USD</t>
        </is>
      </c>
      <c r="C394" t="n">
        <v>7.17985</v>
      </c>
    </row>
    <row r="395">
      <c r="A395" t="inlineStr">
        <is>
          <t>2025-06-23</t>
        </is>
      </c>
      <c r="B395" t="inlineStr">
        <is>
          <t>EUR</t>
        </is>
      </c>
      <c r="C395" t="n">
        <v>8.31264</v>
      </c>
    </row>
    <row r="396">
      <c r="A396" t="inlineStr">
        <is>
          <t>2025-06-23</t>
        </is>
      </c>
      <c r="B396" t="inlineStr">
        <is>
          <t>HKD</t>
        </is>
      </c>
      <c r="C396" t="n">
        <v>0.91452</v>
      </c>
    </row>
    <row r="397">
      <c r="A397" t="inlineStr">
        <is>
          <t>2025-06-23</t>
        </is>
      </c>
      <c r="B397" t="inlineStr">
        <is>
          <t>JPY</t>
        </is>
      </c>
      <c r="C397" t="n">
        <v>0.049507</v>
      </c>
    </row>
    <row r="398">
      <c r="A398" t="inlineStr">
        <is>
          <t>2025-06-23</t>
        </is>
      </c>
      <c r="B398" t="inlineStr">
        <is>
          <t>USD</t>
        </is>
      </c>
      <c r="C398" t="n">
        <v>7.18</v>
      </c>
    </row>
    <row r="399">
      <c r="A399" t="inlineStr">
        <is>
          <t>2025-06-24</t>
        </is>
      </c>
      <c r="B399" t="inlineStr">
        <is>
          <t>EUR</t>
        </is>
      </c>
      <c r="C399" t="n">
        <v>8.32593</v>
      </c>
    </row>
    <row r="400">
      <c r="A400" t="inlineStr">
        <is>
          <t>2025-06-24</t>
        </is>
      </c>
      <c r="B400" t="inlineStr">
        <is>
          <t>HKD</t>
        </is>
      </c>
      <c r="C400" t="n">
        <v>0.91354</v>
      </c>
    </row>
    <row r="401">
      <c r="A401" t="inlineStr">
        <is>
          <t>2025-06-24</t>
        </is>
      </c>
      <c r="B401" t="inlineStr">
        <is>
          <t>JPY</t>
        </is>
      </c>
      <c r="C401" t="n">
        <v>0.048857</v>
      </c>
    </row>
    <row r="402">
      <c r="A402" t="inlineStr">
        <is>
          <t>2025-06-24</t>
        </is>
      </c>
      <c r="B402" t="inlineStr">
        <is>
          <t>USD</t>
        </is>
      </c>
      <c r="C402" t="n">
        <v>7.17165</v>
      </c>
    </row>
    <row r="403">
      <c r="A403" t="inlineStr">
        <is>
          <t>2025-06-25</t>
        </is>
      </c>
      <c r="B403" t="inlineStr">
        <is>
          <t>EUR</t>
        </is>
      </c>
      <c r="C403" t="n">
        <v>8.36773</v>
      </c>
    </row>
    <row r="404">
      <c r="A404" t="inlineStr">
        <is>
          <t>2025-06-25</t>
        </is>
      </c>
      <c r="B404" t="inlineStr">
        <is>
          <t>HKD</t>
        </is>
      </c>
      <c r="C404" t="n">
        <v>0.9141899999999999</v>
      </c>
    </row>
    <row r="405">
      <c r="A405" t="inlineStr">
        <is>
          <t>2025-06-25</t>
        </is>
      </c>
      <c r="B405" t="inlineStr">
        <is>
          <t>JPY</t>
        </is>
      </c>
      <c r="C405" t="n">
        <v>0.04879</v>
      </c>
    </row>
    <row r="406">
      <c r="A406" t="inlineStr">
        <is>
          <t>2025-06-25</t>
        </is>
      </c>
      <c r="B406" t="inlineStr">
        <is>
          <t>USD</t>
        </is>
      </c>
      <c r="C406" t="n">
        <v>7.17675</v>
      </c>
    </row>
    <row r="407">
      <c r="A407" t="inlineStr">
        <is>
          <t>2025-06-26</t>
        </is>
      </c>
      <c r="B407" t="inlineStr">
        <is>
          <t>EUR</t>
        </is>
      </c>
      <c r="C407" t="n">
        <v>8.38639</v>
      </c>
    </row>
    <row r="408">
      <c r="A408" t="inlineStr">
        <is>
          <t>2025-06-26</t>
        </is>
      </c>
      <c r="B408" t="inlineStr">
        <is>
          <t>HKD</t>
        </is>
      </c>
      <c r="C408" t="n">
        <v>0.91303</v>
      </c>
    </row>
    <row r="409">
      <c r="A409" t="inlineStr">
        <is>
          <t>2025-06-26</t>
        </is>
      </c>
      <c r="B409" t="inlineStr">
        <is>
          <t>JPY</t>
        </is>
      </c>
      <c r="C409" t="n">
        <v>0.048488</v>
      </c>
    </row>
    <row r="410">
      <c r="A410" t="inlineStr">
        <is>
          <t>2025-06-26</t>
        </is>
      </c>
      <c r="B410" t="inlineStr">
        <is>
          <t>USD</t>
        </is>
      </c>
      <c r="C410" t="n">
        <v>7.16755</v>
      </c>
    </row>
    <row r="411">
      <c r="A411" t="inlineStr">
        <is>
          <t>2025-06-27</t>
        </is>
      </c>
      <c r="B411" t="inlineStr">
        <is>
          <t>EUR</t>
        </is>
      </c>
      <c r="C411" t="n">
        <v>8.406230000000001</v>
      </c>
    </row>
    <row r="412">
      <c r="A412" t="inlineStr">
        <is>
          <t>2025-06-27</t>
        </is>
      </c>
      <c r="B412" t="inlineStr">
        <is>
          <t>HKD</t>
        </is>
      </c>
      <c r="C412" t="n">
        <v>0.9136300000000001</v>
      </c>
    </row>
    <row r="413">
      <c r="A413" t="inlineStr">
        <is>
          <t>2025-06-27</t>
        </is>
      </c>
      <c r="B413" t="inlineStr">
        <is>
          <t>JPY</t>
        </is>
      </c>
      <c r="C413" t="n">
        <v>0.047977</v>
      </c>
    </row>
    <row r="414">
      <c r="A414" t="inlineStr">
        <is>
          <t>2025-06-27</t>
        </is>
      </c>
      <c r="B414" t="inlineStr">
        <is>
          <t>USD</t>
        </is>
      </c>
      <c r="C414" t="n">
        <v>7.17255</v>
      </c>
    </row>
    <row r="415">
      <c r="A415" t="inlineStr">
        <is>
          <t>2025-06-30</t>
        </is>
      </c>
      <c r="B415" t="inlineStr">
        <is>
          <t>EUR</t>
        </is>
      </c>
      <c r="C415" t="n">
        <v>8.44403</v>
      </c>
    </row>
    <row r="416">
      <c r="A416" t="inlineStr">
        <is>
          <t>2025-06-30</t>
        </is>
      </c>
      <c r="B416" t="inlineStr">
        <is>
          <t>GBP</t>
        </is>
      </c>
      <c r="C416" t="n">
        <v>9.010999999999999</v>
      </c>
    </row>
    <row r="417">
      <c r="A417" t="inlineStr">
        <is>
          <t>2025-06-30</t>
        </is>
      </c>
      <c r="B417" t="inlineStr">
        <is>
          <t>HKD</t>
        </is>
      </c>
      <c r="C417" t="n">
        <v>0.91256</v>
      </c>
    </row>
    <row r="418">
      <c r="A418" t="inlineStr">
        <is>
          <t>2025-06-30</t>
        </is>
      </c>
      <c r="B418" t="inlineStr">
        <is>
          <t>JPY</t>
        </is>
      </c>
      <c r="C418" t="n">
        <v>0.048233</v>
      </c>
    </row>
    <row r="419">
      <c r="A419" t="inlineStr">
        <is>
          <t>2025-06-30</t>
        </is>
      </c>
      <c r="B419" t="inlineStr">
        <is>
          <t>USD</t>
        </is>
      </c>
      <c r="C419" t="n">
        <v>7.16385</v>
      </c>
    </row>
    <row r="420">
      <c r="A420" t="inlineStr">
        <is>
          <t>2025-07-01</t>
        </is>
      </c>
      <c r="B420" t="inlineStr">
        <is>
          <t>EUR</t>
        </is>
      </c>
      <c r="C420" t="n">
        <v>8.459770000000001</v>
      </c>
    </row>
    <row r="421">
      <c r="A421" t="inlineStr">
        <is>
          <t>2025-07-01</t>
        </is>
      </c>
      <c r="B421" t="inlineStr">
        <is>
          <t>HKD</t>
        </is>
      </c>
      <c r="C421" t="n">
        <v>0.91269</v>
      </c>
    </row>
    <row r="422">
      <c r="A422" t="inlineStr">
        <is>
          <t>2025-07-01</t>
        </is>
      </c>
      <c r="B422" t="inlineStr">
        <is>
          <t>JPY</t>
        </is>
      </c>
      <c r="C422" t="n">
        <v>0.048496</v>
      </c>
    </row>
    <row r="423">
      <c r="A423" t="inlineStr">
        <is>
          <t>2025-07-01</t>
        </is>
      </c>
      <c r="B423" t="inlineStr">
        <is>
          <t>USD</t>
        </is>
      </c>
      <c r="C423" t="n">
        <v>7.16535</v>
      </c>
    </row>
    <row r="424">
      <c r="A424" t="inlineStr">
        <is>
          <t>2025-07-02</t>
        </is>
      </c>
      <c r="B424" t="inlineStr">
        <is>
          <t>EUR</t>
        </is>
      </c>
      <c r="C424" t="n">
        <v>8.45457</v>
      </c>
    </row>
    <row r="425">
      <c r="A425" t="inlineStr">
        <is>
          <t>2025-07-02</t>
        </is>
      </c>
      <c r="B425" t="inlineStr">
        <is>
          <t>HKD</t>
        </is>
      </c>
      <c r="C425" t="n">
        <v>0.91274</v>
      </c>
    </row>
    <row r="426">
      <c r="A426" t="inlineStr">
        <is>
          <t>2025-07-02</t>
        </is>
      </c>
      <c r="B426" t="inlineStr">
        <is>
          <t>JPY</t>
        </is>
      </c>
      <c r="C426" t="n">
        <v>0.048075</v>
      </c>
    </row>
    <row r="427">
      <c r="A427" t="inlineStr">
        <is>
          <t>2025-07-02</t>
        </is>
      </c>
      <c r="B427" t="inlineStr">
        <is>
          <t>USD</t>
        </is>
      </c>
      <c r="C427" t="n">
        <v>7.1658</v>
      </c>
    </row>
    <row r="428">
      <c r="A428" t="inlineStr">
        <is>
          <t>2025-07-03</t>
        </is>
      </c>
      <c r="B428" t="inlineStr">
        <is>
          <t>EUR</t>
        </is>
      </c>
      <c r="C428" t="n">
        <v>8.42877</v>
      </c>
    </row>
    <row r="429">
      <c r="A429" t="inlineStr">
        <is>
          <t>2025-07-03</t>
        </is>
      </c>
      <c r="B429" t="inlineStr">
        <is>
          <t>HKD</t>
        </is>
      </c>
      <c r="C429" t="n">
        <v>0.91318</v>
      </c>
    </row>
    <row r="430">
      <c r="A430" t="inlineStr">
        <is>
          <t>2025-07-03</t>
        </is>
      </c>
      <c r="B430" t="inlineStr">
        <is>
          <t>JPY</t>
        </is>
      </c>
      <c r="C430" t="n">
        <v>0.048291</v>
      </c>
    </row>
    <row r="431">
      <c r="A431" t="inlineStr">
        <is>
          <t>2025-07-03</t>
        </is>
      </c>
      <c r="B431" t="inlineStr">
        <is>
          <t>USD</t>
        </is>
      </c>
      <c r="C431" t="n">
        <v>7.16915</v>
      </c>
    </row>
    <row r="432">
      <c r="A432" t="inlineStr">
        <is>
          <t>2025-07-04</t>
        </is>
      </c>
      <c r="B432" t="inlineStr">
        <is>
          <t>EUR</t>
        </is>
      </c>
      <c r="C432" t="n">
        <v>8.43995</v>
      </c>
    </row>
    <row r="433">
      <c r="A433" t="inlineStr">
        <is>
          <t>2025-07-04</t>
        </is>
      </c>
      <c r="B433" t="inlineStr">
        <is>
          <t>HKD</t>
        </is>
      </c>
      <c r="C433" t="n">
        <v>0.91266</v>
      </c>
    </row>
    <row r="434">
      <c r="A434" t="inlineStr">
        <is>
          <t>2025-07-04</t>
        </is>
      </c>
      <c r="B434" t="inlineStr">
        <is>
          <t>JPY</t>
        </is>
      </c>
      <c r="C434" t="n">
        <v>0.048257</v>
      </c>
    </row>
    <row r="435">
      <c r="A435" t="inlineStr">
        <is>
          <t>2025-07-04</t>
        </is>
      </c>
      <c r="B435" t="inlineStr">
        <is>
          <t>USD</t>
        </is>
      </c>
      <c r="C435" t="n">
        <v>7.16525</v>
      </c>
    </row>
    <row r="436">
      <c r="A436" t="inlineStr">
        <is>
          <t>2025-07-07</t>
        </is>
      </c>
      <c r="B436" t="inlineStr">
        <is>
          <t>EUR</t>
        </is>
      </c>
      <c r="C436" t="n">
        <v>8.400499999999999</v>
      </c>
    </row>
    <row r="437">
      <c r="A437" t="inlineStr">
        <is>
          <t>2025-07-07</t>
        </is>
      </c>
      <c r="B437" t="inlineStr">
        <is>
          <t>HKD</t>
        </is>
      </c>
      <c r="C437" t="n">
        <v>0.91395</v>
      </c>
    </row>
    <row r="438">
      <c r="A438" t="inlineStr">
        <is>
          <t>2025-07-07</t>
        </is>
      </c>
      <c r="B438" t="inlineStr">
        <is>
          <t>JPY</t>
        </is>
      </c>
      <c r="C438" t="n">
        <v>0.048061</v>
      </c>
    </row>
    <row r="439">
      <c r="A439" t="inlineStr">
        <is>
          <t>2025-07-07</t>
        </is>
      </c>
      <c r="B439" t="inlineStr">
        <is>
          <t>USD</t>
        </is>
      </c>
      <c r="C439" t="n">
        <v>7.1747</v>
      </c>
    </row>
    <row r="440">
      <c r="A440" t="inlineStr">
        <is>
          <t>2025-07-08</t>
        </is>
      </c>
      <c r="B440" t="inlineStr">
        <is>
          <t>EUR</t>
        </is>
      </c>
      <c r="C440" t="n">
        <v>8.41193</v>
      </c>
    </row>
    <row r="441">
      <c r="A441" t="inlineStr">
        <is>
          <t>2025-07-08</t>
        </is>
      </c>
      <c r="B441" t="inlineStr">
        <is>
          <t>HKD</t>
        </is>
      </c>
      <c r="C441" t="n">
        <v>0.91386</v>
      </c>
    </row>
    <row r="442">
      <c r="A442" t="inlineStr">
        <is>
          <t>2025-07-08</t>
        </is>
      </c>
      <c r="B442" t="inlineStr">
        <is>
          <t>JPY</t>
        </is>
      </c>
      <c r="C442" t="n">
        <v>0.047842</v>
      </c>
    </row>
    <row r="443">
      <c r="A443" t="inlineStr">
        <is>
          <t>2025-07-08</t>
        </is>
      </c>
      <c r="B443" t="inlineStr">
        <is>
          <t>USD</t>
        </is>
      </c>
      <c r="C443" t="n">
        <v>7.17405</v>
      </c>
    </row>
    <row r="444">
      <c r="A444" t="inlineStr">
        <is>
          <t>2025-07-09</t>
        </is>
      </c>
      <c r="B444" t="inlineStr">
        <is>
          <t>EUR</t>
        </is>
      </c>
      <c r="C444" t="n">
        <v>8.41549</v>
      </c>
    </row>
    <row r="445">
      <c r="A445" t="inlineStr">
        <is>
          <t>2025-07-09</t>
        </is>
      </c>
      <c r="B445" t="inlineStr">
        <is>
          <t>HKD</t>
        </is>
      </c>
      <c r="C445" t="n">
        <v>0.91467</v>
      </c>
    </row>
    <row r="446">
      <c r="A446" t="inlineStr">
        <is>
          <t>2025-07-09</t>
        </is>
      </c>
      <c r="B446" t="inlineStr">
        <is>
          <t>JPY</t>
        </is>
      </c>
      <c r="C446" t="n">
        <v>0.047461</v>
      </c>
    </row>
    <row r="447">
      <c r="A447" t="inlineStr">
        <is>
          <t>2025-07-09</t>
        </is>
      </c>
      <c r="B447" t="inlineStr">
        <is>
          <t>USD</t>
        </is>
      </c>
      <c r="C447" t="n">
        <v>7.18015</v>
      </c>
    </row>
    <row r="448">
      <c r="A448" t="inlineStr">
        <is>
          <t>2025-07-10</t>
        </is>
      </c>
      <c r="B448" t="inlineStr">
        <is>
          <t>EUR</t>
        </is>
      </c>
      <c r="C448" t="n">
        <v>8.39493</v>
      </c>
    </row>
    <row r="449">
      <c r="A449" t="inlineStr">
        <is>
          <t>2025-07-10</t>
        </is>
      </c>
      <c r="B449" t="inlineStr">
        <is>
          <t>HKD</t>
        </is>
      </c>
      <c r="C449" t="n">
        <v>0.91398</v>
      </c>
    </row>
    <row r="450">
      <c r="A450" t="inlineStr">
        <is>
          <t>2025-07-10</t>
        </is>
      </c>
      <c r="B450" t="inlineStr">
        <is>
          <t>JPY</t>
        </is>
      </c>
      <c r="C450" t="n">
        <v>0.04707</v>
      </c>
    </row>
    <row r="451">
      <c r="A451" t="inlineStr">
        <is>
          <t>2025-07-10</t>
        </is>
      </c>
      <c r="B451" t="inlineStr">
        <is>
          <t>USD</t>
        </is>
      </c>
      <c r="C451" t="n">
        <v>7.17485</v>
      </c>
    </row>
    <row r="452">
      <c r="A452" t="inlineStr">
        <is>
          <t>2025-07-11</t>
        </is>
      </c>
      <c r="B452" t="inlineStr">
        <is>
          <t>EUR</t>
        </is>
      </c>
      <c r="C452" t="n">
        <v>8.38003</v>
      </c>
    </row>
    <row r="453">
      <c r="A453" t="inlineStr">
        <is>
          <t>2025-07-11</t>
        </is>
      </c>
      <c r="B453" t="inlineStr">
        <is>
          <t>HKD</t>
        </is>
      </c>
      <c r="C453" t="n">
        <v>0.91315</v>
      </c>
    </row>
    <row r="454">
      <c r="A454" t="inlineStr">
        <is>
          <t>2025-07-11</t>
        </is>
      </c>
      <c r="B454" t="inlineStr">
        <is>
          <t>JPY</t>
        </is>
      </c>
      <c r="C454" t="n">
        <v>0.046776</v>
      </c>
    </row>
    <row r="455">
      <c r="A455" t="inlineStr">
        <is>
          <t>2025-07-11</t>
        </is>
      </c>
      <c r="B455" t="inlineStr">
        <is>
          <t>USD</t>
        </is>
      </c>
      <c r="C455" t="n">
        <v>7.16855</v>
      </c>
    </row>
    <row r="456">
      <c r="A456" t="inlineStr">
        <is>
          <t>2025-07-14</t>
        </is>
      </c>
      <c r="B456" t="inlineStr">
        <is>
          <t>EUR</t>
        </is>
      </c>
      <c r="C456" t="n">
        <v>8.36018</v>
      </c>
    </row>
    <row r="457">
      <c r="A457" t="inlineStr">
        <is>
          <t>2025-07-14</t>
        </is>
      </c>
      <c r="B457" t="inlineStr">
        <is>
          <t>HKD</t>
        </is>
      </c>
      <c r="C457" t="n">
        <v>0.91298</v>
      </c>
    </row>
    <row r="458">
      <c r="A458" t="inlineStr">
        <is>
          <t>2025-07-14</t>
        </is>
      </c>
      <c r="B458" t="inlineStr">
        <is>
          <t>JPY</t>
        </is>
      </c>
      <c r="C458" t="n">
        <v>0.046949</v>
      </c>
    </row>
    <row r="459">
      <c r="A459" t="inlineStr">
        <is>
          <t>2025-07-14</t>
        </is>
      </c>
      <c r="B459" t="inlineStr">
        <is>
          <t>USD</t>
        </is>
      </c>
      <c r="C459" t="n">
        <v>7.1672</v>
      </c>
    </row>
    <row r="460">
      <c r="A460" t="inlineStr">
        <is>
          <t>2025-07-15</t>
        </is>
      </c>
      <c r="B460" t="inlineStr">
        <is>
          <t>EUR</t>
        </is>
      </c>
      <c r="C460" t="n">
        <v>8.321400000000001</v>
      </c>
    </row>
    <row r="461">
      <c r="A461" t="inlineStr">
        <is>
          <t>2025-07-15</t>
        </is>
      </c>
      <c r="B461" t="inlineStr">
        <is>
          <t>HKD</t>
        </is>
      </c>
      <c r="C461" t="n">
        <v>0.9137</v>
      </c>
    </row>
    <row r="462">
      <c r="A462" t="inlineStr">
        <is>
          <t>2025-07-15</t>
        </is>
      </c>
      <c r="B462" t="inlineStr">
        <is>
          <t>JPY</t>
        </is>
      </c>
      <c r="C462" t="n">
        <v>0.046799</v>
      </c>
    </row>
    <row r="463">
      <c r="A463" t="inlineStr">
        <is>
          <t>2025-07-15</t>
        </is>
      </c>
      <c r="B463" t="inlineStr">
        <is>
          <t>USD</t>
        </is>
      </c>
      <c r="C463" t="n">
        <v>7.173</v>
      </c>
    </row>
    <row r="464">
      <c r="A464" t="inlineStr">
        <is>
          <t>2025-07-16</t>
        </is>
      </c>
      <c r="B464" t="inlineStr">
        <is>
          <t>EUR</t>
        </is>
      </c>
      <c r="C464" t="n">
        <v>8.35341</v>
      </c>
    </row>
    <row r="465">
      <c r="A465" t="inlineStr">
        <is>
          <t>2025-07-16</t>
        </is>
      </c>
      <c r="B465" t="inlineStr">
        <is>
          <t>HKD</t>
        </is>
      </c>
      <c r="C465" t="n">
        <v>0.91455</v>
      </c>
    </row>
    <row r="466">
      <c r="A466" t="inlineStr">
        <is>
          <t>2025-07-16</t>
        </is>
      </c>
      <c r="B466" t="inlineStr">
        <is>
          <t>JPY</t>
        </is>
      </c>
      <c r="C466" t="n">
        <v>0.046768</v>
      </c>
    </row>
    <row r="467">
      <c r="A467" t="inlineStr">
        <is>
          <t>2025-07-16</t>
        </is>
      </c>
      <c r="B467" t="inlineStr">
        <is>
          <t>USD</t>
        </is>
      </c>
      <c r="C467" t="n">
        <v>7.17955</v>
      </c>
    </row>
    <row r="468">
      <c r="A468" t="inlineStr">
        <is>
          <t>2025-07-17</t>
        </is>
      </c>
      <c r="B468" t="inlineStr">
        <is>
          <t>EUR</t>
        </is>
      </c>
      <c r="C468" t="n">
        <v>8.33051</v>
      </c>
    </row>
    <row r="469">
      <c r="A469" t="inlineStr">
        <is>
          <t>2025-07-17</t>
        </is>
      </c>
      <c r="B469" t="inlineStr">
        <is>
          <t>HKD</t>
        </is>
      </c>
      <c r="C469" t="n">
        <v>0.91516</v>
      </c>
    </row>
    <row r="470">
      <c r="A470" t="inlineStr">
        <is>
          <t>2025-07-17</t>
        </is>
      </c>
      <c r="B470" t="inlineStr">
        <is>
          <t>JPY</t>
        </is>
      </c>
      <c r="C470" t="n">
        <v>0.047111</v>
      </c>
    </row>
    <row r="471">
      <c r="A471" t="inlineStr">
        <is>
          <t>2025-07-17</t>
        </is>
      </c>
      <c r="B471" t="inlineStr">
        <is>
          <t>USD</t>
        </is>
      </c>
      <c r="C471" t="n">
        <v>7.18395</v>
      </c>
    </row>
    <row r="472">
      <c r="A472" t="inlineStr">
        <is>
          <t>2025-07-18</t>
        </is>
      </c>
      <c r="B472" t="inlineStr">
        <is>
          <t>EUR</t>
        </is>
      </c>
      <c r="C472" t="n">
        <v>8.34503</v>
      </c>
    </row>
    <row r="473">
      <c r="A473" t="inlineStr">
        <is>
          <t>2025-07-18</t>
        </is>
      </c>
      <c r="B473" t="inlineStr">
        <is>
          <t>HKD</t>
        </is>
      </c>
      <c r="C473" t="n">
        <v>0.91466</v>
      </c>
    </row>
    <row r="474">
      <c r="A474" t="inlineStr">
        <is>
          <t>2025-07-18</t>
        </is>
      </c>
      <c r="B474" t="inlineStr">
        <is>
          <t>JPY</t>
        </is>
      </c>
      <c r="C474" t="n">
        <v>0.046736</v>
      </c>
    </row>
    <row r="475">
      <c r="A475" t="inlineStr">
        <is>
          <t>2025-07-18</t>
        </is>
      </c>
      <c r="B475" t="inlineStr">
        <is>
          <t>USD</t>
        </is>
      </c>
      <c r="C475" t="n">
        <v>7.1779</v>
      </c>
    </row>
    <row r="476">
      <c r="A476" t="inlineStr">
        <is>
          <t>2025-07-21</t>
        </is>
      </c>
      <c r="B476" t="inlineStr">
        <is>
          <t>EUR</t>
        </is>
      </c>
      <c r="C476" t="n">
        <v>8.3931</v>
      </c>
    </row>
    <row r="477">
      <c r="A477" t="inlineStr">
        <is>
          <t>2025-07-21</t>
        </is>
      </c>
      <c r="B477" t="inlineStr">
        <is>
          <t>HKD</t>
        </is>
      </c>
      <c r="C477" t="n">
        <v>0.91415</v>
      </c>
    </row>
    <row r="478">
      <c r="A478" t="inlineStr">
        <is>
          <t>2025-07-21</t>
        </is>
      </c>
      <c r="B478" t="inlineStr">
        <is>
          <t>JPY</t>
        </is>
      </c>
      <c r="C478" t="n">
        <v>0.046536</v>
      </c>
    </row>
    <row r="479">
      <c r="A479" t="inlineStr">
        <is>
          <t>2025-07-21</t>
        </is>
      </c>
      <c r="B479" t="inlineStr">
        <is>
          <t>USD</t>
        </is>
      </c>
      <c r="C479" t="n">
        <v>7.17635</v>
      </c>
    </row>
    <row r="480">
      <c r="A480" t="inlineStr">
        <is>
          <t>2025-07-22</t>
        </is>
      </c>
      <c r="B480" t="inlineStr">
        <is>
          <t>EUR</t>
        </is>
      </c>
      <c r="C480" t="n">
        <v>8.43379</v>
      </c>
    </row>
    <row r="481">
      <c r="A481" t="inlineStr">
        <is>
          <t>2025-07-22</t>
        </is>
      </c>
      <c r="B481" t="inlineStr">
        <is>
          <t>HKD</t>
        </is>
      </c>
      <c r="C481" t="n">
        <v>0.91399</v>
      </c>
    </row>
    <row r="482">
      <c r="A482" t="inlineStr">
        <is>
          <t>2025-07-22</t>
        </is>
      </c>
      <c r="B482" t="inlineStr">
        <is>
          <t>JPY</t>
        </is>
      </c>
      <c r="C482" t="n">
        <v>0.046516</v>
      </c>
    </row>
    <row r="483">
      <c r="A483" t="inlineStr">
        <is>
          <t>2025-07-22</t>
        </is>
      </c>
      <c r="B483" t="inlineStr">
        <is>
          <t>USD</t>
        </is>
      </c>
      <c r="C483" t="n">
        <v>7.17495</v>
      </c>
    </row>
    <row r="484">
      <c r="A484" t="inlineStr">
        <is>
          <t>2025-07-23</t>
        </is>
      </c>
      <c r="B484" t="inlineStr">
        <is>
          <t>EUR</t>
        </is>
      </c>
      <c r="C484" t="n">
        <v>8.428990000000001</v>
      </c>
    </row>
    <row r="485">
      <c r="A485" t="inlineStr">
        <is>
          <t>2025-07-23</t>
        </is>
      </c>
      <c r="B485" t="inlineStr">
        <is>
          <t>HKD</t>
        </is>
      </c>
      <c r="C485" t="n">
        <v>0.91209</v>
      </c>
    </row>
    <row r="486">
      <c r="A486" t="inlineStr">
        <is>
          <t>2025-07-23</t>
        </is>
      </c>
      <c r="B486" t="inlineStr">
        <is>
          <t>JPY</t>
        </is>
      </c>
      <c r="C486" t="n">
        <v>0.046475</v>
      </c>
    </row>
    <row r="487">
      <c r="A487" t="inlineStr">
        <is>
          <t>2025-07-23</t>
        </is>
      </c>
      <c r="B487" t="inlineStr">
        <is>
          <t>USD</t>
        </is>
      </c>
      <c r="C487" t="n">
        <v>7.1602</v>
      </c>
    </row>
    <row r="488">
      <c r="A488" t="inlineStr">
        <is>
          <t>2025-07-24</t>
        </is>
      </c>
      <c r="B488" t="inlineStr">
        <is>
          <t>EUR</t>
        </is>
      </c>
      <c r="C488" t="n">
        <v>8.41006</v>
      </c>
    </row>
    <row r="489">
      <c r="A489" t="inlineStr">
        <is>
          <t>2025-07-24</t>
        </is>
      </c>
      <c r="B489" t="inlineStr">
        <is>
          <t>HKD</t>
        </is>
      </c>
      <c r="C489" t="n">
        <v>0.91135</v>
      </c>
    </row>
    <row r="490">
      <c r="A490" t="inlineStr">
        <is>
          <t>2025-07-24</t>
        </is>
      </c>
      <c r="B490" t="inlineStr">
        <is>
          <t>JPY</t>
        </is>
      </c>
      <c r="C490" t="n">
        <v>0.046719</v>
      </c>
    </row>
    <row r="491">
      <c r="A491" t="inlineStr">
        <is>
          <t>2025-07-24</t>
        </is>
      </c>
      <c r="B491" t="inlineStr">
        <is>
          <t>USD</t>
        </is>
      </c>
      <c r="C491" t="n">
        <v>7.15445</v>
      </c>
    </row>
    <row r="492">
      <c r="A492" t="inlineStr">
        <is>
          <t>2025-07-25</t>
        </is>
      </c>
      <c r="B492" t="inlineStr">
        <is>
          <t>EUR</t>
        </is>
      </c>
      <c r="C492" t="n">
        <v>8.41696</v>
      </c>
    </row>
    <row r="493">
      <c r="A493" t="inlineStr">
        <is>
          <t>2025-07-25</t>
        </is>
      </c>
      <c r="B493" t="inlineStr">
        <is>
          <t>HKD</t>
        </is>
      </c>
      <c r="C493" t="n">
        <v>0.91312</v>
      </c>
    </row>
    <row r="494">
      <c r="A494" t="inlineStr">
        <is>
          <t>2025-07-25</t>
        </is>
      </c>
      <c r="B494" t="inlineStr">
        <is>
          <t>JPY</t>
        </is>
      </c>
      <c r="C494" t="n">
        <v>0.046762</v>
      </c>
    </row>
    <row r="495">
      <c r="A495" t="inlineStr">
        <is>
          <t>2025-07-25</t>
        </is>
      </c>
      <c r="B495" t="inlineStr">
        <is>
          <t>USD</t>
        </is>
      </c>
      <c r="C495" t="n">
        <v>7.16825</v>
      </c>
    </row>
    <row r="496">
      <c r="A496" t="inlineStr">
        <is>
          <t>2025-07-28</t>
        </is>
      </c>
      <c r="B496" t="inlineStr">
        <is>
          <t>EUR</t>
        </is>
      </c>
      <c r="C496" t="n">
        <v>8.31841</v>
      </c>
    </row>
    <row r="497">
      <c r="A497" t="inlineStr">
        <is>
          <t>2025-07-28</t>
        </is>
      </c>
      <c r="B497" t="inlineStr">
        <is>
          <t>HKD</t>
        </is>
      </c>
      <c r="C497" t="n">
        <v>0.91436</v>
      </c>
    </row>
    <row r="498">
      <c r="A498" t="inlineStr">
        <is>
          <t>2025-07-28</t>
        </is>
      </c>
      <c r="B498" t="inlineStr">
        <is>
          <t>JPY</t>
        </is>
      </c>
      <c r="C498" t="n">
        <v>0.046714</v>
      </c>
    </row>
    <row r="499">
      <c r="A499" t="inlineStr">
        <is>
          <t>2025-07-28</t>
        </is>
      </c>
      <c r="B499" t="inlineStr">
        <is>
          <t>USD</t>
        </is>
      </c>
      <c r="C499" t="n">
        <v>7.17785</v>
      </c>
    </row>
    <row r="500">
      <c r="A500" t="inlineStr">
        <is>
          <t>2025-07-29</t>
        </is>
      </c>
      <c r="B500" t="inlineStr">
        <is>
          <t>EUR</t>
        </is>
      </c>
      <c r="C500" t="n">
        <v>8.286799999999999</v>
      </c>
    </row>
    <row r="501">
      <c r="A501" t="inlineStr">
        <is>
          <t>2025-07-29</t>
        </is>
      </c>
      <c r="B501" t="inlineStr">
        <is>
          <t>HKD</t>
        </is>
      </c>
      <c r="C501" t="n">
        <v>0.91425</v>
      </c>
    </row>
    <row r="502">
      <c r="A502" t="inlineStr">
        <is>
          <t>2025-07-29</t>
        </is>
      </c>
      <c r="B502" t="inlineStr">
        <is>
          <t>JPY</t>
        </is>
      </c>
      <c r="C502" t="n">
        <v>0.046906</v>
      </c>
    </row>
    <row r="503">
      <c r="A503" t="inlineStr">
        <is>
          <t>2025-07-29</t>
        </is>
      </c>
      <c r="B503" t="inlineStr">
        <is>
          <t>USD</t>
        </is>
      </c>
      <c r="C503" t="n">
        <v>7.1772</v>
      </c>
    </row>
    <row r="504">
      <c r="A504" t="inlineStr">
        <is>
          <t>2025-07-30</t>
        </is>
      </c>
      <c r="B504" t="inlineStr">
        <is>
          <t>EUR</t>
        </is>
      </c>
      <c r="C504" t="n">
        <v>8.20529</v>
      </c>
    </row>
    <row r="505">
      <c r="A505" t="inlineStr">
        <is>
          <t>2025-07-30</t>
        </is>
      </c>
      <c r="B505" t="inlineStr">
        <is>
          <t>HKD</t>
        </is>
      </c>
      <c r="C505" t="n">
        <v>0.91636</v>
      </c>
    </row>
    <row r="506">
      <c r="A506" t="inlineStr">
        <is>
          <t>2025-07-30</t>
        </is>
      </c>
      <c r="B506" t="inlineStr">
        <is>
          <t>JPY</t>
        </is>
      </c>
      <c r="C506" t="n">
        <v>0.046743</v>
      </c>
    </row>
    <row r="507">
      <c r="A507" t="inlineStr">
        <is>
          <t>2025-07-30</t>
        </is>
      </c>
      <c r="B507" t="inlineStr">
        <is>
          <t>USD</t>
        </is>
      </c>
      <c r="C507" t="n">
        <v>7.19415</v>
      </c>
    </row>
    <row r="508">
      <c r="A508" t="inlineStr">
        <is>
          <t>2025-07-31</t>
        </is>
      </c>
      <c r="B508" t="inlineStr">
        <is>
          <t>EUR</t>
        </is>
      </c>
      <c r="C508" t="n">
        <v>8.219670000000001</v>
      </c>
    </row>
    <row r="509">
      <c r="A509" t="inlineStr">
        <is>
          <t>2025-07-31</t>
        </is>
      </c>
      <c r="B509" t="inlineStr">
        <is>
          <t>HKD</t>
        </is>
      </c>
      <c r="C509" t="n">
        <v>0.91722</v>
      </c>
    </row>
    <row r="510">
      <c r="A510" t="inlineStr">
        <is>
          <t>2025-07-31</t>
        </is>
      </c>
      <c r="B510" t="inlineStr">
        <is>
          <t>JPY</t>
        </is>
      </c>
      <c r="C510" t="n">
        <v>0.047043</v>
      </c>
    </row>
    <row r="511">
      <c r="A511" t="inlineStr">
        <is>
          <t>2025-07-31</t>
        </is>
      </c>
      <c r="B511" t="inlineStr">
        <is>
          <t>USD</t>
        </is>
      </c>
      <c r="C511" t="n">
        <v>7.20045</v>
      </c>
    </row>
    <row r="512">
      <c r="A512" t="inlineStr">
        <is>
          <t>2025-08-01</t>
        </is>
      </c>
      <c r="B512" t="inlineStr">
        <is>
          <t>EUR</t>
        </is>
      </c>
      <c r="C512" t="n">
        <v>8.355169999999999</v>
      </c>
    </row>
    <row r="513">
      <c r="A513" t="inlineStr">
        <is>
          <t>2025-08-01</t>
        </is>
      </c>
      <c r="B513" t="inlineStr">
        <is>
          <t>HKD</t>
        </is>
      </c>
      <c r="C513" t="n">
        <v>0.91872</v>
      </c>
    </row>
    <row r="514">
      <c r="A514" t="inlineStr">
        <is>
          <t>2025-08-01</t>
        </is>
      </c>
      <c r="B514" t="inlineStr">
        <is>
          <t>JPY</t>
        </is>
      </c>
      <c r="C514" t="n">
        <v>0.047623</v>
      </c>
    </row>
    <row r="515">
      <c r="A515" t="inlineStr">
        <is>
          <t>2025-08-01</t>
        </is>
      </c>
      <c r="B515" t="inlineStr">
        <is>
          <t>USD</t>
        </is>
      </c>
      <c r="C515" t="n">
        <v>7.21175</v>
      </c>
    </row>
    <row r="516">
      <c r="A516" t="inlineStr">
        <is>
          <t>2025-08-04</t>
        </is>
      </c>
      <c r="B516" t="inlineStr">
        <is>
          <t>EUR</t>
        </is>
      </c>
      <c r="C516" t="n">
        <v>8.306469999999999</v>
      </c>
    </row>
    <row r="517">
      <c r="A517" t="inlineStr">
        <is>
          <t>2025-08-04</t>
        </is>
      </c>
      <c r="B517" t="inlineStr">
        <is>
          <t>HKD</t>
        </is>
      </c>
      <c r="C517" t="n">
        <v>0.91439</v>
      </c>
    </row>
    <row r="518">
      <c r="A518" t="inlineStr">
        <is>
          <t>2025-08-04</t>
        </is>
      </c>
      <c r="B518" t="inlineStr">
        <is>
          <t>JPY</t>
        </is>
      </c>
      <c r="C518" t="n">
        <v>0.047158</v>
      </c>
    </row>
    <row r="519">
      <c r="A519" t="inlineStr">
        <is>
          <t>2025-08-04</t>
        </is>
      </c>
      <c r="B519" t="inlineStr">
        <is>
          <t>USD</t>
        </is>
      </c>
      <c r="C519" t="n">
        <v>7.1787</v>
      </c>
    </row>
    <row r="520">
      <c r="A520" t="inlineStr">
        <is>
          <t>2025-08-05</t>
        </is>
      </c>
      <c r="B520" t="inlineStr">
        <is>
          <t>EUR</t>
        </is>
      </c>
      <c r="C520" t="n">
        <v>8.31584</v>
      </c>
    </row>
    <row r="521">
      <c r="A521" t="inlineStr">
        <is>
          <t>2025-08-05</t>
        </is>
      </c>
      <c r="B521" t="inlineStr">
        <is>
          <t>HKD</t>
        </is>
      </c>
      <c r="C521" t="n">
        <v>0.9150700000000001</v>
      </c>
    </row>
    <row r="522">
      <c r="A522" t="inlineStr">
        <is>
          <t>2025-08-05</t>
        </is>
      </c>
      <c r="B522" t="inlineStr">
        <is>
          <t>JPY</t>
        </is>
      </c>
      <c r="C522" t="n">
        <v>0.047288</v>
      </c>
    </row>
    <row r="523">
      <c r="A523" t="inlineStr">
        <is>
          <t>2025-08-05</t>
        </is>
      </c>
      <c r="B523" t="inlineStr">
        <is>
          <t>USD</t>
        </is>
      </c>
      <c r="C523" t="n">
        <v>7.184</v>
      </c>
    </row>
    <row r="524">
      <c r="A524" t="inlineStr">
        <is>
          <t>2025-08-06</t>
        </is>
      </c>
      <c r="B524" t="inlineStr">
        <is>
          <t>EUR</t>
        </is>
      </c>
      <c r="C524" t="n">
        <v>8.374549999999999</v>
      </c>
    </row>
    <row r="525">
      <c r="A525" t="inlineStr">
        <is>
          <t>2025-08-06</t>
        </is>
      </c>
      <c r="B525" t="inlineStr">
        <is>
          <t>HKD</t>
        </is>
      </c>
      <c r="C525" t="n">
        <v>0.91493</v>
      </c>
    </row>
    <row r="526">
      <c r="A526" t="inlineStr">
        <is>
          <t>2025-08-06</t>
        </is>
      </c>
      <c r="B526" t="inlineStr">
        <is>
          <t>JPY</t>
        </is>
      </c>
      <c r="C526" t="n">
        <v>0.047309</v>
      </c>
    </row>
    <row r="527">
      <c r="A527" t="inlineStr">
        <is>
          <t>2025-08-06</t>
        </is>
      </c>
      <c r="B527" t="inlineStr">
        <is>
          <t>USD</t>
        </is>
      </c>
      <c r="C527" t="n">
        <v>7.1826</v>
      </c>
    </row>
    <row r="528">
      <c r="A528" t="inlineStr">
        <is>
          <t>2025-08-07</t>
        </is>
      </c>
      <c r="B528" t="inlineStr">
        <is>
          <t>EUR</t>
        </is>
      </c>
      <c r="C528" t="n">
        <v>8.377520000000001</v>
      </c>
    </row>
    <row r="529">
      <c r="A529" t="inlineStr">
        <is>
          <t>2025-08-07</t>
        </is>
      </c>
      <c r="B529" t="inlineStr">
        <is>
          <t>HKD</t>
        </is>
      </c>
      <c r="C529" t="n">
        <v>0.91477</v>
      </c>
    </row>
    <row r="530">
      <c r="A530" t="inlineStr">
        <is>
          <t>2025-08-07</t>
        </is>
      </c>
      <c r="B530" t="inlineStr">
        <is>
          <t>JPY</t>
        </is>
      </c>
      <c r="C530" t="n">
        <v>0.047502</v>
      </c>
    </row>
    <row r="531">
      <c r="A531" t="inlineStr">
        <is>
          <t>2025-08-07</t>
        </is>
      </c>
      <c r="B531" t="inlineStr">
        <is>
          <t>USD</t>
        </is>
      </c>
      <c r="C531" t="n">
        <v>7.18145</v>
      </c>
    </row>
    <row r="532">
      <c r="A532" t="inlineStr">
        <is>
          <t>2025-08-08</t>
        </is>
      </c>
      <c r="B532" t="inlineStr">
        <is>
          <t>EUR</t>
        </is>
      </c>
      <c r="C532" t="n">
        <v>8.362410000000001</v>
      </c>
    </row>
    <row r="533">
      <c r="A533" t="inlineStr">
        <is>
          <t>2025-08-08</t>
        </is>
      </c>
      <c r="B533" t="inlineStr">
        <is>
          <t>HKD</t>
        </is>
      </c>
      <c r="C533" t="n">
        <v>0.91515</v>
      </c>
    </row>
    <row r="534">
      <c r="A534" t="inlineStr">
        <is>
          <t>2025-08-08</t>
        </is>
      </c>
      <c r="B534" t="inlineStr">
        <is>
          <t>JPY</t>
        </is>
      </c>
      <c r="C534" t="n">
        <v>0.047906</v>
      </c>
    </row>
    <row r="535">
      <c r="A535" t="inlineStr">
        <is>
          <t>2025-08-08</t>
        </is>
      </c>
      <c r="B535" t="inlineStr">
        <is>
          <t>USD</t>
        </is>
      </c>
      <c r="C535" t="n">
        <v>7.1842</v>
      </c>
    </row>
    <row r="536">
      <c r="A536" t="inlineStr">
        <is>
          <t>2025-08-11</t>
        </is>
      </c>
      <c r="B536" t="inlineStr">
        <is>
          <t>EUR</t>
        </is>
      </c>
      <c r="C536" t="n">
        <v>8.350149999999999</v>
      </c>
    </row>
    <row r="537">
      <c r="A537" t="inlineStr">
        <is>
          <t>2025-08-11</t>
        </is>
      </c>
      <c r="B537" t="inlineStr">
        <is>
          <t>HKD</t>
        </is>
      </c>
      <c r="C537" t="n">
        <v>0.91568</v>
      </c>
    </row>
    <row r="538">
      <c r="A538" t="inlineStr">
        <is>
          <t>2025-08-11</t>
        </is>
      </c>
      <c r="B538" t="inlineStr">
        <is>
          <t>JPY</t>
        </is>
      </c>
      <c r="C538" t="n">
        <v>0.047634</v>
      </c>
    </row>
    <row r="539">
      <c r="A539" t="inlineStr">
        <is>
          <t>2025-08-11</t>
        </is>
      </c>
      <c r="B539" t="inlineStr">
        <is>
          <t>USD</t>
        </is>
      </c>
      <c r="C539" t="n">
        <v>7.1888</v>
      </c>
    </row>
    <row r="540">
      <c r="A540" t="inlineStr">
        <is>
          <t>2025-08-12</t>
        </is>
      </c>
      <c r="B540" t="inlineStr">
        <is>
          <t>EUR</t>
        </is>
      </c>
      <c r="C540" t="n">
        <v>8.38064</v>
      </c>
    </row>
    <row r="541">
      <c r="A541" t="inlineStr">
        <is>
          <t>2025-08-12</t>
        </is>
      </c>
      <c r="B541" t="inlineStr">
        <is>
          <t>HKD</t>
        </is>
      </c>
      <c r="C541" t="n">
        <v>0.9144600000000001</v>
      </c>
    </row>
    <row r="542">
      <c r="A542" t="inlineStr">
        <is>
          <t>2025-08-12</t>
        </is>
      </c>
      <c r="B542" t="inlineStr">
        <is>
          <t>JPY</t>
        </is>
      </c>
      <c r="C542" t="n">
        <v>0.047736</v>
      </c>
    </row>
    <row r="543">
      <c r="A543" t="inlineStr">
        <is>
          <t>2025-08-12</t>
        </is>
      </c>
      <c r="B543" t="inlineStr">
        <is>
          <t>USD</t>
        </is>
      </c>
      <c r="C543" t="n">
        <v>7.1792</v>
      </c>
    </row>
    <row r="544">
      <c r="A544" t="inlineStr">
        <is>
          <t>2025-08-13</t>
        </is>
      </c>
      <c r="B544" t="inlineStr">
        <is>
          <t>EUR</t>
        </is>
      </c>
      <c r="C544" t="n">
        <v>8.39917</v>
      </c>
    </row>
    <row r="545">
      <c r="A545" t="inlineStr">
        <is>
          <t>2025-08-13</t>
        </is>
      </c>
      <c r="B545" t="inlineStr">
        <is>
          <t>HKD</t>
        </is>
      </c>
      <c r="C545" t="n">
        <v>0.91396</v>
      </c>
    </row>
    <row r="546">
      <c r="A546" t="inlineStr">
        <is>
          <t>2025-08-13</t>
        </is>
      </c>
      <c r="B546" t="inlineStr">
        <is>
          <t>JPY</t>
        </is>
      </c>
      <c r="C546" t="n">
        <v>0.047311</v>
      </c>
    </row>
    <row r="547">
      <c r="A547" t="inlineStr">
        <is>
          <t>2025-08-13</t>
        </is>
      </c>
      <c r="B547" t="inlineStr">
        <is>
          <t>USD</t>
        </is>
      </c>
      <c r="C547" t="n">
        <v>7.1751</v>
      </c>
    </row>
    <row r="548">
      <c r="A548" t="inlineStr">
        <is>
          <t>2025-08-14</t>
        </is>
      </c>
      <c r="B548" t="inlineStr">
        <is>
          <t>EUR</t>
        </is>
      </c>
      <c r="C548" t="n">
        <v>8.36356</v>
      </c>
    </row>
    <row r="549">
      <c r="A549" t="inlineStr">
        <is>
          <t>2025-08-14</t>
        </is>
      </c>
      <c r="B549" t="inlineStr">
        <is>
          <t>HKD</t>
        </is>
      </c>
      <c r="C549" t="n">
        <v>0.91649</v>
      </c>
    </row>
    <row r="550">
      <c r="A550" t="inlineStr">
        <is>
          <t>2025-08-14</t>
        </is>
      </c>
      <c r="B550" t="inlineStr">
        <is>
          <t>JPY</t>
        </is>
      </c>
      <c r="C550" t="n">
        <v>0.047153</v>
      </c>
    </row>
    <row r="551">
      <c r="A551" t="inlineStr">
        <is>
          <t>2025-08-14</t>
        </is>
      </c>
      <c r="B551" t="inlineStr">
        <is>
          <t>USD</t>
        </is>
      </c>
      <c r="C551" t="n">
        <v>7.18025</v>
      </c>
    </row>
    <row r="552">
      <c r="A552" t="inlineStr">
        <is>
          <t>2025-08-15</t>
        </is>
      </c>
      <c r="B552" t="inlineStr">
        <is>
          <t>EUR</t>
        </is>
      </c>
      <c r="C552" t="n">
        <v>8.401619999999999</v>
      </c>
    </row>
    <row r="553">
      <c r="A553" t="inlineStr">
        <is>
          <t>2025-08-15</t>
        </is>
      </c>
      <c r="B553" t="inlineStr">
        <is>
          <t>HKD</t>
        </is>
      </c>
      <c r="C553" t="n">
        <v>0.9176800000000001</v>
      </c>
    </row>
    <row r="554">
      <c r="A554" t="inlineStr">
        <is>
          <t>2025-08-15</t>
        </is>
      </c>
      <c r="B554" t="inlineStr">
        <is>
          <t>JPY</t>
        </is>
      </c>
      <c r="C554" t="n">
        <v>0.04724</v>
      </c>
    </row>
    <row r="555">
      <c r="A555" t="inlineStr">
        <is>
          <t>2025-08-15</t>
        </is>
      </c>
      <c r="B555" t="inlineStr">
        <is>
          <t>USD</t>
        </is>
      </c>
      <c r="C555" t="n">
        <v>7.1821</v>
      </c>
    </row>
    <row r="556">
      <c r="A556" t="inlineStr">
        <is>
          <t>2025-08-18</t>
        </is>
      </c>
      <c r="B556" t="inlineStr">
        <is>
          <t>EUR</t>
        </is>
      </c>
      <c r="C556" t="n">
        <v>8.378310000000001</v>
      </c>
    </row>
    <row r="557">
      <c r="A557" t="inlineStr">
        <is>
          <t>2025-08-18</t>
        </is>
      </c>
      <c r="B557" t="inlineStr">
        <is>
          <t>HKD</t>
        </is>
      </c>
      <c r="C557" t="n">
        <v>0.91877</v>
      </c>
    </row>
    <row r="558">
      <c r="A558" t="inlineStr">
        <is>
          <t>2025-08-18</t>
        </is>
      </c>
      <c r="B558" t="inlineStr">
        <is>
          <t>JPY</t>
        </is>
      </c>
      <c r="C558" t="n">
        <v>0.047518</v>
      </c>
    </row>
    <row r="559">
      <c r="A559" t="inlineStr">
        <is>
          <t>2025-08-18</t>
        </is>
      </c>
      <c r="B559" t="inlineStr">
        <is>
          <t>USD</t>
        </is>
      </c>
      <c r="C559" t="n">
        <v>7.1849</v>
      </c>
    </row>
    <row r="560">
      <c r="A560" t="inlineStr">
        <is>
          <t>2025-08-19</t>
        </is>
      </c>
      <c r="B560" t="inlineStr">
        <is>
          <t>EUR</t>
        </is>
      </c>
      <c r="C560" t="n">
        <v>8.364979999999999</v>
      </c>
    </row>
    <row r="561">
      <c r="A561" t="inlineStr">
        <is>
          <t>2025-08-19</t>
        </is>
      </c>
      <c r="B561" t="inlineStr">
        <is>
          <t>HKD</t>
        </is>
      </c>
      <c r="C561" t="n">
        <v>0.9208499999999999</v>
      </c>
    </row>
    <row r="562">
      <c r="A562" t="inlineStr">
        <is>
          <t>2025-08-19</t>
        </is>
      </c>
      <c r="B562" t="inlineStr">
        <is>
          <t>JPY</t>
        </is>
      </c>
      <c r="C562" t="n">
        <v>0.047677</v>
      </c>
    </row>
    <row r="563">
      <c r="A563" t="inlineStr">
        <is>
          <t>2025-08-19</t>
        </is>
      </c>
      <c r="B563" t="inlineStr">
        <is>
          <t>USD</t>
        </is>
      </c>
      <c r="C563" t="n">
        <v>7.1824</v>
      </c>
    </row>
    <row r="564">
      <c r="A564" t="inlineStr">
        <is>
          <t>2025-08-20</t>
        </is>
      </c>
      <c r="B564" t="inlineStr">
        <is>
          <t>EUR</t>
        </is>
      </c>
      <c r="C564" t="n">
        <v>8.36135</v>
      </c>
    </row>
    <row r="565">
      <c r="A565" t="inlineStr">
        <is>
          <t>2025-08-20</t>
        </is>
      </c>
      <c r="B565" t="inlineStr">
        <is>
          <t>HKD</t>
        </is>
      </c>
      <c r="C565" t="n">
        <v>0.91844</v>
      </c>
    </row>
    <row r="566">
      <c r="A566" t="inlineStr">
        <is>
          <t>2025-08-20</t>
        </is>
      </c>
      <c r="B566" t="inlineStr">
        <is>
          <t>JPY</t>
        </is>
      </c>
      <c r="C566" t="n">
        <v>0.047928</v>
      </c>
    </row>
    <row r="567">
      <c r="A567" t="inlineStr">
        <is>
          <t>2025-08-20</t>
        </is>
      </c>
      <c r="B567" t="inlineStr">
        <is>
          <t>USD</t>
        </is>
      </c>
      <c r="C567" t="n">
        <v>7.1762</v>
      </c>
    </row>
    <row r="568">
      <c r="A568" t="inlineStr">
        <is>
          <t>2025-08-21</t>
        </is>
      </c>
      <c r="B568" t="inlineStr">
        <is>
          <t>EUR</t>
        </is>
      </c>
      <c r="C568" t="n">
        <v>8.333690000000001</v>
      </c>
    </row>
    <row r="569">
      <c r="A569" t="inlineStr">
        <is>
          <t>2025-08-21</t>
        </is>
      </c>
      <c r="B569" t="inlineStr">
        <is>
          <t>HKD</t>
        </is>
      </c>
      <c r="C569" t="n">
        <v>0.9188499999999999</v>
      </c>
    </row>
    <row r="570">
      <c r="A570" t="inlineStr">
        <is>
          <t>2025-08-21</t>
        </is>
      </c>
      <c r="B570" t="inlineStr">
        <is>
          <t>JPY</t>
        </is>
      </c>
      <c r="C570" t="n">
        <v>0.047455</v>
      </c>
    </row>
    <row r="571">
      <c r="A571" t="inlineStr">
        <is>
          <t>2025-08-21</t>
        </is>
      </c>
      <c r="B571" t="inlineStr">
        <is>
          <t>USD</t>
        </is>
      </c>
      <c r="C571" t="n">
        <v>7.1805</v>
      </c>
    </row>
    <row r="572">
      <c r="A572" t="inlineStr">
        <is>
          <t>2025-08-22</t>
        </is>
      </c>
      <c r="B572" t="inlineStr">
        <is>
          <t>EUR</t>
        </is>
      </c>
      <c r="C572" t="n">
        <v>8.39569</v>
      </c>
    </row>
    <row r="573">
      <c r="A573" t="inlineStr">
        <is>
          <t>2025-08-22</t>
        </is>
      </c>
      <c r="B573" t="inlineStr">
        <is>
          <t>HKD</t>
        </is>
      </c>
      <c r="C573" t="n">
        <v>0.91684</v>
      </c>
    </row>
    <row r="574">
      <c r="A574" t="inlineStr">
        <is>
          <t>2025-08-22</t>
        </is>
      </c>
      <c r="B574" t="inlineStr">
        <is>
          <t>JPY</t>
        </is>
      </c>
      <c r="C574" t="n">
        <v>0.047318</v>
      </c>
    </row>
    <row r="575">
      <c r="A575" t="inlineStr">
        <is>
          <t>2025-08-22</t>
        </is>
      </c>
      <c r="B575" t="inlineStr">
        <is>
          <t>USD</t>
        </is>
      </c>
      <c r="C575" t="n">
        <v>7.1657</v>
      </c>
    </row>
    <row r="576">
      <c r="A576" t="inlineStr">
        <is>
          <t>2025-08-25</t>
        </is>
      </c>
      <c r="B576" t="inlineStr">
        <is>
          <t>EUR</t>
        </is>
      </c>
      <c r="C576" t="n">
        <v>8.30903</v>
      </c>
    </row>
    <row r="577">
      <c r="A577" t="inlineStr">
        <is>
          <t>2025-08-25</t>
        </is>
      </c>
      <c r="B577" t="inlineStr">
        <is>
          <t>HKD</t>
        </is>
      </c>
      <c r="C577" t="n">
        <v>0.9154</v>
      </c>
    </row>
    <row r="578">
      <c r="A578" t="inlineStr">
        <is>
          <t>2025-08-25</t>
        </is>
      </c>
      <c r="B578" t="inlineStr">
        <is>
          <t>JPY</t>
        </is>
      </c>
      <c r="C578" t="n">
        <v>0.046951</v>
      </c>
    </row>
    <row r="579">
      <c r="A579" t="inlineStr">
        <is>
          <t>2025-08-25</t>
        </is>
      </c>
      <c r="B579" t="inlineStr">
        <is>
          <t>USD</t>
        </is>
      </c>
      <c r="C579" t="n">
        <v>7.15155</v>
      </c>
    </row>
    <row r="580">
      <c r="A580" t="inlineStr">
        <is>
          <t>2025-08-26</t>
        </is>
      </c>
      <c r="B580" t="inlineStr">
        <is>
          <t>EUR</t>
        </is>
      </c>
      <c r="C580" t="n">
        <v>8.32812</v>
      </c>
    </row>
    <row r="581">
      <c r="A581" t="inlineStr">
        <is>
          <t>2025-08-26</t>
        </is>
      </c>
      <c r="B581" t="inlineStr">
        <is>
          <t>HKD</t>
        </is>
      </c>
      <c r="C581" t="n">
        <v>0.91766</v>
      </c>
    </row>
    <row r="582">
      <c r="A582" t="inlineStr">
        <is>
          <t>2025-08-26</t>
        </is>
      </c>
      <c r="B582" t="inlineStr">
        <is>
          <t>JPY</t>
        </is>
      </c>
      <c r="C582" t="n">
        <v>0.047261</v>
      </c>
    </row>
    <row r="583">
      <c r="A583" t="inlineStr">
        <is>
          <t>2025-08-26</t>
        </is>
      </c>
      <c r="B583" t="inlineStr">
        <is>
          <t>USD</t>
        </is>
      </c>
      <c r="C583" t="n">
        <v>7.1529</v>
      </c>
    </row>
    <row r="584">
      <c r="A584" t="inlineStr">
        <is>
          <t>2025-08-27</t>
        </is>
      </c>
      <c r="B584" t="inlineStr">
        <is>
          <t>EUR</t>
        </is>
      </c>
      <c r="C584" t="n">
        <v>8.32653</v>
      </c>
    </row>
    <row r="585">
      <c r="A585" t="inlineStr">
        <is>
          <t>2025-08-27</t>
        </is>
      </c>
      <c r="B585" t="inlineStr">
        <is>
          <t>HKD</t>
        </is>
      </c>
      <c r="C585" t="n">
        <v>0.91869</v>
      </c>
    </row>
    <row r="586">
      <c r="A586" t="inlineStr">
        <is>
          <t>2025-08-27</t>
        </is>
      </c>
      <c r="B586" t="inlineStr">
        <is>
          <t>JPY</t>
        </is>
      </c>
      <c r="C586" t="n">
        <v>0.047227</v>
      </c>
    </row>
    <row r="587">
      <c r="A587" t="inlineStr">
        <is>
          <t>2025-08-27</t>
        </is>
      </c>
      <c r="B587" t="inlineStr">
        <is>
          <t>USD</t>
        </is>
      </c>
      <c r="C587" t="n">
        <v>7.1543</v>
      </c>
    </row>
    <row r="588">
      <c r="A588" t="inlineStr">
        <is>
          <t>2025-08-28</t>
        </is>
      </c>
      <c r="B588" t="inlineStr">
        <is>
          <t>EUR</t>
        </is>
      </c>
      <c r="C588" t="n">
        <v>8.33038</v>
      </c>
    </row>
    <row r="589">
      <c r="A589" t="inlineStr">
        <is>
          <t>2025-08-28</t>
        </is>
      </c>
      <c r="B589" t="inlineStr">
        <is>
          <t>HKD</t>
        </is>
      </c>
      <c r="C589" t="n">
        <v>0.91481</v>
      </c>
    </row>
    <row r="590">
      <c r="A590" t="inlineStr">
        <is>
          <t>2025-08-28</t>
        </is>
      </c>
      <c r="B590" t="inlineStr">
        <is>
          <t>JPY</t>
        </is>
      </c>
      <c r="C590" t="n">
        <v>0.046792</v>
      </c>
    </row>
    <row r="591">
      <c r="A591" t="inlineStr">
        <is>
          <t>2025-08-28</t>
        </is>
      </c>
      <c r="B591" t="inlineStr">
        <is>
          <t>USD</t>
        </is>
      </c>
      <c r="C591" t="n">
        <v>7.13065</v>
      </c>
    </row>
    <row r="592">
      <c r="A592" t="inlineStr">
        <is>
          <t>2025-08-29</t>
        </is>
      </c>
      <c r="B592" t="inlineStr">
        <is>
          <t>EUR</t>
        </is>
      </c>
      <c r="C592" t="n">
        <v>8.33305</v>
      </c>
    </row>
    <row r="593">
      <c r="A593" t="inlineStr">
        <is>
          <t>2025-08-29</t>
        </is>
      </c>
      <c r="B593" t="inlineStr">
        <is>
          <t>HKD</t>
        </is>
      </c>
      <c r="C593" t="n">
        <v>0.91445</v>
      </c>
    </row>
    <row r="594">
      <c r="A594" t="inlineStr">
        <is>
          <t>2025-08-29</t>
        </is>
      </c>
      <c r="B594" t="inlineStr">
        <is>
          <t>JPY</t>
        </is>
      </c>
      <c r="C594" t="n">
        <v>0.046873</v>
      </c>
    </row>
    <row r="595">
      <c r="A595" t="inlineStr">
        <is>
          <t>2025-08-29</t>
        </is>
      </c>
      <c r="B595" t="inlineStr">
        <is>
          <t>USD</t>
        </is>
      </c>
      <c r="C595" t="n">
        <v>7.1308</v>
      </c>
    </row>
    <row r="596">
      <c r="A596" t="inlineStr">
        <is>
          <t>2025-09-01</t>
        </is>
      </c>
      <c r="B596" t="inlineStr">
        <is>
          <t>EUR</t>
        </is>
      </c>
      <c r="C596" t="n">
        <v>8.359080000000001</v>
      </c>
    </row>
    <row r="597">
      <c r="A597" t="inlineStr">
        <is>
          <t>2025-09-01</t>
        </is>
      </c>
      <c r="B597" t="inlineStr">
        <is>
          <t>HKD</t>
        </is>
      </c>
      <c r="C597" t="n">
        <v>0.9154099999999999</v>
      </c>
    </row>
    <row r="598">
      <c r="A598" t="inlineStr">
        <is>
          <t>2025-09-01</t>
        </is>
      </c>
      <c r="B598" t="inlineStr">
        <is>
          <t>JPY</t>
        </is>
      </c>
      <c r="C598" t="n">
        <v>0.046675</v>
      </c>
    </row>
    <row r="599">
      <c r="A599" t="inlineStr">
        <is>
          <t>2025-09-01</t>
        </is>
      </c>
      <c r="B599" t="inlineStr">
        <is>
          <t>USD</t>
        </is>
      </c>
      <c r="C599" t="n">
        <v>7.1378</v>
      </c>
    </row>
    <row r="600">
      <c r="A600" t="inlineStr">
        <is>
          <t>2025-09-02</t>
        </is>
      </c>
      <c r="B600" t="inlineStr">
        <is>
          <t>EUR</t>
        </is>
      </c>
      <c r="C600" t="n">
        <v>8.31038</v>
      </c>
    </row>
    <row r="601">
      <c r="A601" t="inlineStr">
        <is>
          <t>2025-09-02</t>
        </is>
      </c>
      <c r="B601" t="inlineStr">
        <is>
          <t>HKD</t>
        </is>
      </c>
      <c r="C601" t="n">
        <v>0.9144099999999999</v>
      </c>
    </row>
    <row r="602">
      <c r="A602" t="inlineStr">
        <is>
          <t>2025-09-02</t>
        </is>
      </c>
      <c r="B602" t="inlineStr">
        <is>
          <t>JPY</t>
        </is>
      </c>
      <c r="C602" t="n">
        <v>0.046942</v>
      </c>
    </row>
    <row r="603">
      <c r="A603" t="inlineStr">
        <is>
          <t>2025-09-02</t>
        </is>
      </c>
      <c r="B603" t="inlineStr">
        <is>
          <t>USD</t>
        </is>
      </c>
      <c r="C603" t="n">
        <v>7.1395</v>
      </c>
    </row>
    <row r="604">
      <c r="A604" t="inlineStr">
        <is>
          <t>2025-09-03</t>
        </is>
      </c>
      <c r="B604" t="inlineStr">
        <is>
          <t>EUR</t>
        </is>
      </c>
      <c r="C604" t="n">
        <v>8.32882</v>
      </c>
    </row>
    <row r="605">
      <c r="A605" t="inlineStr">
        <is>
          <t>2025-09-03</t>
        </is>
      </c>
      <c r="B605" t="inlineStr">
        <is>
          <t>HKD</t>
        </is>
      </c>
      <c r="C605" t="n">
        <v>0.91553</v>
      </c>
    </row>
    <row r="606">
      <c r="A606" t="inlineStr">
        <is>
          <t>2025-09-03</t>
        </is>
      </c>
      <c r="B606" t="inlineStr">
        <is>
          <t>JPY</t>
        </is>
      </c>
      <c r="C606" t="n">
        <v>0.047284</v>
      </c>
    </row>
    <row r="607">
      <c r="A607" t="inlineStr">
        <is>
          <t>2025-09-03</t>
        </is>
      </c>
      <c r="B607" t="inlineStr">
        <is>
          <t>USD</t>
        </is>
      </c>
      <c r="C607" t="n">
        <v>7.14215</v>
      </c>
    </row>
    <row r="608">
      <c r="A608" t="inlineStr">
        <is>
          <t>2025-09-04</t>
        </is>
      </c>
      <c r="B608" t="inlineStr">
        <is>
          <t>EUR</t>
        </is>
      </c>
      <c r="C608" t="n">
        <v>8.31972</v>
      </c>
    </row>
    <row r="609">
      <c r="A609" t="inlineStr">
        <is>
          <t>2025-09-04</t>
        </is>
      </c>
      <c r="B609" t="inlineStr">
        <is>
          <t>HKD</t>
        </is>
      </c>
      <c r="C609" t="n">
        <v>0.91545</v>
      </c>
    </row>
    <row r="610">
      <c r="A610" t="inlineStr">
        <is>
          <t>2025-09-04</t>
        </is>
      </c>
      <c r="B610" t="inlineStr">
        <is>
          <t>JPY</t>
        </is>
      </c>
      <c r="C610" t="n">
        <v>0.04719</v>
      </c>
    </row>
    <row r="611">
      <c r="A611" t="inlineStr">
        <is>
          <t>2025-09-04</t>
        </is>
      </c>
      <c r="B611" t="inlineStr">
        <is>
          <t>USD</t>
        </is>
      </c>
      <c r="C611" t="n">
        <v>7.1417</v>
      </c>
    </row>
    <row r="612">
      <c r="A612" t="inlineStr">
        <is>
          <t>2025-09-05</t>
        </is>
      </c>
      <c r="B612" t="inlineStr">
        <is>
          <t>EUR</t>
        </is>
      </c>
      <c r="C612" t="n">
        <v>8.35899</v>
      </c>
    </row>
    <row r="613">
      <c r="A613" t="inlineStr">
        <is>
          <t>2025-09-05</t>
        </is>
      </c>
      <c r="B613" t="inlineStr">
        <is>
          <t>HKD</t>
        </is>
      </c>
      <c r="C613" t="n">
        <v>0.91476</v>
      </c>
    </row>
    <row r="614">
      <c r="A614" t="inlineStr">
        <is>
          <t>2025-09-05</t>
        </is>
      </c>
      <c r="B614" t="inlineStr">
        <is>
          <t>JPY</t>
        </is>
      </c>
      <c r="C614" t="n">
        <v>0.047222</v>
      </c>
    </row>
    <row r="615">
      <c r="A615" t="inlineStr">
        <is>
          <t>2025-09-05</t>
        </is>
      </c>
      <c r="B615" t="inlineStr">
        <is>
          <t>USD</t>
        </is>
      </c>
      <c r="C615" t="n">
        <v>7.13285</v>
      </c>
    </row>
    <row r="616">
      <c r="A616" t="inlineStr">
        <is>
          <t>2025-09-08</t>
        </is>
      </c>
      <c r="B616" t="inlineStr">
        <is>
          <t>EUR</t>
        </is>
      </c>
      <c r="C616" t="n">
        <v>8.387560000000001</v>
      </c>
    </row>
    <row r="617">
      <c r="A617" t="inlineStr">
        <is>
          <t>2025-09-08</t>
        </is>
      </c>
      <c r="B617" t="inlineStr">
        <is>
          <t>HKD</t>
        </is>
      </c>
      <c r="C617" t="n">
        <v>0.91482</v>
      </c>
    </row>
    <row r="618">
      <c r="A618" t="inlineStr">
        <is>
          <t>2025-09-08</t>
        </is>
      </c>
      <c r="B618" t="inlineStr">
        <is>
          <t>JPY</t>
        </is>
      </c>
      <c r="C618" t="n">
        <v>0.04705</v>
      </c>
    </row>
    <row r="619">
      <c r="A619" t="inlineStr">
        <is>
          <t>2025-09-08</t>
        </is>
      </c>
      <c r="B619" t="inlineStr">
        <is>
          <t>USD</t>
        </is>
      </c>
      <c r="C619" t="n">
        <v>7.12985</v>
      </c>
    </row>
    <row r="620">
      <c r="A620" t="inlineStr">
        <is>
          <t>2025-09-09</t>
        </is>
      </c>
      <c r="B620" t="inlineStr">
        <is>
          <t>EUR</t>
        </is>
      </c>
      <c r="C620" t="n">
        <v>8.33785</v>
      </c>
    </row>
    <row r="621">
      <c r="A621" t="inlineStr">
        <is>
          <t>2025-09-09</t>
        </is>
      </c>
      <c r="B621" t="inlineStr">
        <is>
          <t>HKD</t>
        </is>
      </c>
      <c r="C621" t="n">
        <v>0.91417</v>
      </c>
    </row>
    <row r="622">
      <c r="A622" t="inlineStr">
        <is>
          <t>2025-09-09</t>
        </is>
      </c>
      <c r="B622" t="inlineStr">
        <is>
          <t>JPY</t>
        </is>
      </c>
      <c r="C622" t="n">
        <v>0.047465</v>
      </c>
    </row>
    <row r="623">
      <c r="A623" t="inlineStr">
        <is>
          <t>2025-09-09</t>
        </is>
      </c>
      <c r="B623" t="inlineStr">
        <is>
          <t>USD</t>
        </is>
      </c>
      <c r="C623" t="n">
        <v>7.1215</v>
      </c>
    </row>
    <row r="624">
      <c r="A624" t="inlineStr">
        <is>
          <t>2025-09-10</t>
        </is>
      </c>
      <c r="B624" t="inlineStr">
        <is>
          <t>EUR</t>
        </is>
      </c>
      <c r="C624" t="n">
        <v>8.32818</v>
      </c>
    </row>
    <row r="625">
      <c r="A625" t="inlineStr">
        <is>
          <t>2025-09-10</t>
        </is>
      </c>
      <c r="B625" t="inlineStr">
        <is>
          <t>HKD</t>
        </is>
      </c>
      <c r="C625" t="n">
        <v>0.91411</v>
      </c>
    </row>
    <row r="626">
      <c r="A626" t="inlineStr">
        <is>
          <t>2025-09-10</t>
        </is>
      </c>
      <c r="B626" t="inlineStr">
        <is>
          <t>JPY</t>
        </is>
      </c>
      <c r="C626" t="n">
        <v>0.047293</v>
      </c>
    </row>
    <row r="627">
      <c r="A627" t="inlineStr">
        <is>
          <t>2025-09-10</t>
        </is>
      </c>
      <c r="B627" t="inlineStr">
        <is>
          <t>USD</t>
        </is>
      </c>
      <c r="C627" t="n">
        <v>7.12115</v>
      </c>
    </row>
    <row r="628">
      <c r="A628" t="inlineStr">
        <is>
          <t>2025-09-11</t>
        </is>
      </c>
      <c r="B628" t="inlineStr">
        <is>
          <t>EUR</t>
        </is>
      </c>
      <c r="C628" t="n">
        <v>8.35267</v>
      </c>
    </row>
    <row r="629">
      <c r="A629" t="inlineStr">
        <is>
          <t>2025-09-11</t>
        </is>
      </c>
      <c r="B629" t="inlineStr">
        <is>
          <t>HKD</t>
        </is>
      </c>
      <c r="C629" t="n">
        <v>0.91389</v>
      </c>
    </row>
    <row r="630">
      <c r="A630" t="inlineStr">
        <is>
          <t>2025-09-11</t>
        </is>
      </c>
      <c r="B630" t="inlineStr">
        <is>
          <t>JPY</t>
        </is>
      </c>
      <c r="C630" t="n">
        <v>0.046661</v>
      </c>
    </row>
    <row r="631">
      <c r="A631" t="inlineStr">
        <is>
          <t>2025-09-11</t>
        </is>
      </c>
      <c r="B631" t="inlineStr">
        <is>
          <t>USD</t>
        </is>
      </c>
      <c r="C631" t="n">
        <v>7.11865</v>
      </c>
    </row>
    <row r="632">
      <c r="A632" t="inlineStr">
        <is>
          <t>2025-09-12</t>
        </is>
      </c>
      <c r="B632" t="inlineStr">
        <is>
          <t>EUR</t>
        </is>
      </c>
      <c r="C632" t="n">
        <v>8.360239999999999</v>
      </c>
    </row>
    <row r="633">
      <c r="A633" t="inlineStr">
        <is>
          <t>2025-09-12</t>
        </is>
      </c>
      <c r="B633" t="inlineStr">
        <is>
          <t>HKD</t>
        </is>
      </c>
      <c r="C633" t="n">
        <v>0.91565</v>
      </c>
    </row>
    <row r="634">
      <c r="A634" t="inlineStr">
        <is>
          <t>2025-09-12</t>
        </is>
      </c>
      <c r="B634" t="inlineStr">
        <is>
          <t>JPY</t>
        </is>
      </c>
      <c r="C634" t="n">
        <v>0.046707</v>
      </c>
    </row>
    <row r="635">
      <c r="A635" t="inlineStr">
        <is>
          <t>2025-09-12</t>
        </is>
      </c>
      <c r="B635" t="inlineStr">
        <is>
          <t>USD</t>
        </is>
      </c>
      <c r="C635" t="n">
        <v>7.1248</v>
      </c>
    </row>
    <row r="636">
      <c r="A636" t="inlineStr">
        <is>
          <t>2025-09-15</t>
        </is>
      </c>
      <c r="B636" t="inlineStr">
        <is>
          <t>EUR</t>
        </is>
      </c>
      <c r="C636" t="n">
        <v>8.37271</v>
      </c>
    </row>
    <row r="637">
      <c r="A637" t="inlineStr">
        <is>
          <t>2025-09-15</t>
        </is>
      </c>
      <c r="B637" t="inlineStr">
        <is>
          <t>HKD</t>
        </is>
      </c>
      <c r="C637" t="n">
        <v>0.91498</v>
      </c>
    </row>
    <row r="638">
      <c r="A638" t="inlineStr">
        <is>
          <t>2025-09-15</t>
        </is>
      </c>
      <c r="B638" t="inlineStr">
        <is>
          <t>JPY</t>
        </is>
      </c>
      <c r="C638" t="n">
        <v>0.046662</v>
      </c>
    </row>
    <row r="639">
      <c r="A639" t="inlineStr">
        <is>
          <t>2025-09-15</t>
        </is>
      </c>
      <c r="B639" t="inlineStr">
        <is>
          <t>USD</t>
        </is>
      </c>
      <c r="C639" t="n">
        <v>7.11905</v>
      </c>
    </row>
    <row r="640">
      <c r="A640" t="inlineStr">
        <is>
          <t>2025-09-16</t>
        </is>
      </c>
      <c r="B640" t="inlineStr">
        <is>
          <t>EUR</t>
        </is>
      </c>
      <c r="C640" t="n">
        <v>8.44295</v>
      </c>
    </row>
    <row r="641">
      <c r="A641" t="inlineStr">
        <is>
          <t>2025-09-16</t>
        </is>
      </c>
      <c r="B641" t="inlineStr">
        <is>
          <t>HKD</t>
        </is>
      </c>
      <c r="C641" t="n">
        <v>0.91425</v>
      </c>
    </row>
    <row r="642">
      <c r="A642" t="inlineStr">
        <is>
          <t>2025-09-16</t>
        </is>
      </c>
      <c r="B642" t="inlineStr">
        <is>
          <t>JPY</t>
        </is>
      </c>
      <c r="C642" t="n">
        <v>0.046589</v>
      </c>
    </row>
    <row r="643">
      <c r="A643" t="inlineStr">
        <is>
          <t>2025-09-16</t>
        </is>
      </c>
      <c r="B643" t="inlineStr">
        <is>
          <t>USD</t>
        </is>
      </c>
      <c r="C643" t="n">
        <v>7.11435</v>
      </c>
    </row>
    <row r="644">
      <c r="A644" t="inlineStr">
        <is>
          <t>2025-09-17</t>
        </is>
      </c>
      <c r="B644" t="inlineStr">
        <is>
          <t>EUR</t>
        </is>
      </c>
      <c r="C644" t="n">
        <v>8.39113</v>
      </c>
    </row>
    <row r="645">
      <c r="A645" t="inlineStr">
        <is>
          <t>2025-09-17</t>
        </is>
      </c>
      <c r="B645" t="inlineStr">
        <is>
          <t>HKD</t>
        </is>
      </c>
      <c r="C645" t="n">
        <v>0.91321</v>
      </c>
    </row>
    <row r="646">
      <c r="A646" t="inlineStr">
        <is>
          <t>2025-09-17</t>
        </is>
      </c>
      <c r="B646" t="inlineStr">
        <is>
          <t>JPY</t>
        </is>
      </c>
      <c r="C646" t="n">
        <v>0.046957</v>
      </c>
    </row>
    <row r="647">
      <c r="A647" t="inlineStr">
        <is>
          <t>2025-09-17</t>
        </is>
      </c>
      <c r="B647" t="inlineStr">
        <is>
          <t>USD</t>
        </is>
      </c>
      <c r="C647" t="n">
        <v>7.1036</v>
      </c>
    </row>
    <row r="648">
      <c r="A648" t="inlineStr">
        <is>
          <t>2025-09-18</t>
        </is>
      </c>
      <c r="B648" t="inlineStr">
        <is>
          <t>EUR</t>
        </is>
      </c>
      <c r="C648" t="n">
        <v>8.383800000000001</v>
      </c>
    </row>
    <row r="649">
      <c r="A649" t="inlineStr">
        <is>
          <t>2025-09-18</t>
        </is>
      </c>
      <c r="B649" t="inlineStr">
        <is>
          <t>HKD</t>
        </is>
      </c>
      <c r="C649" t="n">
        <v>0.9144</v>
      </c>
    </row>
    <row r="650">
      <c r="A650" t="inlineStr">
        <is>
          <t>2025-09-18</t>
        </is>
      </c>
      <c r="B650" t="inlineStr">
        <is>
          <t>JPY</t>
        </is>
      </c>
      <c r="C650" t="n">
        <v>0.046914</v>
      </c>
    </row>
    <row r="651">
      <c r="A651" t="inlineStr">
        <is>
          <t>2025-09-18</t>
        </is>
      </c>
      <c r="B651" t="inlineStr">
        <is>
          <t>USD</t>
        </is>
      </c>
      <c r="C651" t="n">
        <v>7.11245</v>
      </c>
    </row>
    <row r="652">
      <c r="A652" t="inlineStr">
        <is>
          <t>2025-09-19</t>
        </is>
      </c>
      <c r="B652" t="inlineStr">
        <is>
          <t>EUR</t>
        </is>
      </c>
      <c r="C652" t="n">
        <v>8.357570000000001</v>
      </c>
    </row>
    <row r="653">
      <c r="A653" t="inlineStr">
        <is>
          <t>2025-09-19</t>
        </is>
      </c>
      <c r="B653" t="inlineStr">
        <is>
          <t>HKD</t>
        </is>
      </c>
      <c r="C653" t="n">
        <v>0.91516</v>
      </c>
    </row>
    <row r="654">
      <c r="A654" t="inlineStr">
        <is>
          <t>2025-09-19</t>
        </is>
      </c>
      <c r="B654" t="inlineStr">
        <is>
          <t>JPY</t>
        </is>
      </c>
      <c r="C654" t="n">
        <v>0.047316</v>
      </c>
    </row>
    <row r="655">
      <c r="A655" t="inlineStr">
        <is>
          <t>2025-09-19</t>
        </is>
      </c>
      <c r="B655" t="inlineStr">
        <is>
          <t>USD</t>
        </is>
      </c>
      <c r="C655" t="n">
        <v>7.11555</v>
      </c>
    </row>
    <row r="656">
      <c r="A656" t="inlineStr">
        <is>
          <t>2025-09-22</t>
        </is>
      </c>
      <c r="B656" t="inlineStr">
        <is>
          <t>EUR</t>
        </is>
      </c>
      <c r="C656" t="n">
        <v>8.397119999999999</v>
      </c>
    </row>
    <row r="657">
      <c r="A657" t="inlineStr">
        <is>
          <t>2025-09-22</t>
        </is>
      </c>
      <c r="B657" t="inlineStr">
        <is>
          <t>HKD</t>
        </is>
      </c>
      <c r="C657" t="n">
        <v>0.91551</v>
      </c>
    </row>
    <row r="658">
      <c r="A658" t="inlineStr">
        <is>
          <t>2025-09-22</t>
        </is>
      </c>
      <c r="B658" t="inlineStr">
        <is>
          <t>JPY</t>
        </is>
      </c>
      <c r="C658" t="n">
        <v>0.047413</v>
      </c>
    </row>
    <row r="659">
      <c r="A659" t="inlineStr">
        <is>
          <t>2025-09-22</t>
        </is>
      </c>
      <c r="B659" t="inlineStr">
        <is>
          <t>USD</t>
        </is>
      </c>
      <c r="C659" t="n">
        <v>7.1147</v>
      </c>
    </row>
    <row r="660">
      <c r="A660" t="inlineStr">
        <is>
          <t>2025-09-23</t>
        </is>
      </c>
      <c r="B660" t="inlineStr">
        <is>
          <t>EUR</t>
        </is>
      </c>
      <c r="C660" t="n">
        <v>8.403359999999999</v>
      </c>
    </row>
    <row r="661">
      <c r="A661" t="inlineStr">
        <is>
          <t>2025-09-23</t>
        </is>
      </c>
      <c r="B661" t="inlineStr">
        <is>
          <t>HKD</t>
        </is>
      </c>
      <c r="C661" t="n">
        <v>0.91452</v>
      </c>
    </row>
    <row r="662">
      <c r="A662" t="inlineStr">
        <is>
          <t>2025-09-23</t>
        </is>
      </c>
      <c r="B662" t="inlineStr">
        <is>
          <t>JPY</t>
        </is>
      </c>
      <c r="C662" t="n">
        <v>0.0471</v>
      </c>
    </row>
    <row r="663">
      <c r="A663" t="inlineStr">
        <is>
          <t>2025-09-23</t>
        </is>
      </c>
      <c r="B663" t="inlineStr">
        <is>
          <t>USD</t>
        </is>
      </c>
      <c r="C663" t="n">
        <v>7.11215</v>
      </c>
    </row>
    <row r="664">
      <c r="A664" t="inlineStr">
        <is>
          <t>2025-09-24</t>
        </is>
      </c>
      <c r="B664" t="inlineStr">
        <is>
          <t>EUR</t>
        </is>
      </c>
      <c r="C664" t="n">
        <v>8.372070000000001</v>
      </c>
    </row>
    <row r="665">
      <c r="A665" t="inlineStr">
        <is>
          <t>2025-09-24</t>
        </is>
      </c>
      <c r="B665" t="inlineStr">
        <is>
          <t>HKD</t>
        </is>
      </c>
      <c r="C665" t="n">
        <v>0.91679</v>
      </c>
    </row>
    <row r="666">
      <c r="A666" t="inlineStr">
        <is>
          <t>2025-09-24</t>
        </is>
      </c>
      <c r="B666" t="inlineStr">
        <is>
          <t>JPY</t>
        </is>
      </c>
      <c r="C666" t="n">
        <v>0.047407</v>
      </c>
    </row>
    <row r="667">
      <c r="A667" t="inlineStr">
        <is>
          <t>2025-09-24</t>
        </is>
      </c>
      <c r="B667" t="inlineStr">
        <is>
          <t>USD</t>
        </is>
      </c>
      <c r="C667" t="n">
        <v>7.13215</v>
      </c>
    </row>
    <row r="668">
      <c r="A668" t="inlineStr">
        <is>
          <t>2025-09-25</t>
        </is>
      </c>
      <c r="B668" t="inlineStr">
        <is>
          <t>EUR</t>
        </is>
      </c>
      <c r="C668" t="n">
        <v>8.323869999999999</v>
      </c>
    </row>
    <row r="669">
      <c r="A669" t="inlineStr">
        <is>
          <t>2025-09-25</t>
        </is>
      </c>
      <c r="B669" t="inlineStr">
        <is>
          <t>HKD</t>
        </is>
      </c>
      <c r="C669" t="n">
        <v>0.91652</v>
      </c>
    </row>
    <row r="670">
      <c r="A670" t="inlineStr">
        <is>
          <t>2025-09-25</t>
        </is>
      </c>
      <c r="B670" t="inlineStr">
        <is>
          <t>JPY</t>
        </is>
      </c>
      <c r="C670" t="n">
        <v>0.047306</v>
      </c>
    </row>
    <row r="671">
      <c r="A671" t="inlineStr">
        <is>
          <t>2025-09-25</t>
        </is>
      </c>
      <c r="B671" t="inlineStr">
        <is>
          <t>USD</t>
        </is>
      </c>
      <c r="C671" t="n">
        <v>7.13485</v>
      </c>
    </row>
    <row r="672">
      <c r="A672" t="inlineStr">
        <is>
          <t>2025-09-26</t>
        </is>
      </c>
      <c r="B672" t="inlineStr">
        <is>
          <t>EUR</t>
        </is>
      </c>
      <c r="C672" t="n">
        <v>8.347910000000001</v>
      </c>
    </row>
    <row r="673">
      <c r="A673" t="inlineStr">
        <is>
          <t>2025-09-26</t>
        </is>
      </c>
      <c r="B673" t="inlineStr">
        <is>
          <t>HKD</t>
        </is>
      </c>
      <c r="C673" t="n">
        <v>0.91682</v>
      </c>
    </row>
    <row r="674">
      <c r="A674" t="inlineStr">
        <is>
          <t>2025-09-26</t>
        </is>
      </c>
      <c r="B674" t="inlineStr">
        <is>
          <t>JPY</t>
        </is>
      </c>
      <c r="C674" t="n">
        <v>0.047058</v>
      </c>
    </row>
    <row r="675">
      <c r="A675" t="inlineStr">
        <is>
          <t>2025-09-26</t>
        </is>
      </c>
      <c r="B675" t="inlineStr">
        <is>
          <t>USD</t>
        </is>
      </c>
      <c r="C675" t="n">
        <v>7.13375</v>
      </c>
    </row>
    <row r="676">
      <c r="A676" t="inlineStr">
        <is>
          <t>2025-09-28</t>
        </is>
      </c>
      <c r="B676" t="inlineStr">
        <is>
          <t>USD</t>
        </is>
      </c>
      <c r="C676" t="n">
        <v>7.11945</v>
      </c>
    </row>
    <row r="677">
      <c r="A677" t="inlineStr">
        <is>
          <t>2025-09-29</t>
        </is>
      </c>
      <c r="B677" t="inlineStr">
        <is>
          <t>EUR</t>
        </is>
      </c>
      <c r="C677" t="n">
        <v>8.34862</v>
      </c>
    </row>
    <row r="678">
      <c r="A678" t="inlineStr">
        <is>
          <t>2025-09-29</t>
        </is>
      </c>
      <c r="B678" t="inlineStr">
        <is>
          <t>HKD</t>
        </is>
      </c>
      <c r="C678" t="n">
        <v>0.91464</v>
      </c>
    </row>
    <row r="679">
      <c r="A679" t="inlineStr">
        <is>
          <t>2025-09-29</t>
        </is>
      </c>
      <c r="B679" t="inlineStr">
        <is>
          <t>JPY</t>
        </is>
      </c>
      <c r="C679" t="n">
        <v>0.046897</v>
      </c>
    </row>
    <row r="680">
      <c r="A680" t="inlineStr">
        <is>
          <t>2025-09-29</t>
        </is>
      </c>
      <c r="B680" t="inlineStr">
        <is>
          <t>USD</t>
        </is>
      </c>
      <c r="C680" t="n">
        <v>7.11945</v>
      </c>
    </row>
    <row r="681">
      <c r="A681" t="inlineStr">
        <is>
          <t>2025-09-30</t>
        </is>
      </c>
      <c r="B681" t="inlineStr">
        <is>
          <t>EUR</t>
        </is>
      </c>
      <c r="C681" t="n">
        <v>8.353719999999999</v>
      </c>
    </row>
    <row r="682">
      <c r="A682" t="inlineStr">
        <is>
          <t>2025-09-30</t>
        </is>
      </c>
      <c r="B682" t="inlineStr">
        <is>
          <t>HKD</t>
        </is>
      </c>
      <c r="C682" t="n">
        <v>0.91471</v>
      </c>
    </row>
    <row r="683">
      <c r="A683" t="inlineStr">
        <is>
          <t>2025-09-30</t>
        </is>
      </c>
      <c r="B683" t="inlineStr">
        <is>
          <t>JPY</t>
        </is>
      </c>
      <c r="C683" t="n">
        <v>0.047223</v>
      </c>
    </row>
    <row r="684">
      <c r="A684" t="inlineStr">
        <is>
          <t>2025-09-30</t>
        </is>
      </c>
      <c r="B684" t="inlineStr">
        <is>
          <t>USD</t>
        </is>
      </c>
      <c r="C684" t="n">
        <v>7.11955</v>
      </c>
    </row>
    <row r="685">
      <c r="A685" t="inlineStr">
        <is>
          <t>2025-10-01</t>
        </is>
      </c>
      <c r="B685" t="inlineStr">
        <is>
          <t>EUR</t>
        </is>
      </c>
      <c r="C685" t="n">
        <v>8.351229999999999</v>
      </c>
    </row>
    <row r="686">
      <c r="A686" t="inlineStr">
        <is>
          <t>2025-10-01</t>
        </is>
      </c>
      <c r="B686" t="inlineStr">
        <is>
          <t>HKD</t>
        </is>
      </c>
      <c r="C686" t="n">
        <v>0.9147999999999999</v>
      </c>
    </row>
    <row r="687">
      <c r="A687" t="inlineStr">
        <is>
          <t>2025-10-01</t>
        </is>
      </c>
      <c r="B687" t="inlineStr">
        <is>
          <t>JPY</t>
        </is>
      </c>
      <c r="C687" t="n">
        <v>0.047302</v>
      </c>
    </row>
    <row r="688">
      <c r="A688" t="inlineStr">
        <is>
          <t>2025-10-01</t>
        </is>
      </c>
      <c r="B688" t="inlineStr">
        <is>
          <t>USD</t>
        </is>
      </c>
      <c r="C688" t="n">
        <v>7.11955</v>
      </c>
    </row>
    <row r="689">
      <c r="A689" t="inlineStr">
        <is>
          <t>2025-10-02</t>
        </is>
      </c>
      <c r="B689" t="inlineStr">
        <is>
          <t>EUR</t>
        </is>
      </c>
      <c r="C689" t="n">
        <v>8.34126</v>
      </c>
    </row>
    <row r="690">
      <c r="A690" t="inlineStr">
        <is>
          <t>2025-10-02</t>
        </is>
      </c>
      <c r="B690" t="inlineStr">
        <is>
          <t>HKD</t>
        </is>
      </c>
      <c r="C690" t="n">
        <v>0.91469</v>
      </c>
    </row>
    <row r="691">
      <c r="A691" t="inlineStr">
        <is>
          <t>2025-10-02</t>
        </is>
      </c>
      <c r="B691" t="inlineStr">
        <is>
          <t>JPY</t>
        </is>
      </c>
      <c r="C691" t="n">
        <v>0.046838</v>
      </c>
    </row>
    <row r="692">
      <c r="A692" t="inlineStr">
        <is>
          <t>2025-10-02</t>
        </is>
      </c>
      <c r="B692" t="inlineStr">
        <is>
          <t>USD</t>
        </is>
      </c>
      <c r="C692" t="n">
        <v>7.11955</v>
      </c>
    </row>
    <row r="693">
      <c r="A693" t="inlineStr">
        <is>
          <t>2025-10-03</t>
        </is>
      </c>
      <c r="B693" t="inlineStr">
        <is>
          <t>EUR</t>
        </is>
      </c>
      <c r="C693" t="n">
        <v>8.36013</v>
      </c>
    </row>
    <row r="694">
      <c r="A694" t="inlineStr">
        <is>
          <t>2025-10-03</t>
        </is>
      </c>
      <c r="B694" t="inlineStr">
        <is>
          <t>HKD</t>
        </is>
      </c>
      <c r="C694" t="n">
        <v>0.91491</v>
      </c>
    </row>
    <row r="695">
      <c r="A695" t="inlineStr">
        <is>
          <t>2025-10-03</t>
        </is>
      </c>
      <c r="B695" t="inlineStr">
        <is>
          <t>JPY</t>
        </is>
      </c>
      <c r="C695" t="n">
        <v>0.047318</v>
      </c>
    </row>
    <row r="696">
      <c r="A696" t="inlineStr">
        <is>
          <t>2025-10-03</t>
        </is>
      </c>
      <c r="B696" t="inlineStr">
        <is>
          <t>USD</t>
        </is>
      </c>
      <c r="C696" t="n">
        <v>7.11955</v>
      </c>
    </row>
    <row r="697">
      <c r="A697" t="inlineStr">
        <is>
          <t>2025-10-06</t>
        </is>
      </c>
      <c r="B697" t="inlineStr">
        <is>
          <t>EUR</t>
        </is>
      </c>
      <c r="C697" t="n">
        <v>8.33699</v>
      </c>
    </row>
    <row r="698">
      <c r="A698" t="inlineStr">
        <is>
          <t>2025-10-06</t>
        </is>
      </c>
      <c r="B698" t="inlineStr">
        <is>
          <t>HKD</t>
        </is>
      </c>
      <c r="C698" t="n">
        <v>0.91471</v>
      </c>
    </row>
    <row r="699">
      <c r="A699" t="inlineStr">
        <is>
          <t>2025-10-06</t>
        </is>
      </c>
      <c r="B699" t="inlineStr">
        <is>
          <t>JPY</t>
        </is>
      </c>
      <c r="C699" t="n">
        <v>0.047384</v>
      </c>
    </row>
    <row r="700">
      <c r="A700" t="inlineStr">
        <is>
          <t>2025-10-06</t>
        </is>
      </c>
      <c r="B700" t="inlineStr">
        <is>
          <t>USD</t>
        </is>
      </c>
      <c r="C700" t="n">
        <v>7.11955</v>
      </c>
    </row>
    <row r="701">
      <c r="A701" t="inlineStr">
        <is>
          <t>2025-10-07</t>
        </is>
      </c>
      <c r="B701" t="inlineStr">
        <is>
          <t>EUR</t>
        </is>
      </c>
      <c r="C701" t="n">
        <v>8.29926</v>
      </c>
    </row>
    <row r="702">
      <c r="A702" t="inlineStr">
        <is>
          <t>2025-10-07</t>
        </is>
      </c>
      <c r="B702" t="inlineStr">
        <is>
          <t>HKD</t>
        </is>
      </c>
      <c r="C702" t="n">
        <v>0.9146</v>
      </c>
    </row>
    <row r="703">
      <c r="A703" t="inlineStr">
        <is>
          <t>2025-10-07</t>
        </is>
      </c>
      <c r="B703" t="inlineStr">
        <is>
          <t>JPY</t>
        </is>
      </c>
      <c r="C703" t="n">
        <v>0.047516</v>
      </c>
    </row>
    <row r="704">
      <c r="A704" t="inlineStr">
        <is>
          <t>2025-10-07</t>
        </is>
      </c>
      <c r="B704" t="inlineStr">
        <is>
          <t>USD</t>
        </is>
      </c>
      <c r="C704" t="n">
        <v>7.11955</v>
      </c>
    </row>
    <row r="705">
      <c r="A705" t="inlineStr">
        <is>
          <t>2025-10-08</t>
        </is>
      </c>
      <c r="B705" t="inlineStr">
        <is>
          <t>EUR</t>
        </is>
      </c>
      <c r="C705" t="n">
        <v>8.27826</v>
      </c>
    </row>
    <row r="706">
      <c r="A706" t="inlineStr">
        <is>
          <t>2025-10-08</t>
        </is>
      </c>
      <c r="B706" t="inlineStr">
        <is>
          <t>HKD</t>
        </is>
      </c>
      <c r="C706" t="n">
        <v>0.91476</v>
      </c>
    </row>
    <row r="707">
      <c r="A707" t="inlineStr">
        <is>
          <t>2025-10-08</t>
        </is>
      </c>
      <c r="B707" t="inlineStr">
        <is>
          <t>JPY</t>
        </is>
      </c>
      <c r="C707" t="n">
        <v>0.047487</v>
      </c>
    </row>
    <row r="708">
      <c r="A708" t="inlineStr">
        <is>
          <t>2025-10-08</t>
        </is>
      </c>
      <c r="B708" t="inlineStr">
        <is>
          <t>USD</t>
        </is>
      </c>
      <c r="C708" t="n">
        <v>7.11955</v>
      </c>
    </row>
    <row r="709">
      <c r="A709" t="inlineStr">
        <is>
          <t>2025-10-09</t>
        </is>
      </c>
      <c r="B709" t="inlineStr">
        <is>
          <t>EUR</t>
        </is>
      </c>
      <c r="C709" t="n">
        <v>8.2437</v>
      </c>
    </row>
    <row r="710">
      <c r="A710" t="inlineStr">
        <is>
          <t>2025-10-09</t>
        </is>
      </c>
      <c r="B710" t="inlineStr">
        <is>
          <t>HKD</t>
        </is>
      </c>
      <c r="C710" t="n">
        <v>0.91591</v>
      </c>
    </row>
    <row r="711">
      <c r="A711" t="inlineStr">
        <is>
          <t>2025-10-09</t>
        </is>
      </c>
      <c r="B711" t="inlineStr">
        <is>
          <t>JPY</t>
        </is>
      </c>
      <c r="C711" t="n">
        <v>0.047367</v>
      </c>
    </row>
    <row r="712">
      <c r="A712" t="inlineStr">
        <is>
          <t>2025-10-09</t>
        </is>
      </c>
      <c r="B712" t="inlineStr">
        <is>
          <t>USD</t>
        </is>
      </c>
      <c r="C712" t="n">
        <v>7.12845</v>
      </c>
    </row>
    <row r="713">
      <c r="A713" t="inlineStr">
        <is>
          <t>2025-10-10</t>
        </is>
      </c>
      <c r="B713" t="inlineStr">
        <is>
          <t>EUR</t>
        </is>
      </c>
      <c r="C713" t="n">
        <v>8.291219999999999</v>
      </c>
    </row>
    <row r="714">
      <c r="A714" t="inlineStr">
        <is>
          <t>2025-10-10</t>
        </is>
      </c>
      <c r="B714" t="inlineStr">
        <is>
          <t>HKD</t>
        </is>
      </c>
      <c r="C714" t="n">
        <v>0.9166800000000001</v>
      </c>
    </row>
    <row r="715">
      <c r="A715" t="inlineStr">
        <is>
          <t>2025-10-10</t>
        </is>
      </c>
      <c r="B715" t="inlineStr">
        <is>
          <t>JPY</t>
        </is>
      </c>
      <c r="C715" t="n">
        <v>0.04703</v>
      </c>
    </row>
    <row r="716">
      <c r="A716" t="inlineStr">
        <is>
          <t>2025-10-10</t>
        </is>
      </c>
      <c r="B716" t="inlineStr">
        <is>
          <t>USD</t>
        </is>
      </c>
      <c r="C716" t="n">
        <v>7.1353</v>
      </c>
    </row>
    <row r="717">
      <c r="A717" t="inlineStr">
        <is>
          <t>2025-10-11</t>
        </is>
      </c>
      <c r="B717" t="inlineStr">
        <is>
          <t>USD</t>
        </is>
      </c>
      <c r="C717" t="n">
        <v>7.13205</v>
      </c>
    </row>
    <row r="718">
      <c r="A718" t="inlineStr">
        <is>
          <t>2025-10-13</t>
        </is>
      </c>
      <c r="B718" t="inlineStr">
        <is>
          <t>EUR</t>
        </is>
      </c>
      <c r="C718" t="n">
        <v>8.251429999999999</v>
      </c>
    </row>
    <row r="719">
      <c r="A719" t="inlineStr">
        <is>
          <t>2025-10-13</t>
        </is>
      </c>
      <c r="B719" t="inlineStr">
        <is>
          <t>HKD</t>
        </is>
      </c>
      <c r="C719" t="n">
        <v>0.91664</v>
      </c>
    </row>
    <row r="720">
      <c r="A720" t="inlineStr">
        <is>
          <t>2025-10-13</t>
        </is>
      </c>
      <c r="B720" t="inlineStr">
        <is>
          <t>JPY</t>
        </is>
      </c>
      <c r="C720" t="n">
        <v>0.047073</v>
      </c>
    </row>
    <row r="721">
      <c r="A721" t="inlineStr">
        <is>
          <t>2025-10-13</t>
        </is>
      </c>
      <c r="B721" t="inlineStr">
        <is>
          <t>USD</t>
        </is>
      </c>
      <c r="C721" t="n">
        <v>7.13205</v>
      </c>
    </row>
    <row r="722">
      <c r="A722" t="inlineStr">
        <is>
          <t>2025-10-14</t>
        </is>
      </c>
      <c r="B722" t="inlineStr">
        <is>
          <t>EUR</t>
        </is>
      </c>
      <c r="C722" t="n">
        <v>8.285880000000001</v>
      </c>
    </row>
    <row r="723">
      <c r="A723" t="inlineStr">
        <is>
          <t>2025-10-14</t>
        </is>
      </c>
      <c r="B723" t="inlineStr">
        <is>
          <t>HKD</t>
        </is>
      </c>
      <c r="C723" t="n">
        <v>0.91819</v>
      </c>
    </row>
    <row r="724">
      <c r="A724" t="inlineStr">
        <is>
          <t>2025-10-14</t>
        </is>
      </c>
      <c r="B724" t="inlineStr">
        <is>
          <t>JPY</t>
        </is>
      </c>
      <c r="C724" t="n">
        <v>0.046926</v>
      </c>
    </row>
    <row r="725">
      <c r="A725" t="inlineStr">
        <is>
          <t>2025-10-14</t>
        </is>
      </c>
      <c r="B725" t="inlineStr">
        <is>
          <t>USD</t>
        </is>
      </c>
      <c r="C725" t="n">
        <v>7.139</v>
      </c>
    </row>
    <row r="726">
      <c r="A726" t="inlineStr">
        <is>
          <t>2025-10-15</t>
        </is>
      </c>
      <c r="B726" t="inlineStr">
        <is>
          <t>EUR</t>
        </is>
      </c>
      <c r="C726" t="n">
        <v>8.30077</v>
      </c>
    </row>
    <row r="727">
      <c r="A727" t="inlineStr">
        <is>
          <t>2025-10-15</t>
        </is>
      </c>
      <c r="B727" t="inlineStr">
        <is>
          <t>HKD</t>
        </is>
      </c>
      <c r="C727" t="n">
        <v>0.91654</v>
      </c>
    </row>
    <row r="728">
      <c r="A728" t="inlineStr">
        <is>
          <t>2025-10-15</t>
        </is>
      </c>
      <c r="B728" t="inlineStr">
        <is>
          <t>JPY</t>
        </is>
      </c>
      <c r="C728" t="n">
        <v>0.046727</v>
      </c>
    </row>
    <row r="729">
      <c r="A729" t="inlineStr">
        <is>
          <t>2025-10-15</t>
        </is>
      </c>
      <c r="B729" t="inlineStr">
        <is>
          <t>USD</t>
        </is>
      </c>
      <c r="C729" t="n">
        <v>7.12665</v>
      </c>
    </row>
    <row r="730">
      <c r="A730" t="inlineStr">
        <is>
          <t>2025-10-16</t>
        </is>
      </c>
      <c r="B730" t="inlineStr">
        <is>
          <t>EUR</t>
        </is>
      </c>
      <c r="C730" t="n">
        <v>8.326169999999999</v>
      </c>
    </row>
    <row r="731">
      <c r="A731" t="inlineStr">
        <is>
          <t>2025-10-16</t>
        </is>
      </c>
      <c r="B731" t="inlineStr">
        <is>
          <t>HKD</t>
        </is>
      </c>
      <c r="C731" t="n">
        <v>0.91665</v>
      </c>
    </row>
    <row r="732">
      <c r="A732" t="inlineStr">
        <is>
          <t>2025-10-16</t>
        </is>
      </c>
      <c r="B732" t="inlineStr">
        <is>
          <t>JPY</t>
        </is>
      </c>
      <c r="C732" t="n">
        <v>0.046598</v>
      </c>
    </row>
    <row r="733">
      <c r="A733" t="inlineStr">
        <is>
          <t>2025-10-16</t>
        </is>
      </c>
      <c r="B733" t="inlineStr">
        <is>
          <t>USD</t>
        </is>
      </c>
      <c r="C733" t="n">
        <v>7.124</v>
      </c>
    </row>
    <row r="734">
      <c r="A734" t="inlineStr">
        <is>
          <t>2025-10-17</t>
        </is>
      </c>
      <c r="B734" t="inlineStr">
        <is>
          <t>EUR</t>
        </is>
      </c>
      <c r="C734" t="n">
        <v>8.304080000000001</v>
      </c>
    </row>
    <row r="735">
      <c r="A735" t="inlineStr">
        <is>
          <t>2025-10-17</t>
        </is>
      </c>
      <c r="B735" t="inlineStr">
        <is>
          <t>HKD</t>
        </is>
      </c>
      <c r="C735" t="n">
        <v>0.91735</v>
      </c>
    </row>
    <row r="736">
      <c r="A736" t="inlineStr">
        <is>
          <t>2025-10-17</t>
        </is>
      </c>
      <c r="B736" t="inlineStr">
        <is>
          <t>JPY</t>
        </is>
      </c>
      <c r="C736" t="n">
        <v>0.046751</v>
      </c>
    </row>
    <row r="737">
      <c r="A737" t="inlineStr">
        <is>
          <t>2025-10-17</t>
        </is>
      </c>
      <c r="B737" t="inlineStr">
        <is>
          <t>USD</t>
        </is>
      </c>
      <c r="C737" t="n">
        <v>7.12705</v>
      </c>
    </row>
    <row r="738">
      <c r="A738" t="inlineStr">
        <is>
          <t>2025-10-20</t>
        </is>
      </c>
      <c r="B738" t="inlineStr">
        <is>
          <t>EUR</t>
        </is>
      </c>
      <c r="C738" t="n">
        <v>8.28881</v>
      </c>
    </row>
    <row r="739">
      <c r="A739" t="inlineStr">
        <is>
          <t>2025-10-20</t>
        </is>
      </c>
      <c r="B739" t="inlineStr">
        <is>
          <t>HKD</t>
        </is>
      </c>
      <c r="C739" t="n">
        <v>0.9164600000000001</v>
      </c>
    </row>
    <row r="740">
      <c r="A740" t="inlineStr">
        <is>
          <t>2025-10-20</t>
        </is>
      </c>
      <c r="B740" t="inlineStr">
        <is>
          <t>JPY</t>
        </is>
      </c>
      <c r="C740" t="n">
        <v>0.04694</v>
      </c>
    </row>
    <row r="741">
      <c r="A741" t="inlineStr">
        <is>
          <t>2025-10-20</t>
        </is>
      </c>
      <c r="B741" t="inlineStr">
        <is>
          <t>USD</t>
        </is>
      </c>
      <c r="C741" t="n">
        <v>7.12005</v>
      </c>
    </row>
    <row r="742">
      <c r="A742" t="inlineStr">
        <is>
          <t>2025-10-21</t>
        </is>
      </c>
      <c r="B742" t="inlineStr">
        <is>
          <t>EUR</t>
        </is>
      </c>
      <c r="C742" t="n">
        <v>8.26163</v>
      </c>
    </row>
    <row r="743">
      <c r="A743" t="inlineStr">
        <is>
          <t>2025-10-21</t>
        </is>
      </c>
      <c r="B743" t="inlineStr">
        <is>
          <t>HKD</t>
        </is>
      </c>
      <c r="C743" t="n">
        <v>0.91633</v>
      </c>
    </row>
    <row r="744">
      <c r="A744" t="inlineStr">
        <is>
          <t>2025-10-21</t>
        </is>
      </c>
      <c r="B744" t="inlineStr">
        <is>
          <t>JPY</t>
        </is>
      </c>
      <c r="C744" t="n">
        <v>0.047217</v>
      </c>
    </row>
    <row r="745">
      <c r="A745" t="inlineStr">
        <is>
          <t>2025-10-21</t>
        </is>
      </c>
      <c r="B745" t="inlineStr">
        <is>
          <t>USD</t>
        </is>
      </c>
      <c r="C745" t="n">
        <v>7.1224</v>
      </c>
    </row>
    <row r="746">
      <c r="A746" t="inlineStr">
        <is>
          <t>2025-10-22</t>
        </is>
      </c>
      <c r="B746" t="inlineStr">
        <is>
          <t>EUR</t>
        </is>
      </c>
      <c r="C746" t="n">
        <v>8.27416</v>
      </c>
    </row>
    <row r="747">
      <c r="A747" t="inlineStr">
        <is>
          <t>2025-10-22</t>
        </is>
      </c>
      <c r="B747" t="inlineStr">
        <is>
          <t>HKD</t>
        </is>
      </c>
      <c r="C747" t="n">
        <v>0.91682</v>
      </c>
    </row>
    <row r="748">
      <c r="A748" t="inlineStr">
        <is>
          <t>2025-10-22</t>
        </is>
      </c>
      <c r="B748" t="inlineStr">
        <is>
          <t>JPY</t>
        </is>
      </c>
      <c r="C748" t="n">
        <v>0.047424</v>
      </c>
    </row>
    <row r="749">
      <c r="A749" t="inlineStr">
        <is>
          <t>2025-10-22</t>
        </is>
      </c>
      <c r="B749" t="inlineStr">
        <is>
          <t>USD</t>
        </is>
      </c>
      <c r="C749" t="n">
        <v>7.12645</v>
      </c>
    </row>
    <row r="750">
      <c r="A750" t="inlineStr">
        <is>
          <t>2025-10-23</t>
        </is>
      </c>
      <c r="B750" t="inlineStr">
        <is>
          <t>EUR</t>
        </is>
      </c>
      <c r="C750" t="n">
        <v>8.275510000000001</v>
      </c>
    </row>
    <row r="751">
      <c r="A751" t="inlineStr">
        <is>
          <t>2025-10-23</t>
        </is>
      </c>
      <c r="B751" t="inlineStr">
        <is>
          <t>HKD</t>
        </is>
      </c>
      <c r="C751" t="n">
        <v>0.9164099999999999</v>
      </c>
    </row>
    <row r="752">
      <c r="A752" t="inlineStr">
        <is>
          <t>2025-10-23</t>
        </is>
      </c>
      <c r="B752" t="inlineStr">
        <is>
          <t>JPY</t>
        </is>
      </c>
      <c r="C752" t="n">
        <v>0.047322</v>
      </c>
    </row>
    <row r="753">
      <c r="A753" t="inlineStr">
        <is>
          <t>2025-10-23</t>
        </is>
      </c>
      <c r="B753" t="inlineStr">
        <is>
          <t>USD</t>
        </is>
      </c>
      <c r="C753" t="n">
        <v>7.1227</v>
      </c>
    </row>
    <row r="754">
      <c r="A754" t="inlineStr">
        <is>
          <t>2025-10-24</t>
        </is>
      </c>
      <c r="B754" t="inlineStr">
        <is>
          <t>EUR</t>
        </is>
      </c>
      <c r="C754" t="n">
        <v>8.27951</v>
      </c>
    </row>
    <row r="755">
      <c r="A755" t="inlineStr">
        <is>
          <t>2025-10-24</t>
        </is>
      </c>
      <c r="B755" t="inlineStr">
        <is>
          <t>HKD</t>
        </is>
      </c>
      <c r="C755" t="n">
        <v>0.9164</v>
      </c>
    </row>
    <row r="756">
      <c r="A756" t="inlineStr">
        <is>
          <t>2025-10-24</t>
        </is>
      </c>
      <c r="B756" t="inlineStr">
        <is>
          <t>JPY</t>
        </is>
      </c>
      <c r="C756" t="n">
        <v>0.047134</v>
      </c>
    </row>
    <row r="757">
      <c r="A757" t="inlineStr">
        <is>
          <t>2025-10-24</t>
        </is>
      </c>
      <c r="B757" t="inlineStr">
        <is>
          <t>USD</t>
        </is>
      </c>
      <c r="C757" t="n">
        <v>7.12155</v>
      </c>
    </row>
    <row r="758">
      <c r="A758" t="inlineStr">
        <is>
          <t>2025-10-27</t>
        </is>
      </c>
      <c r="B758" t="inlineStr">
        <is>
          <t>EUR</t>
        </is>
      </c>
      <c r="C758" t="n">
        <v>8.280239999999999</v>
      </c>
    </row>
    <row r="759">
      <c r="A759" t="inlineStr">
        <is>
          <t>2025-10-27</t>
        </is>
      </c>
      <c r="B759" t="inlineStr">
        <is>
          <t>HKD</t>
        </is>
      </c>
      <c r="C759" t="n">
        <v>0.91532</v>
      </c>
    </row>
    <row r="760">
      <c r="A760" t="inlineStr">
        <is>
          <t>2025-10-27</t>
        </is>
      </c>
      <c r="B760" t="inlineStr">
        <is>
          <t>JPY</t>
        </is>
      </c>
      <c r="C760" t="n">
        <v>0.046984</v>
      </c>
    </row>
    <row r="761">
      <c r="A761" t="inlineStr">
        <is>
          <t>2025-10-27</t>
        </is>
      </c>
      <c r="B761" t="inlineStr">
        <is>
          <t>USD</t>
        </is>
      </c>
      <c r="C761" t="n">
        <v>7.11055</v>
      </c>
    </row>
    <row r="762">
      <c r="A762" t="inlineStr">
        <is>
          <t>2025-10-28</t>
        </is>
      </c>
      <c r="B762" t="inlineStr">
        <is>
          <t>EUR</t>
        </is>
      </c>
      <c r="C762" t="n">
        <v>8.27169</v>
      </c>
    </row>
    <row r="763">
      <c r="A763" t="inlineStr">
        <is>
          <t>2025-10-28</t>
        </is>
      </c>
      <c r="B763" t="inlineStr">
        <is>
          <t>HKD</t>
        </is>
      </c>
      <c r="C763" t="n">
        <v>0.91368</v>
      </c>
    </row>
    <row r="764">
      <c r="A764" t="inlineStr">
        <is>
          <t>2025-10-28</t>
        </is>
      </c>
      <c r="B764" t="inlineStr">
        <is>
          <t>JPY</t>
        </is>
      </c>
      <c r="C764" t="n">
        <v>0.047039</v>
      </c>
    </row>
    <row r="765">
      <c r="A765" t="inlineStr">
        <is>
          <t>2025-10-28</t>
        </is>
      </c>
      <c r="B765" t="inlineStr">
        <is>
          <t>USD</t>
        </is>
      </c>
      <c r="C765" t="n">
        <v>7.09925</v>
      </c>
    </row>
    <row r="766">
      <c r="A766" t="inlineStr">
        <is>
          <t>2025-10-29</t>
        </is>
      </c>
      <c r="B766" t="inlineStr">
        <is>
          <t>EUR</t>
        </is>
      </c>
      <c r="C766" t="n">
        <v>8.234970000000001</v>
      </c>
    </row>
    <row r="767">
      <c r="A767" t="inlineStr">
        <is>
          <t>2025-10-29</t>
        </is>
      </c>
      <c r="B767" t="inlineStr">
        <is>
          <t>HKD</t>
        </is>
      </c>
      <c r="C767" t="n">
        <v>0.91337</v>
      </c>
    </row>
    <row r="768">
      <c r="A768" t="inlineStr">
        <is>
          <t>2025-10-29</t>
        </is>
      </c>
      <c r="B768" t="inlineStr">
        <is>
          <t>JPY</t>
        </is>
      </c>
      <c r="C768" t="n">
        <v>0.046608</v>
      </c>
    </row>
    <row r="769">
      <c r="A769" t="inlineStr">
        <is>
          <t>2025-10-29</t>
        </is>
      </c>
      <c r="B769" t="inlineStr">
        <is>
          <t>USD</t>
        </is>
      </c>
      <c r="C769" t="n">
        <v>7.0985</v>
      </c>
    </row>
    <row r="770">
      <c r="A770" t="inlineStr">
        <is>
          <t>2025-10-30</t>
        </is>
      </c>
      <c r="B770" t="inlineStr">
        <is>
          <t>EUR</t>
        </is>
      </c>
      <c r="C770" t="n">
        <v>8.22353</v>
      </c>
    </row>
    <row r="771">
      <c r="A771" t="inlineStr">
        <is>
          <t>2025-10-30</t>
        </is>
      </c>
      <c r="B771" t="inlineStr">
        <is>
          <t>HKD</t>
        </is>
      </c>
      <c r="C771" t="n">
        <v>0.91496</v>
      </c>
    </row>
    <row r="772">
      <c r="A772" t="inlineStr">
        <is>
          <t>2025-10-30</t>
        </is>
      </c>
      <c r="B772" t="inlineStr">
        <is>
          <t>JPY</t>
        </is>
      </c>
      <c r="C772" t="n">
        <v>0.04633</v>
      </c>
    </row>
    <row r="773">
      <c r="A773" t="inlineStr">
        <is>
          <t>2025-10-30</t>
        </is>
      </c>
      <c r="B773" t="inlineStr">
        <is>
          <t>USD</t>
        </is>
      </c>
      <c r="C773" t="n">
        <v>7.1104</v>
      </c>
    </row>
    <row r="774">
      <c r="A774" t="inlineStr">
        <is>
          <t>2025-10-31</t>
        </is>
      </c>
      <c r="B774" t="inlineStr">
        <is>
          <t>EUR</t>
        </is>
      </c>
      <c r="C774" t="n">
        <v>8.210279999999999</v>
      </c>
    </row>
    <row r="775">
      <c r="A775" t="inlineStr">
        <is>
          <t>2025-10-31</t>
        </is>
      </c>
      <c r="B775" t="inlineStr">
        <is>
          <t>HKD</t>
        </is>
      </c>
      <c r="C775" t="n">
        <v>0.91583</v>
      </c>
    </row>
    <row r="776">
      <c r="A776" t="inlineStr">
        <is>
          <t>2025-10-31</t>
        </is>
      </c>
      <c r="B776" t="inlineStr">
        <is>
          <t>JPY</t>
        </is>
      </c>
      <c r="C776" t="n">
        <v>0.046459</v>
      </c>
    </row>
    <row r="777">
      <c r="A777" t="inlineStr">
        <is>
          <t>2025-10-31</t>
        </is>
      </c>
      <c r="B777" t="inlineStr">
        <is>
          <t>USD</t>
        </is>
      </c>
      <c r="C777" t="n">
        <v>7.1174</v>
      </c>
    </row>
    <row r="778">
      <c r="A778" t="inlineStr">
        <is>
          <t>2025-11-03</t>
        </is>
      </c>
      <c r="B778" t="inlineStr">
        <is>
          <t>EUR</t>
        </is>
      </c>
      <c r="C778" t="n">
        <v>8.203390000000001</v>
      </c>
    </row>
    <row r="779">
      <c r="A779" t="inlineStr">
        <is>
          <t>2025-11-03</t>
        </is>
      </c>
      <c r="B779" t="inlineStr">
        <is>
          <t>HKD</t>
        </is>
      </c>
      <c r="C779" t="n">
        <v>0.91606</v>
      </c>
    </row>
    <row r="780">
      <c r="A780" t="inlineStr">
        <is>
          <t>2025-11-03</t>
        </is>
      </c>
      <c r="B780" t="inlineStr">
        <is>
          <t>JPY</t>
        </is>
      </c>
      <c r="C780" t="n">
        <v>0.046676</v>
      </c>
    </row>
    <row r="781">
      <c r="A781" t="inlineStr">
        <is>
          <t>2025-11-03</t>
        </is>
      </c>
      <c r="B781" t="inlineStr">
        <is>
          <t>USD</t>
        </is>
      </c>
      <c r="C781" t="n">
        <v>7.121</v>
      </c>
    </row>
    <row r="782">
      <c r="A782" t="inlineStr">
        <is>
          <t>2025-11-04</t>
        </is>
      </c>
      <c r="B782" t="inlineStr">
        <is>
          <t>EUR</t>
        </is>
      </c>
      <c r="C782" t="n">
        <v>8.18674</v>
      </c>
    </row>
    <row r="783">
      <c r="A783" t="inlineStr">
        <is>
          <t>2025-11-04</t>
        </is>
      </c>
      <c r="B783" t="inlineStr">
        <is>
          <t>HKD</t>
        </is>
      </c>
      <c r="C783" t="n">
        <v>0.91705</v>
      </c>
    </row>
    <row r="784">
      <c r="A784" t="inlineStr">
        <is>
          <t>2025-11-04</t>
        </is>
      </c>
      <c r="B784" t="inlineStr">
        <is>
          <t>JPY</t>
        </is>
      </c>
      <c r="C784" t="n">
        <v>0.046702</v>
      </c>
    </row>
    <row r="785">
      <c r="A785" t="inlineStr">
        <is>
          <t>2025-11-04</t>
        </is>
      </c>
      <c r="B785" t="inlineStr">
        <is>
          <t>USD</t>
        </is>
      </c>
      <c r="C785" t="n">
        <v>7.12975</v>
      </c>
    </row>
    <row r="786">
      <c r="A786" t="inlineStr">
        <is>
          <t>2025-11-05</t>
        </is>
      </c>
      <c r="B786" t="inlineStr">
        <is>
          <t>EUR</t>
        </is>
      </c>
      <c r="C786" t="n">
        <v>8.19042</v>
      </c>
    </row>
    <row r="787">
      <c r="A787" t="inlineStr">
        <is>
          <t>2025-11-05</t>
        </is>
      </c>
      <c r="B787" t="inlineStr">
        <is>
          <t>HKD</t>
        </is>
      </c>
      <c r="C787" t="n">
        <v>0.91653</v>
      </c>
    </row>
    <row r="788">
      <c r="A788" t="inlineStr">
        <is>
          <t>2025-11-05</t>
        </is>
      </c>
      <c r="B788" t="inlineStr">
        <is>
          <t>JPY</t>
        </is>
      </c>
      <c r="C788" t="n">
        <v>0.046385</v>
      </c>
    </row>
    <row r="789">
      <c r="A789" t="inlineStr">
        <is>
          <t>2025-11-05</t>
        </is>
      </c>
      <c r="B789" t="inlineStr">
        <is>
          <t>USD</t>
        </is>
      </c>
      <c r="C789" t="n">
        <v>7.12675</v>
      </c>
    </row>
    <row r="790">
      <c r="A790" t="inlineStr">
        <is>
          <t>2025-11-06</t>
        </is>
      </c>
      <c r="B790" t="inlineStr">
        <is>
          <t>EUR</t>
        </is>
      </c>
      <c r="C790" t="n">
        <v>8.221069999999999</v>
      </c>
    </row>
    <row r="791">
      <c r="A791" t="inlineStr">
        <is>
          <t>2025-11-06</t>
        </is>
      </c>
      <c r="B791" t="inlineStr">
        <is>
          <t>HKD</t>
        </is>
      </c>
      <c r="C791" t="n">
        <v>0.91553</v>
      </c>
    </row>
    <row r="792">
      <c r="A792" t="inlineStr">
        <is>
          <t>2025-11-06</t>
        </is>
      </c>
      <c r="B792" t="inlineStr">
        <is>
          <t>JPY</t>
        </is>
      </c>
      <c r="C792" t="n">
        <v>0.04626</v>
      </c>
    </row>
    <row r="793">
      <c r="A793" t="inlineStr">
        <is>
          <t>2025-11-06</t>
        </is>
      </c>
      <c r="B793" t="inlineStr">
        <is>
          <t>USD</t>
        </is>
      </c>
      <c r="C793" t="n">
        <v>7.11935</v>
      </c>
    </row>
    <row r="794">
      <c r="A794" t="inlineStr">
        <is>
          <t>2025-11-07</t>
        </is>
      </c>
      <c r="B794" t="inlineStr">
        <is>
          <t>EUR</t>
        </is>
      </c>
      <c r="C794" t="n">
        <v>8.238</v>
      </c>
    </row>
    <row r="795">
      <c r="A795" t="inlineStr">
        <is>
          <t>2025-11-07</t>
        </is>
      </c>
      <c r="B795" t="inlineStr">
        <is>
          <t>HKD</t>
        </is>
      </c>
      <c r="C795" t="n">
        <v>0.91575</v>
      </c>
    </row>
    <row r="796">
      <c r="A796" t="inlineStr">
        <is>
          <t>2025-11-07</t>
        </is>
      </c>
      <c r="B796" t="inlineStr">
        <is>
          <t>JPY</t>
        </is>
      </c>
      <c r="C796" t="n">
        <v>0.046151</v>
      </c>
    </row>
    <row r="797">
      <c r="A797" t="inlineStr">
        <is>
          <t>2025-11-07</t>
        </is>
      </c>
      <c r="B797" t="inlineStr">
        <is>
          <t>USD</t>
        </is>
      </c>
      <c r="C797" t="n">
        <v>7.1226</v>
      </c>
    </row>
    <row r="798">
      <c r="A798" t="inlineStr">
        <is>
          <t>2025-11-10</t>
        </is>
      </c>
      <c r="B798" t="inlineStr">
        <is>
          <t>EUR</t>
        </is>
      </c>
      <c r="C798" t="n">
        <v>8.228540000000001</v>
      </c>
    </row>
    <row r="799">
      <c r="A799" t="inlineStr">
        <is>
          <t>2025-11-10</t>
        </is>
      </c>
      <c r="B799" t="inlineStr">
        <is>
          <t>HKD</t>
        </is>
      </c>
      <c r="C799" t="n">
        <v>0.91576</v>
      </c>
    </row>
    <row r="800">
      <c r="A800" t="inlineStr">
        <is>
          <t>2025-11-10</t>
        </is>
      </c>
      <c r="B800" t="inlineStr">
        <is>
          <t>JPY</t>
        </is>
      </c>
      <c r="C800" t="n">
        <v>0.046181</v>
      </c>
    </row>
    <row r="801">
      <c r="A801" t="inlineStr">
        <is>
          <t>2025-11-10</t>
        </is>
      </c>
      <c r="B801" t="inlineStr">
        <is>
          <t>USD</t>
        </is>
      </c>
      <c r="C801" t="n">
        <v>7.11965</v>
      </c>
    </row>
    <row r="802">
      <c r="A802" t="inlineStr">
        <is>
          <t>2025-11-11</t>
        </is>
      </c>
      <c r="B802" t="inlineStr">
        <is>
          <t>EUR</t>
        </is>
      </c>
      <c r="C802" t="n">
        <v>8.243259999999999</v>
      </c>
    </row>
    <row r="803">
      <c r="A803" t="inlineStr">
        <is>
          <t>2025-11-11</t>
        </is>
      </c>
      <c r="B803" t="inlineStr">
        <is>
          <t>HKD</t>
        </is>
      </c>
      <c r="C803" t="n">
        <v>0.9156</v>
      </c>
    </row>
    <row r="804">
      <c r="A804" t="inlineStr">
        <is>
          <t>2025-11-11</t>
        </is>
      </c>
      <c r="B804" t="inlineStr">
        <is>
          <t>JPY</t>
        </is>
      </c>
      <c r="C804" t="n">
        <v>0.04606</v>
      </c>
    </row>
    <row r="805">
      <c r="A805" t="inlineStr">
        <is>
          <t>2025-11-11</t>
        </is>
      </c>
      <c r="B805" t="inlineStr">
        <is>
          <t>USD</t>
        </is>
      </c>
      <c r="C805" t="n">
        <v>7.1173</v>
      </c>
    </row>
    <row r="806">
      <c r="A806" t="inlineStr">
        <is>
          <t>2025-11-12</t>
        </is>
      </c>
      <c r="B806" t="inlineStr">
        <is>
          <t>EUR</t>
        </is>
      </c>
      <c r="C806" t="n">
        <v>8.246169999999999</v>
      </c>
    </row>
    <row r="807">
      <c r="A807" t="inlineStr">
        <is>
          <t>2025-11-12</t>
        </is>
      </c>
      <c r="B807" t="inlineStr">
        <is>
          <t>HKD</t>
        </is>
      </c>
      <c r="C807" t="n">
        <v>0.91508</v>
      </c>
    </row>
    <row r="808">
      <c r="A808" t="inlineStr">
        <is>
          <t>2025-11-12</t>
        </is>
      </c>
      <c r="B808" t="inlineStr">
        <is>
          <t>JPY</t>
        </is>
      </c>
      <c r="C808" t="n">
        <v>0.045674</v>
      </c>
    </row>
    <row r="809">
      <c r="A809" t="inlineStr">
        <is>
          <t>2025-11-12</t>
        </is>
      </c>
      <c r="B809" t="inlineStr">
        <is>
          <t>USD</t>
        </is>
      </c>
      <c r="C809" t="n">
        <v>7.11275</v>
      </c>
    </row>
    <row r="810">
      <c r="A810" t="inlineStr">
        <is>
          <t>2025-11-13</t>
        </is>
      </c>
      <c r="B810" t="inlineStr">
        <is>
          <t>EUR</t>
        </is>
      </c>
      <c r="C810" t="n">
        <v>8.2546</v>
      </c>
    </row>
    <row r="811">
      <c r="A811" t="inlineStr">
        <is>
          <t>2025-11-13</t>
        </is>
      </c>
      <c r="B811" t="inlineStr">
        <is>
          <t>HKD</t>
        </is>
      </c>
      <c r="C811" t="n">
        <v>0.91299</v>
      </c>
    </row>
    <row r="812">
      <c r="A812" t="inlineStr">
        <is>
          <t>2025-11-13</t>
        </is>
      </c>
      <c r="B812" t="inlineStr">
        <is>
          <t>JPY</t>
        </is>
      </c>
      <c r="C812" t="n">
        <v>0.04562</v>
      </c>
    </row>
    <row r="813">
      <c r="A813" t="inlineStr">
        <is>
          <t>2025-11-13</t>
        </is>
      </c>
      <c r="B813" t="inlineStr">
        <is>
          <t>USD</t>
        </is>
      </c>
      <c r="C813" t="n">
        <v>7.09585</v>
      </c>
    </row>
    <row r="814">
      <c r="A814" t="inlineStr">
        <is>
          <t>2025-11-14</t>
        </is>
      </c>
      <c r="B814" t="inlineStr">
        <is>
          <t>EUR</t>
        </is>
      </c>
      <c r="C814" t="n">
        <v>8.250389999999999</v>
      </c>
    </row>
    <row r="815">
      <c r="A815" t="inlineStr">
        <is>
          <t>2025-11-14</t>
        </is>
      </c>
      <c r="B815" t="inlineStr">
        <is>
          <t>HKD</t>
        </is>
      </c>
      <c r="C815" t="n">
        <v>0.91333</v>
      </c>
    </row>
    <row r="816">
      <c r="A816" t="inlineStr">
        <is>
          <t>2025-11-14</t>
        </is>
      </c>
      <c r="B816" t="inlineStr">
        <is>
          <t>JPY</t>
        </is>
      </c>
      <c r="C816" t="n">
        <v>0.045611</v>
      </c>
    </row>
    <row r="817">
      <c r="A817" t="inlineStr">
        <is>
          <t>2025-11-14</t>
        </is>
      </c>
      <c r="B817" t="inlineStr">
        <is>
          <t>USD</t>
        </is>
      </c>
      <c r="C817" t="n">
        <v>7.09955</v>
      </c>
    </row>
    <row r="818">
      <c r="A818" t="inlineStr">
        <is>
          <t>2025-11-17</t>
        </is>
      </c>
      <c r="B818" t="inlineStr">
        <is>
          <t>EUR</t>
        </is>
      </c>
      <c r="C818" t="n">
        <v>8.23889</v>
      </c>
    </row>
    <row r="819">
      <c r="A819" t="inlineStr">
        <is>
          <t>2025-11-17</t>
        </is>
      </c>
      <c r="B819" t="inlineStr">
        <is>
          <t>HKD</t>
        </is>
      </c>
      <c r="C819" t="n">
        <v>0.91418</v>
      </c>
    </row>
    <row r="820">
      <c r="A820" t="inlineStr">
        <is>
          <t>2025-11-17</t>
        </is>
      </c>
      <c r="B820" t="inlineStr">
        <is>
          <t>JPY</t>
        </is>
      </c>
      <c r="C820" t="n">
        <v>0.045605</v>
      </c>
    </row>
    <row r="821">
      <c r="A821" t="inlineStr">
        <is>
          <t>2025-11-17</t>
        </is>
      </c>
      <c r="B821" t="inlineStr">
        <is>
          <t>USD</t>
        </is>
      </c>
      <c r="C821" t="n">
        <v>7.1077</v>
      </c>
    </row>
    <row r="822">
      <c r="A822" t="inlineStr">
        <is>
          <t>2025-11-18</t>
        </is>
      </c>
      <c r="B822" t="inlineStr">
        <is>
          <t>EUR</t>
        </is>
      </c>
      <c r="C822" t="n">
        <v>8.231540000000001</v>
      </c>
    </row>
    <row r="823">
      <c r="A823" t="inlineStr">
        <is>
          <t>2025-11-18</t>
        </is>
      </c>
      <c r="B823" t="inlineStr">
        <is>
          <t>HKD</t>
        </is>
      </c>
      <c r="C823" t="n">
        <v>0.91294</v>
      </c>
    </row>
    <row r="824">
      <c r="A824" t="inlineStr">
        <is>
          <t>2025-11-18</t>
        </is>
      </c>
      <c r="B824" t="inlineStr">
        <is>
          <t>JPY</t>
        </is>
      </c>
      <c r="C824" t="n">
        <v>0.045541</v>
      </c>
    </row>
    <row r="825">
      <c r="A825" t="inlineStr">
        <is>
          <t>2025-11-18</t>
        </is>
      </c>
      <c r="B825" t="inlineStr">
        <is>
          <t>USD</t>
        </is>
      </c>
      <c r="C825" t="n">
        <v>7.1078</v>
      </c>
    </row>
    <row r="826">
      <c r="A826" t="inlineStr">
        <is>
          <t>2025-11-19</t>
        </is>
      </c>
      <c r="B826" t="inlineStr">
        <is>
          <t>EUR</t>
        </is>
      </c>
      <c r="C826" t="n">
        <v>8.205310000000001</v>
      </c>
    </row>
    <row r="827">
      <c r="A827" t="inlineStr">
        <is>
          <t>2025-11-19</t>
        </is>
      </c>
      <c r="B827" t="inlineStr">
        <is>
          <t>HKD</t>
        </is>
      </c>
      <c r="C827" t="n">
        <v>0.91272</v>
      </c>
    </row>
    <row r="828">
      <c r="A828" t="inlineStr">
        <is>
          <t>2025-11-19</t>
        </is>
      </c>
      <c r="B828" t="inlineStr">
        <is>
          <t>JPY</t>
        </is>
      </c>
      <c r="C828" t="n">
        <v>0.04589</v>
      </c>
    </row>
    <row r="829">
      <c r="A829" t="inlineStr">
        <is>
          <t>2025-11-19</t>
        </is>
      </c>
      <c r="B829" t="inlineStr">
        <is>
          <t>USD</t>
        </is>
      </c>
      <c r="C829" t="n">
        <v>7.11155</v>
      </c>
    </row>
    <row r="830">
      <c r="A830" t="inlineStr">
        <is>
          <t>2025-11-20</t>
        </is>
      </c>
      <c r="B830" t="inlineStr">
        <is>
          <t>EUR</t>
        </is>
      </c>
      <c r="C830" t="n">
        <v>8.204140000000001</v>
      </c>
    </row>
    <row r="831">
      <c r="A831" t="inlineStr">
        <is>
          <t>2025-11-20</t>
        </is>
      </c>
      <c r="B831" t="inlineStr">
        <is>
          <t>HKD</t>
        </is>
      </c>
      <c r="C831" t="n">
        <v>0.91415</v>
      </c>
    </row>
    <row r="832">
      <c r="A832" t="inlineStr">
        <is>
          <t>2025-11-20</t>
        </is>
      </c>
      <c r="B832" t="inlineStr">
        <is>
          <t>JPY</t>
        </is>
      </c>
      <c r="C832" t="n">
        <v>0.046358</v>
      </c>
    </row>
    <row r="833">
      <c r="A833" t="inlineStr">
        <is>
          <t>2025-11-20</t>
        </is>
      </c>
      <c r="B833" t="inlineStr">
        <is>
          <t>USD</t>
        </is>
      </c>
      <c r="C833" t="n">
        <v>7.1164</v>
      </c>
    </row>
    <row r="834">
      <c r="A834" t="inlineStr">
        <is>
          <t>2025-11-21</t>
        </is>
      </c>
      <c r="B834" t="inlineStr">
        <is>
          <t>EUR</t>
        </is>
      </c>
      <c r="C834" t="n">
        <v>8.18211</v>
      </c>
    </row>
    <row r="835">
      <c r="A835" t="inlineStr">
        <is>
          <t>2025-11-21</t>
        </is>
      </c>
      <c r="B835" t="inlineStr">
        <is>
          <t>HKD</t>
        </is>
      </c>
      <c r="C835" t="n">
        <v>0.9131</v>
      </c>
    </row>
    <row r="836">
      <c r="A836" t="inlineStr">
        <is>
          <t>2025-11-21</t>
        </is>
      </c>
      <c r="B836" t="inlineStr">
        <is>
          <t>JPY</t>
        </is>
      </c>
      <c r="C836" t="n">
        <v>0.046536</v>
      </c>
    </row>
    <row r="837">
      <c r="A837" t="inlineStr">
        <is>
          <t>2025-11-21</t>
        </is>
      </c>
      <c r="B837" t="inlineStr">
        <is>
          <t>USD</t>
        </is>
      </c>
      <c r="C837" t="n">
        <v>7.10715</v>
      </c>
    </row>
    <row r="838">
      <c r="A838" t="inlineStr">
        <is>
          <t>2025-11-24</t>
        </is>
      </c>
      <c r="B838" t="inlineStr">
        <is>
          <t>EUR</t>
        </is>
      </c>
      <c r="C838" t="n">
        <v>8.18319</v>
      </c>
    </row>
    <row r="839">
      <c r="A839" t="inlineStr">
        <is>
          <t>2025-11-24</t>
        </is>
      </c>
      <c r="B839" t="inlineStr">
        <is>
          <t>HKD</t>
        </is>
      </c>
      <c r="C839" t="n">
        <v>0.91262</v>
      </c>
    </row>
    <row r="840">
      <c r="A840" t="inlineStr">
        <is>
          <t>2025-11-24</t>
        </is>
      </c>
      <c r="B840" t="inlineStr">
        <is>
          <t>JPY</t>
        </is>
      </c>
      <c r="C840" t="n">
        <v>0.046468</v>
      </c>
    </row>
    <row r="841">
      <c r="A841" t="inlineStr">
        <is>
          <t>2025-11-24</t>
        </is>
      </c>
      <c r="B841" t="inlineStr">
        <is>
          <t>USD</t>
        </is>
      </c>
      <c r="C841" t="n">
        <v>7.10285</v>
      </c>
    </row>
    <row r="842">
      <c r="A842" t="inlineStr">
        <is>
          <t>2025-11-25</t>
        </is>
      </c>
      <c r="B842" t="inlineStr">
        <is>
          <t>EUR</t>
        </is>
      </c>
      <c r="C842" t="n">
        <v>8.197290000000001</v>
      </c>
    </row>
    <row r="843">
      <c r="A843" t="inlineStr">
        <is>
          <t>2025-11-25</t>
        </is>
      </c>
      <c r="B843" t="inlineStr">
        <is>
          <t>HKD</t>
        </is>
      </c>
      <c r="C843" t="n">
        <v>0.91112</v>
      </c>
    </row>
    <row r="844">
      <c r="A844" t="inlineStr">
        <is>
          <t>2025-11-25</t>
        </is>
      </c>
      <c r="B844" t="inlineStr">
        <is>
          <t>JPY</t>
        </is>
      </c>
      <c r="C844" t="n">
        <v>0.04622</v>
      </c>
    </row>
    <row r="845">
      <c r="A845" t="inlineStr">
        <is>
          <t>2025-11-25</t>
        </is>
      </c>
      <c r="B845" t="inlineStr">
        <is>
          <t>USD</t>
        </is>
      </c>
      <c r="C845" t="n">
        <v>7.08465</v>
      </c>
    </row>
    <row r="846">
      <c r="A846" t="inlineStr">
        <is>
          <t>2025-11-26</t>
        </is>
      </c>
      <c r="B846" t="inlineStr">
        <is>
          <t>EUR</t>
        </is>
      </c>
      <c r="C846" t="n">
        <v>8.204980000000001</v>
      </c>
    </row>
    <row r="847">
      <c r="A847" t="inlineStr">
        <is>
          <t>2025-11-26</t>
        </is>
      </c>
      <c r="B847" t="inlineStr">
        <is>
          <t>HKD</t>
        </is>
      </c>
      <c r="C847" t="n">
        <v>0.90967</v>
      </c>
    </row>
    <row r="848">
      <c r="A848" t="inlineStr">
        <is>
          <t>2025-11-26</t>
        </is>
      </c>
      <c r="B848" t="inlineStr">
        <is>
          <t>JPY</t>
        </is>
      </c>
      <c r="C848" t="n">
        <v>0.046287</v>
      </c>
    </row>
    <row r="849">
      <c r="A849" t="inlineStr">
        <is>
          <t>2025-11-26</t>
        </is>
      </c>
      <c r="B849" t="inlineStr">
        <is>
          <t>USD</t>
        </is>
      </c>
      <c r="C849" t="n">
        <v>7.076</v>
      </c>
    </row>
    <row r="850">
      <c r="A850" t="inlineStr">
        <is>
          <t>2025-11-27</t>
        </is>
      </c>
      <c r="B850" t="inlineStr">
        <is>
          <t>EUR</t>
        </is>
      </c>
      <c r="C850" t="n">
        <v>8.20932</v>
      </c>
    </row>
    <row r="851">
      <c r="A851" t="inlineStr">
        <is>
          <t>2025-11-27</t>
        </is>
      </c>
      <c r="B851" t="inlineStr">
        <is>
          <t>HKD</t>
        </is>
      </c>
      <c r="C851" t="n">
        <v>0.90994</v>
      </c>
    </row>
    <row r="852">
      <c r="A852" t="inlineStr">
        <is>
          <t>2025-11-27</t>
        </is>
      </c>
      <c r="B852" t="inlineStr">
        <is>
          <t>JPY</t>
        </is>
      </c>
      <c r="C852" t="n">
        <v>0.045992</v>
      </c>
    </row>
    <row r="853">
      <c r="A853" t="inlineStr">
        <is>
          <t>2025-11-27</t>
        </is>
      </c>
      <c r="B853" t="inlineStr">
        <is>
          <t>USD</t>
        </is>
      </c>
      <c r="C853" t="n">
        <v>7.07975</v>
      </c>
    </row>
    <row r="854">
      <c r="A854" t="inlineStr">
        <is>
          <t>2025-11-28</t>
        </is>
      </c>
      <c r="B854" t="inlineStr">
        <is>
          <t>EUR</t>
        </is>
      </c>
      <c r="C854" t="n">
        <v>8.204459999999999</v>
      </c>
    </row>
    <row r="855">
      <c r="A855" t="inlineStr">
        <is>
          <t>2025-11-28</t>
        </is>
      </c>
      <c r="B855" t="inlineStr">
        <is>
          <t>HKD</t>
        </is>
      </c>
      <c r="C855" t="n">
        <v>0.90869</v>
      </c>
    </row>
    <row r="856">
      <c r="A856" t="inlineStr">
        <is>
          <t>2025-11-28</t>
        </is>
      </c>
      <c r="B856" t="inlineStr">
        <is>
          <t>JPY</t>
        </is>
      </c>
      <c r="C856" t="n">
        <v>0.045996</v>
      </c>
    </row>
    <row r="857">
      <c r="A857" t="inlineStr">
        <is>
          <t>2025-11-28</t>
        </is>
      </c>
      <c r="B857" t="inlineStr">
        <is>
          <t>USD</t>
        </is>
      </c>
      <c r="C857" t="n">
        <v>7.07525</v>
      </c>
    </row>
    <row r="858">
      <c r="A858" t="inlineStr">
        <is>
          <t>2025-12-01</t>
        </is>
      </c>
      <c r="B858" t="inlineStr">
        <is>
          <t>EUR</t>
        </is>
      </c>
      <c r="C858" t="n">
        <v>8.210660000000001</v>
      </c>
    </row>
    <row r="859">
      <c r="A859" t="inlineStr">
        <is>
          <t>2025-12-01</t>
        </is>
      </c>
      <c r="B859" t="inlineStr">
        <is>
          <t>HKD</t>
        </is>
      </c>
      <c r="C859" t="n">
        <v>0.90793</v>
      </c>
    </row>
    <row r="860">
      <c r="A860" t="inlineStr">
        <is>
          <t>2025-12-01</t>
        </is>
      </c>
      <c r="B860" t="inlineStr">
        <is>
          <t>JPY</t>
        </is>
      </c>
      <c r="C860" t="n">
        <v>0.045968</v>
      </c>
    </row>
    <row r="861">
      <c r="A861" t="inlineStr">
        <is>
          <t>2025-12-01</t>
        </is>
      </c>
      <c r="B861" t="inlineStr">
        <is>
          <t>USD</t>
        </is>
      </c>
      <c r="C861" t="n">
        <v>7.07175</v>
      </c>
    </row>
    <row r="862">
      <c r="A862" t="inlineStr">
        <is>
          <t>2025-12-02</t>
        </is>
      </c>
      <c r="B862" t="inlineStr">
        <is>
          <t>EUR</t>
        </is>
      </c>
      <c r="C862" t="n">
        <v>8.218859999999999</v>
      </c>
    </row>
    <row r="863">
      <c r="A863" t="inlineStr">
        <is>
          <t>2025-12-02</t>
        </is>
      </c>
      <c r="B863" t="inlineStr">
        <is>
          <t>HKD</t>
        </is>
      </c>
      <c r="C863" t="n">
        <v>0.90813</v>
      </c>
    </row>
    <row r="864">
      <c r="A864" t="inlineStr">
        <is>
          <t>2025-12-02</t>
        </is>
      </c>
      <c r="B864" t="inlineStr">
        <is>
          <t>JPY</t>
        </is>
      </c>
      <c r="C864" t="n">
        <v>0.046008</v>
      </c>
    </row>
    <row r="865">
      <c r="A865" t="inlineStr">
        <is>
          <t>2025-12-02</t>
        </is>
      </c>
      <c r="B865" t="inlineStr">
        <is>
          <t>USD</t>
        </is>
      </c>
      <c r="C865" t="n">
        <v>7.0709</v>
      </c>
    </row>
    <row r="866">
      <c r="A866" t="inlineStr">
        <is>
          <t>2025-12-03</t>
        </is>
      </c>
      <c r="B866" t="inlineStr">
        <is>
          <t>EUR</t>
        </is>
      </c>
      <c r="C866" t="n">
        <v>8.24451</v>
      </c>
    </row>
    <row r="867">
      <c r="A867" t="inlineStr">
        <is>
          <t>2025-12-03</t>
        </is>
      </c>
      <c r="B867" t="inlineStr">
        <is>
          <t>HKD</t>
        </is>
      </c>
      <c r="C867" t="n">
        <v>0.90737</v>
      </c>
    </row>
    <row r="868">
      <c r="A868" t="inlineStr">
        <is>
          <t>2025-12-03</t>
        </is>
      </c>
      <c r="B868" t="inlineStr">
        <is>
          <t>JPY</t>
        </is>
      </c>
      <c r="C868" t="n">
        <v>0.04593</v>
      </c>
    </row>
    <row r="869">
      <c r="A869" t="inlineStr">
        <is>
          <t>2025-12-03</t>
        </is>
      </c>
      <c r="B869" t="inlineStr">
        <is>
          <t>USD</t>
        </is>
      </c>
      <c r="C869" t="n">
        <v>7.0638</v>
      </c>
    </row>
    <row r="870">
      <c r="A870" t="inlineStr">
        <is>
          <t>2025-12-04</t>
        </is>
      </c>
      <c r="B870" t="inlineStr">
        <is>
          <t>EUR</t>
        </is>
      </c>
      <c r="C870" t="n">
        <v>8.23423</v>
      </c>
    </row>
    <row r="871">
      <c r="A871" t="inlineStr">
        <is>
          <t>2025-12-04</t>
        </is>
      </c>
      <c r="B871" t="inlineStr">
        <is>
          <t>HKD</t>
        </is>
      </c>
      <c r="C871" t="n">
        <v>0.9085</v>
      </c>
    </row>
    <row r="872">
      <c r="A872" t="inlineStr">
        <is>
          <t>2025-12-04</t>
        </is>
      </c>
      <c r="B872" t="inlineStr">
        <is>
          <t>JPY</t>
        </is>
      </c>
      <c r="C872" t="n">
        <v>0.045818</v>
      </c>
    </row>
    <row r="873">
      <c r="A873" t="inlineStr">
        <is>
          <t>2025-12-04</t>
        </is>
      </c>
      <c r="B873" t="inlineStr">
        <is>
          <t>USD</t>
        </is>
      </c>
      <c r="C873" t="n">
        <v>7.07165</v>
      </c>
    </row>
    <row r="874">
      <c r="A874" t="inlineStr">
        <is>
          <t>2025-12-05</t>
        </is>
      </c>
      <c r="B874" t="inlineStr">
        <is>
          <t>EUR</t>
        </is>
      </c>
      <c r="C874" t="n">
        <v>8.2316</v>
      </c>
    </row>
    <row r="875">
      <c r="A875" t="inlineStr">
        <is>
          <t>2025-12-05</t>
        </is>
      </c>
      <c r="B875" t="inlineStr">
        <is>
          <t>HKD</t>
        </is>
      </c>
      <c r="C875" t="n">
        <v>0.90811</v>
      </c>
    </row>
    <row r="876">
      <c r="A876" t="inlineStr">
        <is>
          <t>2025-12-05</t>
        </is>
      </c>
      <c r="B876" t="inlineStr">
        <is>
          <t>JPY</t>
        </is>
      </c>
      <c r="C876" t="n">
        <v>0.045656</v>
      </c>
    </row>
    <row r="877">
      <c r="A877" t="inlineStr">
        <is>
          <t>2025-12-05</t>
        </is>
      </c>
      <c r="B877" t="inlineStr">
        <is>
          <t>USD</t>
        </is>
      </c>
      <c r="C877" t="n">
        <v>7.0703</v>
      </c>
    </row>
    <row r="878">
      <c r="A878" t="inlineStr">
        <is>
          <t>2025-12-08</t>
        </is>
      </c>
      <c r="B878" t="inlineStr">
        <is>
          <t>EUR</t>
        </is>
      </c>
      <c r="C878" t="n">
        <v>8.22969</v>
      </c>
    </row>
    <row r="879">
      <c r="A879" t="inlineStr">
        <is>
          <t>2025-12-08</t>
        </is>
      </c>
      <c r="B879" t="inlineStr">
        <is>
          <t>HKD</t>
        </is>
      </c>
      <c r="C879" t="n">
        <v>0.90872</v>
      </c>
    </row>
    <row r="880">
      <c r="A880" t="inlineStr">
        <is>
          <t>2025-12-08</t>
        </is>
      </c>
      <c r="B880" t="inlineStr">
        <is>
          <t>JPY</t>
        </is>
      </c>
      <c r="C880" t="n">
        <v>0.045872</v>
      </c>
    </row>
    <row r="881">
      <c r="A881" t="inlineStr">
        <is>
          <t>2025-12-08</t>
        </is>
      </c>
      <c r="B881" t="inlineStr">
        <is>
          <t>USD</t>
        </is>
      </c>
      <c r="C881" t="n">
        <v>7.0717</v>
      </c>
    </row>
    <row r="882">
      <c r="A882" t="inlineStr">
        <is>
          <t>2025-12-09</t>
        </is>
      </c>
      <c r="B882" t="inlineStr">
        <is>
          <t>EUR</t>
        </is>
      </c>
      <c r="C882" t="n">
        <v>8.212490000000001</v>
      </c>
    </row>
    <row r="883">
      <c r="A883" t="inlineStr">
        <is>
          <t>2025-12-09</t>
        </is>
      </c>
      <c r="B883" t="inlineStr">
        <is>
          <t>HKD</t>
        </is>
      </c>
      <c r="C883" t="n">
        <v>0.90756</v>
      </c>
    </row>
    <row r="884">
      <c r="A884" t="inlineStr">
        <is>
          <t>2025-12-09</t>
        </is>
      </c>
      <c r="B884" t="inlineStr">
        <is>
          <t>JPY</t>
        </is>
      </c>
      <c r="C884" t="n">
        <v>0.045469</v>
      </c>
    </row>
    <row r="885">
      <c r="A885" t="inlineStr">
        <is>
          <t>2025-12-09</t>
        </is>
      </c>
      <c r="B885" t="inlineStr">
        <is>
          <t>USD</t>
        </is>
      </c>
      <c r="C885" t="n">
        <v>7.0636</v>
      </c>
    </row>
    <row r="886">
      <c r="A886" t="inlineStr">
        <is>
          <t>2025-12-10</t>
        </is>
      </c>
      <c r="B886" t="inlineStr">
        <is>
          <t>EUR</t>
        </is>
      </c>
      <c r="C886" t="n">
        <v>8.2624</v>
      </c>
    </row>
    <row r="887">
      <c r="A887" t="inlineStr">
        <is>
          <t>2025-12-10</t>
        </is>
      </c>
      <c r="B887" t="inlineStr">
        <is>
          <t>HKD</t>
        </is>
      </c>
      <c r="C887" t="n">
        <v>0.90789</v>
      </c>
    </row>
    <row r="888">
      <c r="A888" t="inlineStr">
        <is>
          <t>2025-12-10</t>
        </is>
      </c>
      <c r="B888" t="inlineStr">
        <is>
          <t>JPY</t>
        </is>
      </c>
      <c r="C888" t="n">
        <v>0.045728</v>
      </c>
    </row>
    <row r="889">
      <c r="A889" t="inlineStr">
        <is>
          <t>2025-12-10</t>
        </is>
      </c>
      <c r="B889" t="inlineStr">
        <is>
          <t>USD</t>
        </is>
      </c>
      <c r="C889" t="n">
        <v>7.0646</v>
      </c>
    </row>
    <row r="890">
      <c r="A890" t="inlineStr">
        <is>
          <t>2025-12-11</t>
        </is>
      </c>
      <c r="B890" t="inlineStr">
        <is>
          <t>EUR</t>
        </is>
      </c>
      <c r="C890" t="n">
        <v>8.28509</v>
      </c>
    </row>
    <row r="891">
      <c r="A891" t="inlineStr">
        <is>
          <t>2025-12-11</t>
        </is>
      </c>
      <c r="B891" t="inlineStr">
        <is>
          <t>HKD</t>
        </is>
      </c>
      <c r="C891" t="n">
        <v>0.9069199999999999</v>
      </c>
    </row>
    <row r="892">
      <c r="A892" t="inlineStr">
        <is>
          <t>2025-12-11</t>
        </is>
      </c>
      <c r="B892" t="inlineStr">
        <is>
          <t>JPY</t>
        </is>
      </c>
      <c r="C892" t="n">
        <v>0.045667</v>
      </c>
    </row>
    <row r="893">
      <c r="A893" t="inlineStr">
        <is>
          <t>2025-12-11</t>
        </is>
      </c>
      <c r="B893" t="inlineStr">
        <is>
          <t>USD</t>
        </is>
      </c>
      <c r="C893" t="n">
        <v>7.05805</v>
      </c>
    </row>
    <row r="894">
      <c r="A894" t="inlineStr">
        <is>
          <t>2025-12-12</t>
        </is>
      </c>
      <c r="B894" t="inlineStr">
        <is>
          <t>EUR</t>
        </is>
      </c>
      <c r="C894" t="n">
        <v>8.283099999999999</v>
      </c>
    </row>
    <row r="895">
      <c r="A895" t="inlineStr">
        <is>
          <t>2025-12-12</t>
        </is>
      </c>
      <c r="B895" t="inlineStr">
        <is>
          <t>HKD</t>
        </is>
      </c>
      <c r="C895" t="n">
        <v>0.9063</v>
      </c>
    </row>
    <row r="896">
      <c r="A896" t="inlineStr">
        <is>
          <t>2025-12-12</t>
        </is>
      </c>
      <c r="B896" t="inlineStr">
        <is>
          <t>JPY</t>
        </is>
      </c>
      <c r="C896" t="n">
        <v>0.045711</v>
      </c>
    </row>
    <row r="897">
      <c r="A897" t="inlineStr">
        <is>
          <t>2025-12-12</t>
        </is>
      </c>
      <c r="B897" t="inlineStr">
        <is>
          <t>USD</t>
        </is>
      </c>
      <c r="C897" t="n">
        <v>7.05515</v>
      </c>
    </row>
    <row r="898">
      <c r="A898" t="inlineStr">
        <is>
          <t>2025-12-15</t>
        </is>
      </c>
      <c r="B898" t="inlineStr">
        <is>
          <t>EUR</t>
        </is>
      </c>
      <c r="C898" t="n">
        <v>8.28351</v>
      </c>
    </row>
    <row r="899">
      <c r="A899" t="inlineStr">
        <is>
          <t>2025-12-15</t>
        </is>
      </c>
      <c r="B899" t="inlineStr">
        <is>
          <t>HKD</t>
        </is>
      </c>
      <c r="C899" t="n">
        <v>0.9055299999999999</v>
      </c>
    </row>
    <row r="900">
      <c r="A900" t="inlineStr">
        <is>
          <t>2025-12-15</t>
        </is>
      </c>
      <c r="B900" t="inlineStr">
        <is>
          <t>JPY</t>
        </is>
      </c>
      <c r="C900" t="n">
        <v>0.045905</v>
      </c>
    </row>
    <row r="901">
      <c r="A901" t="inlineStr">
        <is>
          <t>2025-12-15</t>
        </is>
      </c>
      <c r="B901" t="inlineStr">
        <is>
          <t>USD</t>
        </is>
      </c>
      <c r="C901" t="n">
        <v>7.0477</v>
      </c>
    </row>
    <row r="902">
      <c r="A902" t="inlineStr">
        <is>
          <t>2025-12-16</t>
        </is>
      </c>
      <c r="B902" t="inlineStr">
        <is>
          <t>EUR</t>
        </is>
      </c>
      <c r="C902" t="n">
        <v>8.272</v>
      </c>
    </row>
    <row r="903">
      <c r="A903" t="inlineStr">
        <is>
          <t>2025-12-16</t>
        </is>
      </c>
      <c r="B903" t="inlineStr">
        <is>
          <t>HKD</t>
        </is>
      </c>
      <c r="C903" t="n">
        <v>0.905</v>
      </c>
    </row>
    <row r="904">
      <c r="A904" t="inlineStr">
        <is>
          <t>2025-12-16</t>
        </is>
      </c>
      <c r="B904" t="inlineStr">
        <is>
          <t>JPY</t>
        </is>
      </c>
      <c r="C904" t="n">
        <v>0.045886</v>
      </c>
    </row>
    <row r="905">
      <c r="A905" t="inlineStr">
        <is>
          <t>2025-12-16</t>
        </is>
      </c>
      <c r="B905" t="inlineStr">
        <is>
          <t>USD</t>
        </is>
      </c>
      <c r="C905" t="n">
        <v>7.0421</v>
      </c>
    </row>
    <row r="906">
      <c r="A906" t="inlineStr">
        <is>
          <t>2025-12-17</t>
        </is>
      </c>
      <c r="B906" t="inlineStr">
        <is>
          <t>EUR</t>
        </is>
      </c>
      <c r="C906" t="n">
        <v>8.26971</v>
      </c>
    </row>
    <row r="907">
      <c r="A907" t="inlineStr">
        <is>
          <t>2025-12-17</t>
        </is>
      </c>
      <c r="B907" t="inlineStr">
        <is>
          <t>HKD</t>
        </is>
      </c>
      <c r="C907" t="n">
        <v>0.90517</v>
      </c>
    </row>
    <row r="908">
      <c r="A908" t="inlineStr">
        <is>
          <t>2025-12-17</t>
        </is>
      </c>
      <c r="B908" t="inlineStr">
        <is>
          <t>JPY</t>
        </is>
      </c>
      <c r="C908" t="n">
        <v>0.046068</v>
      </c>
    </row>
    <row r="909">
      <c r="A909" t="inlineStr">
        <is>
          <t>2025-12-17</t>
        </is>
      </c>
      <c r="B909" t="inlineStr">
        <is>
          <t>USD</t>
        </is>
      </c>
      <c r="C909" t="n">
        <v>7.04375</v>
      </c>
    </row>
    <row r="910">
      <c r="A910" t="inlineStr">
        <is>
          <t>2025-12-18</t>
        </is>
      </c>
      <c r="B910" t="inlineStr">
        <is>
          <t>EUR</t>
        </is>
      </c>
      <c r="C910" t="n">
        <v>8.254339999999999</v>
      </c>
    </row>
    <row r="911">
      <c r="A911" t="inlineStr">
        <is>
          <t>2025-12-18</t>
        </is>
      </c>
      <c r="B911" t="inlineStr">
        <is>
          <t>HKD</t>
        </is>
      </c>
      <c r="C911" t="n">
        <v>0.90476</v>
      </c>
    </row>
    <row r="912">
      <c r="A912" t="inlineStr">
        <is>
          <t>2025-12-18</t>
        </is>
      </c>
      <c r="B912" t="inlineStr">
        <is>
          <t>JPY</t>
        </is>
      </c>
      <c r="C912" t="n">
        <v>0.046038</v>
      </c>
    </row>
    <row r="913">
      <c r="A913" t="inlineStr">
        <is>
          <t>2025-12-18</t>
        </is>
      </c>
      <c r="B913" t="inlineStr">
        <is>
          <t>USD</t>
        </is>
      </c>
      <c r="C913" t="n">
        <v>7.04175</v>
      </c>
    </row>
    <row r="914">
      <c r="A914" t="inlineStr">
        <is>
          <t>2025-12-19</t>
        </is>
      </c>
      <c r="B914" t="inlineStr">
        <is>
          <t>EUR</t>
        </is>
      </c>
      <c r="C914" t="n">
        <v>8.244719999999999</v>
      </c>
    </row>
    <row r="915">
      <c r="A915" t="inlineStr">
        <is>
          <t>2025-12-19</t>
        </is>
      </c>
      <c r="B915" t="inlineStr">
        <is>
          <t>HKD</t>
        </is>
      </c>
      <c r="C915" t="n">
        <v>0.9047500000000001</v>
      </c>
    </row>
    <row r="916">
      <c r="A916" t="inlineStr">
        <is>
          <t>2025-12-19</t>
        </is>
      </c>
      <c r="B916" t="inlineStr">
        <is>
          <t>JPY</t>
        </is>
      </c>
      <c r="C916" t="n">
        <v>0.04594</v>
      </c>
    </row>
    <row r="917">
      <c r="A917" t="inlineStr">
        <is>
          <t>2025-12-19</t>
        </is>
      </c>
      <c r="B917" t="inlineStr">
        <is>
          <t>USD</t>
        </is>
      </c>
      <c r="C917" t="n">
        <v>7.04105</v>
      </c>
    </row>
    <row r="918">
      <c r="A918" t="inlineStr">
        <is>
          <t>2025-12-22</t>
        </is>
      </c>
      <c r="B918" t="inlineStr">
        <is>
          <t>EUR</t>
        </is>
      </c>
      <c r="C918" t="n">
        <v>8.27586</v>
      </c>
    </row>
    <row r="919">
      <c r="A919" t="inlineStr">
        <is>
          <t>2025-12-22</t>
        </is>
      </c>
      <c r="B919" t="inlineStr">
        <is>
          <t>HKD</t>
        </is>
      </c>
      <c r="C919" t="n">
        <v>0.9043</v>
      </c>
    </row>
    <row r="920">
      <c r="A920" t="inlineStr">
        <is>
          <t>2025-12-22</t>
        </is>
      </c>
      <c r="B920" t="inlineStr">
        <is>
          <t>JPY</t>
        </is>
      </c>
      <c r="C920" t="n">
        <v>0.045575</v>
      </c>
    </row>
    <row r="921">
      <c r="A921" t="inlineStr">
        <is>
          <t>2025-12-22</t>
        </is>
      </c>
      <c r="B921" t="inlineStr">
        <is>
          <t>USD</t>
        </is>
      </c>
      <c r="C921" t="n">
        <v>7.037</v>
      </c>
    </row>
    <row r="922">
      <c r="A922" t="inlineStr">
        <is>
          <t>2025-12-23</t>
        </is>
      </c>
      <c r="B922" t="inlineStr">
        <is>
          <t>EUR</t>
        </is>
      </c>
      <c r="C922" t="n">
        <v>8.289759999999999</v>
      </c>
    </row>
    <row r="923">
      <c r="A923" t="inlineStr">
        <is>
          <t>2025-12-23</t>
        </is>
      </c>
      <c r="B923" t="inlineStr">
        <is>
          <t>HKD</t>
        </is>
      </c>
      <c r="C923" t="n">
        <v>0.90359</v>
      </c>
    </row>
    <row r="924">
      <c r="A924" t="inlineStr">
        <is>
          <t>2025-12-23</t>
        </is>
      </c>
      <c r="B924" t="inlineStr">
        <is>
          <t>JPY</t>
        </is>
      </c>
      <c r="C924" t="n">
        <v>0.045449</v>
      </c>
    </row>
    <row r="925">
      <c r="A925" t="inlineStr">
        <is>
          <t>2025-12-23</t>
        </is>
      </c>
      <c r="B925" t="inlineStr">
        <is>
          <t>USD</t>
        </is>
      </c>
      <c r="C925" t="n">
        <v>7.0285</v>
      </c>
    </row>
    <row r="926">
      <c r="A926" t="inlineStr">
        <is>
          <t>2025-12-24</t>
        </is>
      </c>
      <c r="B926" t="inlineStr">
        <is>
          <t>EUR</t>
        </is>
      </c>
      <c r="C926" t="n">
        <v>8.262499999999999</v>
      </c>
    </row>
    <row r="927">
      <c r="A927" t="inlineStr">
        <is>
          <t>2025-12-24</t>
        </is>
      </c>
      <c r="B927" t="inlineStr">
        <is>
          <t>HKD</t>
        </is>
      </c>
      <c r="C927" t="n">
        <v>0.90204</v>
      </c>
    </row>
    <row r="928">
      <c r="A928" t="inlineStr">
        <is>
          <t>2025-12-24</t>
        </is>
      </c>
      <c r="B928" t="inlineStr">
        <is>
          <t>JPY</t>
        </is>
      </c>
      <c r="C928" t="n">
        <v>0.045501</v>
      </c>
    </row>
    <row r="929">
      <c r="A929" t="inlineStr">
        <is>
          <t>2025-12-24</t>
        </is>
      </c>
      <c r="B929" t="inlineStr">
        <is>
          <t>USD</t>
        </is>
      </c>
      <c r="C929" t="n">
        <v>7.0149</v>
      </c>
    </row>
    <row r="930">
      <c r="A930" t="inlineStr">
        <is>
          <t>2025-12-25</t>
        </is>
      </c>
      <c r="B930" t="inlineStr">
        <is>
          <t>EUR</t>
        </is>
      </c>
      <c r="C930" t="n">
        <v>8.251899999999999</v>
      </c>
    </row>
    <row r="931">
      <c r="A931" t="inlineStr">
        <is>
          <t>2025-12-25</t>
        </is>
      </c>
      <c r="B931" t="inlineStr">
        <is>
          <t>HKD</t>
        </is>
      </c>
      <c r="C931" t="n">
        <v>0.90099</v>
      </c>
    </row>
    <row r="932">
      <c r="A932" t="inlineStr">
        <is>
          <t>2025-12-25</t>
        </is>
      </c>
      <c r="B932" t="inlineStr">
        <is>
          <t>JPY</t>
        </is>
      </c>
      <c r="C932" t="n">
        <v>0.045533</v>
      </c>
    </row>
    <row r="933">
      <c r="A933" t="inlineStr">
        <is>
          <t>2025-12-25</t>
        </is>
      </c>
      <c r="B933" t="inlineStr">
        <is>
          <t>USD</t>
        </is>
      </c>
      <c r="C933" t="n">
        <v>7.0059</v>
      </c>
    </row>
    <row r="934">
      <c r="A934" t="inlineStr">
        <is>
          <t>2025-12-26</t>
        </is>
      </c>
      <c r="B934" t="inlineStr">
        <is>
          <t>EUR</t>
        </is>
      </c>
      <c r="C934" t="n">
        <v>8.24864</v>
      </c>
    </row>
    <row r="935">
      <c r="A935" t="inlineStr">
        <is>
          <t>2025-12-26</t>
        </is>
      </c>
      <c r="B935" t="inlineStr">
        <is>
          <t>HKD</t>
        </is>
      </c>
      <c r="C935" t="n">
        <v>0.9014799999999999</v>
      </c>
    </row>
    <row r="936">
      <c r="A936" t="inlineStr">
        <is>
          <t>2025-12-26</t>
        </is>
      </c>
      <c r="B936" t="inlineStr">
        <is>
          <t>JPY</t>
        </is>
      </c>
      <c r="C936" t="n">
        <v>0.045506</v>
      </c>
    </row>
    <row r="937">
      <c r="A937" t="inlineStr">
        <is>
          <t>2025-12-26</t>
        </is>
      </c>
      <c r="B937" t="inlineStr">
        <is>
          <t>USD</t>
        </is>
      </c>
      <c r="C937" t="n">
        <v>7.0067</v>
      </c>
    </row>
    <row r="938">
      <c r="A938" t="inlineStr">
        <is>
          <t>2025-12-29</t>
        </is>
      </c>
      <c r="B938" t="inlineStr">
        <is>
          <t>EUR</t>
        </is>
      </c>
      <c r="C938" t="n">
        <v>8.247809999999999</v>
      </c>
    </row>
    <row r="939">
      <c r="A939" t="inlineStr">
        <is>
          <t>2025-12-29</t>
        </is>
      </c>
      <c r="B939" t="inlineStr">
        <is>
          <t>HKD</t>
        </is>
      </c>
      <c r="C939" t="n">
        <v>0.90111</v>
      </c>
    </row>
    <row r="940">
      <c r="A940" t="inlineStr">
        <is>
          <t>2025-12-29</t>
        </is>
      </c>
      <c r="B940" t="inlineStr">
        <is>
          <t>JPY</t>
        </is>
      </c>
      <c r="C940" t="n">
        <v>0.04548</v>
      </c>
    </row>
    <row r="941">
      <c r="A941" t="inlineStr">
        <is>
          <t>2025-12-29</t>
        </is>
      </c>
      <c r="B941" t="inlineStr">
        <is>
          <t>USD</t>
        </is>
      </c>
      <c r="C941" t="n">
        <v>7.006</v>
      </c>
    </row>
    <row r="942">
      <c r="A942" t="inlineStr">
        <is>
          <t>2025-12-30</t>
        </is>
      </c>
      <c r="B942" t="inlineStr">
        <is>
          <t>EUR</t>
        </is>
      </c>
      <c r="C942" t="n">
        <v>8.21937</v>
      </c>
    </row>
    <row r="943">
      <c r="A943" t="inlineStr">
        <is>
          <t>2025-12-30</t>
        </is>
      </c>
      <c r="B943" t="inlineStr">
        <is>
          <t>HKD</t>
        </is>
      </c>
      <c r="C943" t="n">
        <v>0.89905</v>
      </c>
    </row>
    <row r="944">
      <c r="A944" t="inlineStr">
        <is>
          <t>2025-12-30</t>
        </is>
      </c>
      <c r="B944" t="inlineStr">
        <is>
          <t>JPY</t>
        </is>
      </c>
      <c r="C944" t="n">
        <v>0.045084</v>
      </c>
    </row>
    <row r="945">
      <c r="A945" t="inlineStr">
        <is>
          <t>2025-12-30</t>
        </is>
      </c>
      <c r="B945" t="inlineStr">
        <is>
          <t>USD</t>
        </is>
      </c>
      <c r="C945" t="n">
        <v>6.9964</v>
      </c>
    </row>
    <row r="946">
      <c r="A946" t="inlineStr">
        <is>
          <t>2025-12-31</t>
        </is>
      </c>
      <c r="B946" t="inlineStr">
        <is>
          <t>EUR</t>
        </is>
      </c>
      <c r="C946" t="n">
        <v>8.214449999999999</v>
      </c>
    </row>
    <row r="947">
      <c r="A947" t="inlineStr">
        <is>
          <t>2025-12-31</t>
        </is>
      </c>
      <c r="B947" t="inlineStr">
        <is>
          <t>HKD</t>
        </is>
      </c>
      <c r="C947" t="n">
        <v>0.89845</v>
      </c>
    </row>
    <row r="948">
      <c r="A948" t="inlineStr">
        <is>
          <t>2025-12-31</t>
        </is>
      </c>
      <c r="B948" t="inlineStr">
        <is>
          <t>JPY</t>
        </is>
      </c>
      <c r="C948" t="n">
        <v>0.044751</v>
      </c>
    </row>
    <row r="949">
      <c r="A949" t="inlineStr">
        <is>
          <t>2025-12-31</t>
        </is>
      </c>
      <c r="B949" t="inlineStr">
        <is>
          <t>USD</t>
        </is>
      </c>
      <c r="C949" t="n">
        <v>6.9937</v>
      </c>
    </row>
    <row r="950">
      <c r="A950" t="inlineStr">
        <is>
          <t>2026-01-01</t>
        </is>
      </c>
      <c r="B950" t="inlineStr">
        <is>
          <t>EUR</t>
        </is>
      </c>
      <c r="C950" t="n">
        <v>8.214449999999999</v>
      </c>
    </row>
    <row r="951">
      <c r="A951" t="inlineStr">
        <is>
          <t>2026-01-01</t>
        </is>
      </c>
      <c r="B951" t="inlineStr">
        <is>
          <t>HKD</t>
        </is>
      </c>
      <c r="C951" t="n">
        <v>0.89834</v>
      </c>
    </row>
    <row r="952">
      <c r="A952" t="inlineStr">
        <is>
          <t>2026-01-01</t>
        </is>
      </c>
      <c r="B952" t="inlineStr">
        <is>
          <t>JPY</t>
        </is>
      </c>
      <c r="C952" t="n">
        <v>0.044832</v>
      </c>
    </row>
    <row r="953">
      <c r="A953" t="inlineStr">
        <is>
          <t>2026-01-01</t>
        </is>
      </c>
      <c r="B953" t="inlineStr">
        <is>
          <t>USD</t>
        </is>
      </c>
      <c r="C953" t="n">
        <v>6.9937</v>
      </c>
    </row>
    <row r="954">
      <c r="A954" t="inlineStr">
        <is>
          <t>2026-01-02</t>
        </is>
      </c>
      <c r="B954" t="inlineStr">
        <is>
          <t>EUR</t>
        </is>
      </c>
      <c r="C954" t="n">
        <v>8.196619999999999</v>
      </c>
    </row>
    <row r="955">
      <c r="A955" t="inlineStr">
        <is>
          <t>2026-01-02</t>
        </is>
      </c>
      <c r="B955" t="inlineStr">
        <is>
          <t>HKD</t>
        </is>
      </c>
      <c r="C955" t="n">
        <v>0.8974800000000001</v>
      </c>
    </row>
    <row r="956">
      <c r="A956" t="inlineStr">
        <is>
          <t>2026-01-02</t>
        </is>
      </c>
      <c r="B956" t="inlineStr">
        <is>
          <t>JPY</t>
        </is>
      </c>
      <c r="C956" t="n">
        <v>0.044956</v>
      </c>
    </row>
    <row r="957">
      <c r="A957" t="inlineStr">
        <is>
          <t>2026-01-02</t>
        </is>
      </c>
      <c r="B957" t="inlineStr">
        <is>
          <t>USD</t>
        </is>
      </c>
      <c r="C957" t="n">
        <v>6.9937</v>
      </c>
    </row>
    <row r="958">
      <c r="A958" t="inlineStr">
        <is>
          <t>2026-01-04</t>
        </is>
      </c>
      <c r="B958" t="inlineStr">
        <is>
          <t>USD</t>
        </is>
      </c>
      <c r="C958" t="n">
        <v>6.98865</v>
      </c>
    </row>
    <row r="959">
      <c r="A959" t="inlineStr">
        <is>
          <t>2026-01-05</t>
        </is>
      </c>
      <c r="B959" t="inlineStr">
        <is>
          <t>EUR</t>
        </is>
      </c>
      <c r="C959" t="n">
        <v>8.191750000000001</v>
      </c>
    </row>
    <row r="960">
      <c r="A960" t="inlineStr">
        <is>
          <t>2026-01-05</t>
        </is>
      </c>
      <c r="B960" t="inlineStr">
        <is>
          <t>HKD</t>
        </is>
      </c>
      <c r="C960" t="n">
        <v>0.89753</v>
      </c>
    </row>
    <row r="961">
      <c r="A961" t="inlineStr">
        <is>
          <t>2026-01-05</t>
        </is>
      </c>
      <c r="B961" t="inlineStr">
        <is>
          <t>JPY</t>
        </is>
      </c>
      <c r="C961" t="n">
        <v>0.045507</v>
      </c>
    </row>
    <row r="962">
      <c r="A962" t="inlineStr">
        <is>
          <t>2026-01-05</t>
        </is>
      </c>
      <c r="B962" t="inlineStr">
        <is>
          <t>USD</t>
        </is>
      </c>
      <c r="C962" t="n">
        <v>6.98865</v>
      </c>
    </row>
    <row r="963">
      <c r="A963" t="inlineStr">
        <is>
          <t>2026-01-06</t>
        </is>
      </c>
      <c r="B963" t="inlineStr">
        <is>
          <t>EUR</t>
        </is>
      </c>
      <c r="C963" t="n">
        <v>8.1629</v>
      </c>
    </row>
    <row r="964">
      <c r="A964" t="inlineStr">
        <is>
          <t>2026-01-06</t>
        </is>
      </c>
      <c r="B964" t="inlineStr">
        <is>
          <t>HKD</t>
        </is>
      </c>
      <c r="C964" t="n">
        <v>0.89654</v>
      </c>
    </row>
    <row r="965">
      <c r="A965" t="inlineStr">
        <is>
          <t>2026-01-06</t>
        </is>
      </c>
      <c r="B965" t="inlineStr">
        <is>
          <t>JPY</t>
        </is>
      </c>
      <c r="C965" t="n">
        <v>0.0456</v>
      </c>
    </row>
    <row r="966">
      <c r="A966" t="inlineStr">
        <is>
          <t>2026-01-06</t>
        </is>
      </c>
      <c r="B966" t="inlineStr">
        <is>
          <t>USD</t>
        </is>
      </c>
      <c r="C966" t="n">
        <v>6.9837</v>
      </c>
    </row>
    <row r="967">
      <c r="A967" t="inlineStr">
        <is>
          <t>2026-01-07</t>
        </is>
      </c>
      <c r="B967" t="inlineStr">
        <is>
          <t>EUR</t>
        </is>
      </c>
      <c r="C967" t="n">
        <v>8.168530000000001</v>
      </c>
    </row>
    <row r="968">
      <c r="A968" t="inlineStr">
        <is>
          <t>2026-01-07</t>
        </is>
      </c>
      <c r="B968" t="inlineStr">
        <is>
          <t>HKD</t>
        </is>
      </c>
      <c r="C968" t="n">
        <v>0.89843</v>
      </c>
    </row>
    <row r="969">
      <c r="A969" t="inlineStr">
        <is>
          <t>2026-01-07</t>
        </is>
      </c>
      <c r="B969" t="inlineStr">
        <is>
          <t>JPY</t>
        </is>
      </c>
      <c r="C969" t="n">
        <v>0.045914</v>
      </c>
    </row>
    <row r="970">
      <c r="A970" t="inlineStr">
        <is>
          <t>2026-01-07</t>
        </is>
      </c>
      <c r="B970" t="inlineStr">
        <is>
          <t>USD</t>
        </is>
      </c>
      <c r="C970" t="n">
        <v>6.9972</v>
      </c>
    </row>
    <row r="971">
      <c r="A971" t="inlineStr">
        <is>
          <t>2026-01-08</t>
        </is>
      </c>
      <c r="B971" t="inlineStr">
        <is>
          <t>EUR</t>
        </is>
      </c>
      <c r="C971" t="n">
        <v>8.142989999999999</v>
      </c>
    </row>
    <row r="972">
      <c r="A972" t="inlineStr">
        <is>
          <t>2026-01-08</t>
        </is>
      </c>
      <c r="B972" t="inlineStr">
        <is>
          <t>HKD</t>
        </is>
      </c>
      <c r="C972" t="n">
        <v>0.89614</v>
      </c>
    </row>
    <row r="973">
      <c r="A973" t="inlineStr">
        <is>
          <t>2026-01-08</t>
        </is>
      </c>
      <c r="B973" t="inlineStr">
        <is>
          <t>JPY</t>
        </is>
      </c>
      <c r="C973" t="n">
        <v>0.04591</v>
      </c>
    </row>
    <row r="974">
      <c r="A974" t="inlineStr">
        <is>
          <t>2026-01-08</t>
        </is>
      </c>
      <c r="B974" t="inlineStr">
        <is>
          <t>USD</t>
        </is>
      </c>
      <c r="C974" t="n">
        <v>6.984</v>
      </c>
    </row>
    <row r="975">
      <c r="A975" t="inlineStr">
        <is>
          <t>2026-01-09</t>
        </is>
      </c>
      <c r="B975" t="inlineStr">
        <is>
          <t>EUR</t>
        </is>
      </c>
      <c r="C975" t="n">
        <v>8.120240000000001</v>
      </c>
    </row>
    <row r="976">
      <c r="A976" t="inlineStr">
        <is>
          <t>2026-01-09</t>
        </is>
      </c>
      <c r="B976" t="inlineStr">
        <is>
          <t>HKD</t>
        </is>
      </c>
      <c r="C976" t="n">
        <v>0.89495</v>
      </c>
    </row>
    <row r="977">
      <c r="A977" t="inlineStr">
        <is>
          <t>2026-01-09</t>
        </is>
      </c>
      <c r="B977" t="inlineStr">
        <is>
          <t>JPY</t>
        </is>
      </c>
      <c r="C977" t="n">
        <v>0.045776</v>
      </c>
    </row>
    <row r="978">
      <c r="A978" t="inlineStr">
        <is>
          <t>2026-01-09</t>
        </is>
      </c>
      <c r="B978" t="inlineStr">
        <is>
          <t>USD</t>
        </is>
      </c>
      <c r="C978" t="n">
        <v>6.97735</v>
      </c>
    </row>
    <row r="979">
      <c r="A979" t="inlineStr">
        <is>
          <t>2026-01-12</t>
        </is>
      </c>
      <c r="B979" t="inlineStr">
        <is>
          <t>EUR</t>
        </is>
      </c>
      <c r="C979" t="n">
        <v>8.13592</v>
      </c>
    </row>
    <row r="980">
      <c r="A980" t="inlineStr">
        <is>
          <t>2026-01-12</t>
        </is>
      </c>
      <c r="B980" t="inlineStr">
        <is>
          <t>HKD</t>
        </is>
      </c>
      <c r="C980" t="n">
        <v>0.89436</v>
      </c>
    </row>
    <row r="981">
      <c r="A981" t="inlineStr">
        <is>
          <t>2026-01-12</t>
        </is>
      </c>
      <c r="B981" t="inlineStr">
        <is>
          <t>JPY</t>
        </is>
      </c>
      <c r="C981" t="n">
        <v>0.045707</v>
      </c>
    </row>
    <row r="982">
      <c r="A982" t="inlineStr">
        <is>
          <t>2026-01-12</t>
        </is>
      </c>
      <c r="B982" t="inlineStr">
        <is>
          <t>USD</t>
        </is>
      </c>
      <c r="C982" t="n">
        <v>6.97315</v>
      </c>
    </row>
    <row r="983">
      <c r="A983" t="inlineStr">
        <is>
          <t>2026-01-13</t>
        </is>
      </c>
      <c r="B983" t="inlineStr">
        <is>
          <t>EUR</t>
        </is>
      </c>
      <c r="C983" t="n">
        <v>8.124140000000001</v>
      </c>
    </row>
    <row r="984">
      <c r="A984" t="inlineStr">
        <is>
          <t>2026-01-13</t>
        </is>
      </c>
      <c r="B984" t="inlineStr">
        <is>
          <t>HKD</t>
        </is>
      </c>
      <c r="C984" t="n">
        <v>0.8944</v>
      </c>
    </row>
    <row r="985">
      <c r="A985" t="inlineStr">
        <is>
          <t>2026-01-13</t>
        </is>
      </c>
      <c r="B985" t="inlineStr">
        <is>
          <t>JPY</t>
        </is>
      </c>
      <c r="C985" t="n">
        <v>0.045746</v>
      </c>
    </row>
    <row r="986">
      <c r="A986" t="inlineStr">
        <is>
          <t>2026-01-13</t>
        </is>
      </c>
      <c r="B986" t="inlineStr">
        <is>
          <t>USD</t>
        </is>
      </c>
      <c r="C986" t="n">
        <v>6.978</v>
      </c>
    </row>
    <row r="987">
      <c r="A987" t="inlineStr">
        <is>
          <t>2026-01-14</t>
        </is>
      </c>
      <c r="B987" t="inlineStr">
        <is>
          <t>EUR</t>
        </is>
      </c>
      <c r="C987" t="n">
        <v>8.11971</v>
      </c>
    </row>
    <row r="988">
      <c r="A988" t="inlineStr">
        <is>
          <t>2026-01-14</t>
        </is>
      </c>
      <c r="B988" t="inlineStr">
        <is>
          <t>HKD</t>
        </is>
      </c>
      <c r="C988" t="n">
        <v>0.89419</v>
      </c>
    </row>
    <row r="989">
      <c r="A989" t="inlineStr">
        <is>
          <t>2026-01-14</t>
        </is>
      </c>
      <c r="B989" t="inlineStr">
        <is>
          <t>JPY</t>
        </is>
      </c>
      <c r="C989" t="n">
        <v>0.045671</v>
      </c>
    </row>
    <row r="990">
      <c r="A990" t="inlineStr">
        <is>
          <t>2026-01-14</t>
        </is>
      </c>
      <c r="B990" t="inlineStr">
        <is>
          <t>USD</t>
        </is>
      </c>
      <c r="C990" t="n">
        <v>6.9736</v>
      </c>
    </row>
    <row r="991">
      <c r="A991" t="inlineStr">
        <is>
          <t>2026-01-15</t>
        </is>
      </c>
      <c r="B991" t="inlineStr">
        <is>
          <t>EUR</t>
        </is>
      </c>
      <c r="C991" t="n">
        <v>8.086600000000001</v>
      </c>
    </row>
    <row r="992">
      <c r="A992" t="inlineStr">
        <is>
          <t>2026-01-15</t>
        </is>
      </c>
      <c r="B992" t="inlineStr">
        <is>
          <t>HKD</t>
        </is>
      </c>
      <c r="C992" t="n">
        <v>0.89337</v>
      </c>
    </row>
    <row r="993">
      <c r="A993" t="inlineStr">
        <is>
          <t>2026-01-15</t>
        </is>
      </c>
      <c r="B993" t="inlineStr">
        <is>
          <t>JPY</t>
        </is>
      </c>
      <c r="C993" t="n">
        <v>0.045653</v>
      </c>
    </row>
    <row r="994">
      <c r="A994" t="inlineStr">
        <is>
          <t>2026-01-15</t>
        </is>
      </c>
      <c r="B994" t="inlineStr">
        <is>
          <t>USD</t>
        </is>
      </c>
      <c r="C994" t="n">
        <v>6.9664</v>
      </c>
    </row>
    <row r="995">
      <c r="A995" t="inlineStr">
        <is>
          <t>2026-01-16</t>
        </is>
      </c>
      <c r="B995" t="inlineStr">
        <is>
          <t>EUR</t>
        </is>
      </c>
      <c r="C995" t="n">
        <v>8.083170000000001</v>
      </c>
    </row>
    <row r="996">
      <c r="A996" t="inlineStr">
        <is>
          <t>2026-01-16</t>
        </is>
      </c>
      <c r="B996" t="inlineStr">
        <is>
          <t>HKD</t>
        </is>
      </c>
      <c r="C996" t="n">
        <v>0.89372</v>
      </c>
    </row>
    <row r="997">
      <c r="A997" t="inlineStr">
        <is>
          <t>2026-01-16</t>
        </is>
      </c>
      <c r="B997" t="inlineStr">
        <is>
          <t>JPY</t>
        </is>
      </c>
      <c r="C997" t="n">
        <v>0.045624</v>
      </c>
    </row>
    <row r="998">
      <c r="A998" t="inlineStr">
        <is>
          <t>2026-01-16</t>
        </is>
      </c>
      <c r="B998" t="inlineStr">
        <is>
          <t>USD</t>
        </is>
      </c>
      <c r="C998" t="n">
        <v>6.96885</v>
      </c>
    </row>
    <row r="999">
      <c r="A999" t="inlineStr">
        <is>
          <t>2026-01-19</t>
        </is>
      </c>
      <c r="B999" t="inlineStr">
        <is>
          <t>EUR</t>
        </is>
      </c>
      <c r="C999" t="n">
        <v>8.110329999999999</v>
      </c>
    </row>
    <row r="1000">
      <c r="A1000" t="inlineStr">
        <is>
          <t>2026-01-19</t>
        </is>
      </c>
      <c r="B1000" t="inlineStr">
        <is>
          <t>HKD</t>
        </is>
      </c>
      <c r="C1000" t="n">
        <v>0.8931</v>
      </c>
    </row>
    <row r="1001">
      <c r="A1001" t="inlineStr">
        <is>
          <t>2026-01-19</t>
        </is>
      </c>
      <c r="B1001" t="inlineStr">
        <is>
          <t>JPY</t>
        </is>
      </c>
      <c r="C1001" t="n">
        <v>0.046341</v>
      </c>
    </row>
    <row r="1002">
      <c r="A1002" t="inlineStr">
        <is>
          <t>2026-01-19</t>
        </is>
      </c>
      <c r="B1002" t="inlineStr">
        <is>
          <t>USD</t>
        </is>
      </c>
      <c r="C1002" t="n">
        <v>6.96405</v>
      </c>
    </row>
    <row r="1003">
      <c r="A1003" t="inlineStr">
        <is>
          <t>2026-01-20</t>
        </is>
      </c>
      <c r="B1003" t="inlineStr">
        <is>
          <t>EUR</t>
        </is>
      </c>
      <c r="C1003" t="n">
        <v>8.1616</v>
      </c>
    </row>
    <row r="1004">
      <c r="A1004" t="inlineStr">
        <is>
          <t>2026-01-20</t>
        </is>
      </c>
      <c r="B1004" t="inlineStr">
        <is>
          <t>HKD</t>
        </is>
      </c>
      <c r="C1004" t="n">
        <v>0.89234</v>
      </c>
    </row>
    <row r="1005">
      <c r="A1005" t="inlineStr">
        <is>
          <t>2026-01-20</t>
        </is>
      </c>
      <c r="B1005" t="inlineStr">
        <is>
          <t>JPY</t>
        </is>
      </c>
      <c r="C1005" t="n">
        <v>0.046384</v>
      </c>
    </row>
    <row r="1006">
      <c r="A1006" t="inlineStr">
        <is>
          <t>2026-01-20</t>
        </is>
      </c>
      <c r="B1006" t="inlineStr">
        <is>
          <t>USD</t>
        </is>
      </c>
      <c r="C1006" t="n">
        <v>6.96115</v>
      </c>
    </row>
    <row r="1007">
      <c r="A1007" t="inlineStr">
        <is>
          <t>2026-01-21</t>
        </is>
      </c>
      <c r="B1007" t="inlineStr">
        <is>
          <t>EUR</t>
        </is>
      </c>
      <c r="C1007" t="n">
        <v>8.13627</v>
      </c>
    </row>
    <row r="1008">
      <c r="A1008" t="inlineStr">
        <is>
          <t>2026-01-21</t>
        </is>
      </c>
      <c r="B1008" t="inlineStr">
        <is>
          <t>HKD</t>
        </is>
      </c>
      <c r="C1008" t="n">
        <v>0.89308</v>
      </c>
    </row>
    <row r="1009">
      <c r="A1009" t="inlineStr">
        <is>
          <t>2026-01-21</t>
        </is>
      </c>
      <c r="B1009" t="inlineStr">
        <is>
          <t>JPY</t>
        </is>
      </c>
      <c r="C1009" t="n">
        <v>0.046429</v>
      </c>
    </row>
    <row r="1010">
      <c r="A1010" t="inlineStr">
        <is>
          <t>2026-01-21</t>
        </is>
      </c>
      <c r="B1010" t="inlineStr">
        <is>
          <t>USD</t>
        </is>
      </c>
      <c r="C1010" t="n">
        <v>6.9639</v>
      </c>
    </row>
    <row r="1011">
      <c r="A1011" t="inlineStr">
        <is>
          <t>2026-01-22</t>
        </is>
      </c>
      <c r="B1011" t="inlineStr">
        <is>
          <t>EUR</t>
        </is>
      </c>
      <c r="C1011" t="n">
        <v>8.19758</v>
      </c>
    </row>
    <row r="1012">
      <c r="A1012" t="inlineStr">
        <is>
          <t>2026-01-22</t>
        </is>
      </c>
      <c r="B1012" t="inlineStr">
        <is>
          <t>HKD</t>
        </is>
      </c>
      <c r="C1012" t="n">
        <v>0.89429</v>
      </c>
    </row>
    <row r="1013">
      <c r="A1013" t="inlineStr">
        <is>
          <t>2026-01-22</t>
        </is>
      </c>
      <c r="B1013" t="inlineStr">
        <is>
          <t>JPY</t>
        </is>
      </c>
      <c r="C1013" t="n">
        <v>0.046572</v>
      </c>
    </row>
    <row r="1014">
      <c r="A1014" t="inlineStr">
        <is>
          <t>2026-01-22</t>
        </is>
      </c>
      <c r="B1014" t="inlineStr">
        <is>
          <t>USD</t>
        </is>
      </c>
      <c r="C1014" t="n">
        <v>6.9734</v>
      </c>
    </row>
    <row r="1015">
      <c r="A1015" t="inlineStr">
        <is>
          <t>2026-01-23</t>
        </is>
      </c>
      <c r="B1015" t="inlineStr">
        <is>
          <t>EUR</t>
        </is>
      </c>
      <c r="C1015" t="n">
        <v>8.236129999999999</v>
      </c>
    </row>
    <row r="1016">
      <c r="A1016" t="inlineStr">
        <is>
          <t>2026-01-23</t>
        </is>
      </c>
      <c r="B1016" t="inlineStr">
        <is>
          <t>HKD</t>
        </is>
      </c>
      <c r="C1016" t="n">
        <v>0.89305</v>
      </c>
    </row>
    <row r="1017">
      <c r="A1017" t="inlineStr">
        <is>
          <t>2026-01-23</t>
        </is>
      </c>
      <c r="B1017" t="inlineStr">
        <is>
          <t>JPY</t>
        </is>
      </c>
      <c r="C1017" t="n">
        <v>0.046555</v>
      </c>
    </row>
    <row r="1018">
      <c r="A1018" t="inlineStr">
        <is>
          <t>2026-01-23</t>
        </is>
      </c>
      <c r="B1018" t="inlineStr">
        <is>
          <t>USD</t>
        </is>
      </c>
      <c r="C1018" t="n">
        <v>6.96325</v>
      </c>
    </row>
    <row r="1019">
      <c r="A1019" t="inlineStr">
        <is>
          <t>2026-01-26</t>
        </is>
      </c>
      <c r="B1019" t="inlineStr">
        <is>
          <t>EUR</t>
        </is>
      </c>
      <c r="C1019" t="n">
        <v>8.262119999999999</v>
      </c>
    </row>
    <row r="1020">
      <c r="A1020" t="inlineStr">
        <is>
          <t>2026-01-26</t>
        </is>
      </c>
      <c r="B1020" t="inlineStr">
        <is>
          <t>HKD</t>
        </is>
      </c>
      <c r="C1020" t="n">
        <v>0.8918</v>
      </c>
    </row>
    <row r="1021">
      <c r="A1021" t="inlineStr">
        <is>
          <t>2026-01-26</t>
        </is>
      </c>
      <c r="B1021" t="inlineStr">
        <is>
          <t>JPY</t>
        </is>
      </c>
      <c r="C1021" t="n">
        <v>0.046331</v>
      </c>
    </row>
    <row r="1022">
      <c r="A1022" t="inlineStr">
        <is>
          <t>2026-01-26</t>
        </is>
      </c>
      <c r="B1022" t="inlineStr">
        <is>
          <t>USD</t>
        </is>
      </c>
      <c r="C1022" t="n">
        <v>6.95435</v>
      </c>
    </row>
    <row r="1023">
      <c r="A1023" t="inlineStr">
        <is>
          <t>2026-01-27</t>
        </is>
      </c>
      <c r="B1023" t="inlineStr">
        <is>
          <t>EUR</t>
        </is>
      </c>
      <c r="C1023" t="n">
        <v>8.37438</v>
      </c>
    </row>
    <row r="1024">
      <c r="A1024" t="inlineStr">
        <is>
          <t>2026-01-27</t>
        </is>
      </c>
      <c r="B1024" t="inlineStr">
        <is>
          <t>HKD</t>
        </is>
      </c>
      <c r="C1024" t="n">
        <v>0.89166</v>
      </c>
    </row>
    <row r="1025">
      <c r="A1025" t="inlineStr">
        <is>
          <t>2026-01-27</t>
        </is>
      </c>
      <c r="B1025" t="inlineStr">
        <is>
          <t>JPY</t>
        </is>
      </c>
      <c r="C1025" t="n">
        <v>0.046473</v>
      </c>
    </row>
    <row r="1026">
      <c r="A1026" t="inlineStr">
        <is>
          <t>2026-01-27</t>
        </is>
      </c>
      <c r="B1026" t="inlineStr">
        <is>
          <t>USD</t>
        </is>
      </c>
      <c r="C1026" t="n">
        <v>6.9546</v>
      </c>
    </row>
    <row r="1027">
      <c r="A1027" t="inlineStr">
        <is>
          <t>2026-01-28</t>
        </is>
      </c>
      <c r="B1027" t="inlineStr">
        <is>
          <t>EUR</t>
        </is>
      </c>
      <c r="C1027" t="n">
        <v>8.30373</v>
      </c>
    </row>
    <row r="1028">
      <c r="A1028" t="inlineStr">
        <is>
          <t>2026-01-28</t>
        </is>
      </c>
      <c r="B1028" t="inlineStr">
        <is>
          <t>HKD</t>
        </is>
      </c>
      <c r="C1028" t="n">
        <v>0.89033</v>
      </c>
    </row>
    <row r="1029">
      <c r="A1029" t="inlineStr">
        <is>
          <t>2026-01-28</t>
        </is>
      </c>
      <c r="B1029" t="inlineStr">
        <is>
          <t>JPY</t>
        </is>
      </c>
      <c r="C1029" t="n">
        <v>0.045906</v>
      </c>
    </row>
    <row r="1030">
      <c r="A1030" t="inlineStr">
        <is>
          <t>2026-01-28</t>
        </is>
      </c>
      <c r="B1030" t="inlineStr">
        <is>
          <t>USD</t>
        </is>
      </c>
      <c r="C1030" t="n">
        <v>6.9464</v>
      </c>
    </row>
    <row r="1031">
      <c r="A1031" t="inlineStr">
        <is>
          <t>2026-01-29</t>
        </is>
      </c>
      <c r="B1031" t="inlineStr">
        <is>
          <t>EUR</t>
        </is>
      </c>
      <c r="C1031" t="n">
        <v>8.31758</v>
      </c>
    </row>
    <row r="1032">
      <c r="A1032" t="inlineStr">
        <is>
          <t>2026-01-29</t>
        </is>
      </c>
      <c r="B1032" t="inlineStr">
        <is>
          <t>HKD</t>
        </is>
      </c>
      <c r="C1032" t="n">
        <v>0.8901</v>
      </c>
    </row>
    <row r="1033">
      <c r="A1033" t="inlineStr">
        <is>
          <t>2026-01-29</t>
        </is>
      </c>
      <c r="B1033" t="inlineStr">
        <is>
          <t>JPY</t>
        </is>
      </c>
      <c r="C1033" t="n">
        <v>0.04576</v>
      </c>
    </row>
    <row r="1034">
      <c r="A1034" t="inlineStr">
        <is>
          <t>2026-01-29</t>
        </is>
      </c>
      <c r="B1034" t="inlineStr">
        <is>
          <t>USD</t>
        </is>
      </c>
      <c r="C1034" t="n">
        <v>6.9484</v>
      </c>
    </row>
    <row r="1035">
      <c r="A1035" t="inlineStr">
        <is>
          <t>2026-01-30</t>
        </is>
      </c>
      <c r="B1035" t="inlineStr">
        <is>
          <t>EUR</t>
        </is>
      </c>
      <c r="C1035" t="n">
        <v>8.237819999999999</v>
      </c>
    </row>
    <row r="1036">
      <c r="A1036" t="inlineStr">
        <is>
          <t>2026-01-30</t>
        </is>
      </c>
      <c r="B1036" t="inlineStr">
        <is>
          <t>HKD</t>
        </is>
      </c>
      <c r="C1036" t="n">
        <v>0.88949</v>
      </c>
    </row>
    <row r="1037">
      <c r="A1037" t="inlineStr">
        <is>
          <t>2026-01-30</t>
        </is>
      </c>
      <c r="B1037" t="inlineStr">
        <is>
          <t>JPY</t>
        </is>
      </c>
      <c r="C1037" t="n">
        <v>0.045784</v>
      </c>
    </row>
    <row r="1038">
      <c r="A1038" t="inlineStr">
        <is>
          <t>2026-01-30</t>
        </is>
      </c>
      <c r="B1038" t="inlineStr">
        <is>
          <t>USD</t>
        </is>
      </c>
      <c r="C1038" t="n">
        <v>6.95175</v>
      </c>
    </row>
    <row r="1039">
      <c r="A1039" t="inlineStr">
        <is>
          <t>2026-02-02</t>
        </is>
      </c>
      <c r="B1039" t="inlineStr">
        <is>
          <t>EUR</t>
        </is>
      </c>
      <c r="C1039" t="n">
        <v>8.190619999999999</v>
      </c>
    </row>
    <row r="1040">
      <c r="A1040" t="inlineStr">
        <is>
          <t>2026-02-02</t>
        </is>
      </c>
      <c r="B1040" t="inlineStr">
        <is>
          <t>HKD</t>
        </is>
      </c>
      <c r="C1040" t="n">
        <v>0.88934</v>
      </c>
    </row>
    <row r="1041">
      <c r="A1041" t="inlineStr">
        <is>
          <t>2026-02-02</t>
        </is>
      </c>
      <c r="B1041" t="inlineStr">
        <is>
          <t>JPY</t>
        </is>
      </c>
      <c r="C1041" t="n">
        <v>0.045797</v>
      </c>
    </row>
    <row r="1042">
      <c r="A1042" t="inlineStr">
        <is>
          <t>2026-02-02</t>
        </is>
      </c>
      <c r="B1042" t="inlineStr">
        <is>
          <t>USD</t>
        </is>
      </c>
      <c r="C1042" t="n">
        <v>6.9465</v>
      </c>
    </row>
    <row r="1043">
      <c r="A1043" t="inlineStr">
        <is>
          <t>2026-02-03</t>
        </is>
      </c>
      <c r="B1043" t="inlineStr">
        <is>
          <t>EUR</t>
        </is>
      </c>
      <c r="C1043" t="n">
        <v>8.20032</v>
      </c>
    </row>
    <row r="1044">
      <c r="A1044" t="inlineStr">
        <is>
          <t>2026-02-03</t>
        </is>
      </c>
      <c r="B1044" t="inlineStr">
        <is>
          <t>HKD</t>
        </is>
      </c>
      <c r="C1044" t="n">
        <v>0.88788</v>
      </c>
    </row>
    <row r="1045">
      <c r="A1045" t="inlineStr">
        <is>
          <t>2026-02-03</t>
        </is>
      </c>
      <c r="B1045" t="inlineStr">
        <is>
          <t>JPY</t>
        </is>
      </c>
      <c r="C1045" t="n">
        <v>0.045762</v>
      </c>
    </row>
    <row r="1046">
      <c r="A1046" t="inlineStr">
        <is>
          <t>2026-02-03</t>
        </is>
      </c>
      <c r="B1046" t="inlineStr">
        <is>
          <t>USD</t>
        </is>
      </c>
      <c r="C1046" t="n">
        <v>6.93825</v>
      </c>
    </row>
    <row r="1047">
      <c r="A1047" t="inlineStr">
        <is>
          <t>2026-02-04</t>
        </is>
      </c>
      <c r="B1047" t="inlineStr">
        <is>
          <t>EUR</t>
        </is>
      </c>
      <c r="C1047" t="n">
        <v>8.196120000000001</v>
      </c>
    </row>
    <row r="1048">
      <c r="A1048" t="inlineStr">
        <is>
          <t>2026-02-04</t>
        </is>
      </c>
      <c r="B1048" t="inlineStr">
        <is>
          <t>HKD</t>
        </is>
      </c>
      <c r="C1048" t="n">
        <v>0.8884300000000001</v>
      </c>
    </row>
    <row r="1049">
      <c r="A1049" t="inlineStr">
        <is>
          <t>2026-02-04</t>
        </is>
      </c>
      <c r="B1049" t="inlineStr">
        <is>
          <t>JPY</t>
        </is>
      </c>
      <c r="C1049" t="n">
        <v>0.045997</v>
      </c>
    </row>
    <row r="1050">
      <c r="A1050" t="inlineStr">
        <is>
          <t>2026-02-04</t>
        </is>
      </c>
      <c r="B1050" t="inlineStr">
        <is>
          <t>USD</t>
        </is>
      </c>
      <c r="C1050" t="n">
        <v>6.94175</v>
      </c>
    </row>
    <row r="1051">
      <c r="A1051" t="inlineStr">
        <is>
          <t>2026-02-05</t>
        </is>
      </c>
      <c r="B1051" t="inlineStr">
        <is>
          <t>EUR</t>
        </is>
      </c>
      <c r="C1051" t="n">
        <v>8.171060000000001</v>
      </c>
    </row>
    <row r="1052">
      <c r="A1052" t="inlineStr">
        <is>
          <t>2026-02-05</t>
        </is>
      </c>
      <c r="B1052" t="inlineStr">
        <is>
          <t>HKD</t>
        </is>
      </c>
      <c r="C1052" t="n">
        <v>0.8878</v>
      </c>
    </row>
    <row r="1053">
      <c r="A1053" t="inlineStr">
        <is>
          <t>2026-02-05</t>
        </is>
      </c>
      <c r="B1053" t="inlineStr">
        <is>
          <t>JPY</t>
        </is>
      </c>
      <c r="C1053" t="n">
        <v>0.045995</v>
      </c>
    </row>
    <row r="1054">
      <c r="A1054" t="inlineStr">
        <is>
          <t>2026-02-05</t>
        </is>
      </c>
      <c r="B1054" t="inlineStr">
        <is>
          <t>USD</t>
        </is>
      </c>
      <c r="C1054" t="n">
        <v>6.93815</v>
      </c>
    </row>
    <row r="1055">
      <c r="A1055" t="inlineStr">
        <is>
          <t>2026-02-06</t>
        </is>
      </c>
      <c r="B1055" t="inlineStr">
        <is>
          <t>EUR</t>
        </is>
      </c>
      <c r="C1055" t="n">
        <v>8.199759999999999</v>
      </c>
    </row>
    <row r="1056">
      <c r="A1056" t="inlineStr">
        <is>
          <t>2026-02-06</t>
        </is>
      </c>
      <c r="B1056" t="inlineStr">
        <is>
          <t>HKD</t>
        </is>
      </c>
      <c r="C1056" t="n">
        <v>0.88801</v>
      </c>
    </row>
    <row r="1057">
      <c r="A1057" t="inlineStr">
        <is>
          <t>2026-02-06</t>
        </is>
      </c>
      <c r="B1057" t="inlineStr">
        <is>
          <t>JPY</t>
        </is>
      </c>
      <c r="C1057" t="n">
        <v>0.045936</v>
      </c>
    </row>
    <row r="1058">
      <c r="A1058" t="inlineStr">
        <is>
          <t>2026-02-06</t>
        </is>
      </c>
      <c r="B1058" t="inlineStr">
        <is>
          <t>USD</t>
        </is>
      </c>
      <c r="C1058" t="n">
        <v>6.93895</v>
      </c>
    </row>
    <row r="1059">
      <c r="A1059" t="inlineStr">
        <is>
          <t>2026-02-09</t>
        </is>
      </c>
      <c r="B1059" t="inlineStr">
        <is>
          <t>EUR</t>
        </is>
      </c>
      <c r="C1059" t="n">
        <v>8.247870000000001</v>
      </c>
    </row>
    <row r="1060">
      <c r="A1060" t="inlineStr">
        <is>
          <t>2026-02-09</t>
        </is>
      </c>
      <c r="B1060" t="inlineStr">
        <is>
          <t>HKD</t>
        </is>
      </c>
      <c r="C1060" t="n">
        <v>0.88573</v>
      </c>
    </row>
    <row r="1061">
      <c r="A1061" t="inlineStr">
        <is>
          <t>2026-02-09</t>
        </is>
      </c>
      <c r="B1061" t="inlineStr">
        <is>
          <t>JPY</t>
        </is>
      </c>
      <c r="C1061" t="n">
        <v>0.045694</v>
      </c>
    </row>
    <row r="1062">
      <c r="A1062" t="inlineStr">
        <is>
          <t>2026-02-09</t>
        </is>
      </c>
      <c r="B1062" t="inlineStr">
        <is>
          <t>USD</t>
        </is>
      </c>
      <c r="C1062" t="n">
        <v>6.92255</v>
      </c>
    </row>
    <row r="1063">
      <c r="A1063" t="inlineStr">
        <is>
          <t>2026-02-10</t>
        </is>
      </c>
      <c r="B1063" t="inlineStr">
        <is>
          <t>EUR</t>
        </is>
      </c>
      <c r="C1063" t="n">
        <v>8.22063</v>
      </c>
    </row>
    <row r="1064">
      <c r="A1064" t="inlineStr">
        <is>
          <t>2026-02-10</t>
        </is>
      </c>
      <c r="B1064" t="inlineStr">
        <is>
          <t>HKD</t>
        </is>
      </c>
      <c r="C1064" t="n">
        <v>0.88383</v>
      </c>
    </row>
    <row r="1065">
      <c r="A1065" t="inlineStr">
        <is>
          <t>2026-02-10</t>
        </is>
      </c>
      <c r="B1065" t="inlineStr">
        <is>
          <t>JPY</t>
        </is>
      </c>
      <c r="C1065" t="n">
        <v>0.045485</v>
      </c>
    </row>
    <row r="1066">
      <c r="A1066" t="inlineStr">
        <is>
          <t>2026-02-10</t>
        </is>
      </c>
      <c r="B1066" t="inlineStr">
        <is>
          <t>USD</t>
        </is>
      </c>
      <c r="C1066" t="n">
        <v>6.911</v>
      </c>
    </row>
    <row r="1067">
      <c r="A1067" t="inlineStr">
        <is>
          <t>2026-02-11</t>
        </is>
      </c>
      <c r="B1067" t="inlineStr">
        <is>
          <t>EUR</t>
        </is>
      </c>
      <c r="C1067" t="n">
        <v>8.206720000000001</v>
      </c>
    </row>
    <row r="1068">
      <c r="A1068" t="inlineStr">
        <is>
          <t>2026-02-11</t>
        </is>
      </c>
      <c r="B1068" t="inlineStr">
        <is>
          <t>HKD</t>
        </is>
      </c>
      <c r="C1068" t="n">
        <v>0.8842</v>
      </c>
    </row>
    <row r="1069">
      <c r="A1069" t="inlineStr">
        <is>
          <t>2026-02-11</t>
        </is>
      </c>
      <c r="B1069" t="inlineStr">
        <is>
          <t>JPY</t>
        </is>
      </c>
      <c r="C1069" t="n">
        <v>0.045562</v>
      </c>
    </row>
    <row r="1070">
      <c r="A1070" t="inlineStr">
        <is>
          <t>2026-02-11</t>
        </is>
      </c>
      <c r="B1070" t="inlineStr">
        <is>
          <t>USD</t>
        </is>
      </c>
      <c r="C1070" t="n">
        <v>6.91325</v>
      </c>
    </row>
    <row r="1071">
      <c r="A1071" t="inlineStr">
        <is>
          <t>2026-02-12</t>
        </is>
      </c>
      <c r="B1071" t="inlineStr">
        <is>
          <t>EUR</t>
        </is>
      </c>
      <c r="C1071" t="n">
        <v>8.19195</v>
      </c>
    </row>
    <row r="1072">
      <c r="A1072" t="inlineStr">
        <is>
          <t>2026-02-12</t>
        </is>
      </c>
      <c r="B1072" t="inlineStr">
        <is>
          <t>HKD</t>
        </is>
      </c>
      <c r="C1072" t="n">
        <v>0.88292</v>
      </c>
    </row>
    <row r="1073">
      <c r="A1073" t="inlineStr">
        <is>
          <t>2026-02-12</t>
        </is>
      </c>
      <c r="B1073" t="inlineStr">
        <is>
          <t>JPY</t>
        </is>
      </c>
      <c r="C1073" t="n">
        <v>0.045808</v>
      </c>
    </row>
    <row r="1074">
      <c r="A1074" t="inlineStr">
        <is>
          <t>2026-02-12</t>
        </is>
      </c>
      <c r="B1074" t="inlineStr">
        <is>
          <t>USD</t>
        </is>
      </c>
      <c r="C1074" t="n">
        <v>6.9011</v>
      </c>
    </row>
    <row r="1075">
      <c r="A1075" t="inlineStr">
        <is>
          <t>2026-02-13</t>
        </is>
      </c>
      <c r="B1075" t="inlineStr">
        <is>
          <t>EUR</t>
        </is>
      </c>
      <c r="C1075" t="n">
        <v>8.199529999999999</v>
      </c>
    </row>
    <row r="1076">
      <c r="A1076" t="inlineStr">
        <is>
          <t>2026-02-13</t>
        </is>
      </c>
      <c r="B1076" t="inlineStr">
        <is>
          <t>HKD</t>
        </is>
      </c>
      <c r="C1076" t="n">
        <v>0.88374</v>
      </c>
    </row>
    <row r="1077">
      <c r="A1077" t="inlineStr">
        <is>
          <t>2026-02-13</t>
        </is>
      </c>
      <c r="B1077" t="inlineStr">
        <is>
          <t>JPY</t>
        </is>
      </c>
      <c r="C1077" t="n">
        <v>0.046013</v>
      </c>
    </row>
    <row r="1078">
      <c r="A1078" t="inlineStr">
        <is>
          <t>2026-02-13</t>
        </is>
      </c>
      <c r="B1078" t="inlineStr">
        <is>
          <t>USD</t>
        </is>
      </c>
      <c r="C1078" t="n">
        <v>6.90865</v>
      </c>
    </row>
    <row r="1079">
      <c r="A1079" t="inlineStr">
        <is>
          <t>2026-02-14</t>
        </is>
      </c>
      <c r="B1079" t="inlineStr">
        <is>
          <t>USD</t>
        </is>
      </c>
      <c r="C1079" t="n">
        <v>6.90865</v>
      </c>
    </row>
    <row r="1080">
      <c r="A1080" t="inlineStr">
        <is>
          <t>2026-02-16</t>
        </is>
      </c>
      <c r="B1080" t="inlineStr">
        <is>
          <t>EUR</t>
        </is>
      </c>
      <c r="C1080" t="n">
        <v>8.18744</v>
      </c>
    </row>
    <row r="1081">
      <c r="A1081" t="inlineStr">
        <is>
          <t>2026-02-16</t>
        </is>
      </c>
      <c r="B1081" t="inlineStr">
        <is>
          <t>HKD</t>
        </is>
      </c>
      <c r="C1081" t="n">
        <v>0.8838200000000001</v>
      </c>
    </row>
    <row r="1082">
      <c r="A1082" t="inlineStr">
        <is>
          <t>2026-02-16</t>
        </is>
      </c>
      <c r="B1082" t="inlineStr">
        <is>
          <t>JPY</t>
        </is>
      </c>
      <c r="C1082" t="n">
        <v>0.045641</v>
      </c>
    </row>
    <row r="1083">
      <c r="A1083" t="inlineStr">
        <is>
          <t>2026-02-16</t>
        </is>
      </c>
      <c r="B1083" t="inlineStr">
        <is>
          <t>USD</t>
        </is>
      </c>
      <c r="C1083" t="n">
        <v>6.90865</v>
      </c>
    </row>
    <row r="1084">
      <c r="A1084" t="inlineStr">
        <is>
          <t>2026-02-17</t>
        </is>
      </c>
      <c r="B1084" t="inlineStr">
        <is>
          <t>EUR</t>
        </is>
      </c>
      <c r="C1084" t="n">
        <v>8.190200000000001</v>
      </c>
    </row>
    <row r="1085">
      <c r="A1085" t="inlineStr">
        <is>
          <t>2026-02-17</t>
        </is>
      </c>
      <c r="B1085" t="inlineStr">
        <is>
          <t>HKD</t>
        </is>
      </c>
      <c r="C1085" t="n">
        <v>0.8839</v>
      </c>
    </row>
    <row r="1086">
      <c r="A1086" t="inlineStr">
        <is>
          <t>2026-02-17</t>
        </is>
      </c>
      <c r="B1086" t="inlineStr">
        <is>
          <t>JPY</t>
        </is>
      </c>
      <c r="C1086" t="n">
        <v>0.045435</v>
      </c>
    </row>
    <row r="1087">
      <c r="A1087" t="inlineStr">
        <is>
          <t>2026-02-17</t>
        </is>
      </c>
      <c r="B1087" t="inlineStr">
        <is>
          <t>USD</t>
        </is>
      </c>
      <c r="C1087" t="n">
        <v>6.90865</v>
      </c>
    </row>
    <row r="1088">
      <c r="A1088" t="inlineStr">
        <is>
          <t>2026-02-18</t>
        </is>
      </c>
      <c r="B1088" t="inlineStr">
        <is>
          <t>EUR</t>
        </is>
      </c>
      <c r="C1088" t="n">
        <v>8.14081</v>
      </c>
    </row>
    <row r="1089">
      <c r="A1089" t="inlineStr">
        <is>
          <t>2026-02-18</t>
        </is>
      </c>
      <c r="B1089" t="inlineStr">
        <is>
          <t>HKD</t>
        </is>
      </c>
      <c r="C1089" t="n">
        <v>0.88401</v>
      </c>
    </row>
    <row r="1090">
      <c r="A1090" t="inlineStr">
        <is>
          <t>2026-02-18</t>
        </is>
      </c>
      <c r="B1090" t="inlineStr">
        <is>
          <t>JPY</t>
        </is>
      </c>
      <c r="C1090" t="n">
        <v>0.045351</v>
      </c>
    </row>
    <row r="1091">
      <c r="A1091" t="inlineStr">
        <is>
          <t>2026-02-18</t>
        </is>
      </c>
      <c r="B1091" t="inlineStr">
        <is>
          <t>USD</t>
        </is>
      </c>
      <c r="C1091" t="n">
        <v>6.90865</v>
      </c>
    </row>
    <row r="1092">
      <c r="A1092" t="inlineStr">
        <is>
          <t>2026-02-19</t>
        </is>
      </c>
      <c r="B1092" t="inlineStr">
        <is>
          <t>EUR</t>
        </is>
      </c>
      <c r="C1092" t="n">
        <v>8.133900000000001</v>
      </c>
    </row>
    <row r="1093">
      <c r="A1093" t="inlineStr">
        <is>
          <t>2026-02-19</t>
        </is>
      </c>
      <c r="B1093" t="inlineStr">
        <is>
          <t>HKD</t>
        </is>
      </c>
      <c r="C1093" t="n">
        <v>0.884</v>
      </c>
    </row>
    <row r="1094">
      <c r="A1094" t="inlineStr">
        <is>
          <t>2026-02-19</t>
        </is>
      </c>
      <c r="B1094" t="inlineStr">
        <is>
          <t>JPY</t>
        </is>
      </c>
      <c r="C1094" t="n">
        <v>0.045525</v>
      </c>
    </row>
    <row r="1095">
      <c r="A1095" t="inlineStr">
        <is>
          <t>2026-02-19</t>
        </is>
      </c>
      <c r="B1095" t="inlineStr">
        <is>
          <t>USD</t>
        </is>
      </c>
      <c r="C1095" t="n">
        <v>6.90865</v>
      </c>
    </row>
    <row r="1096">
      <c r="A1096" t="inlineStr">
        <is>
          <t>2026-02-20</t>
        </is>
      </c>
      <c r="B1096" t="inlineStr">
        <is>
          <t>EUR</t>
        </is>
      </c>
      <c r="C1096" t="n">
        <v>8.139430000000001</v>
      </c>
    </row>
    <row r="1097">
      <c r="A1097" t="inlineStr">
        <is>
          <t>2026-02-20</t>
        </is>
      </c>
      <c r="B1097" t="inlineStr">
        <is>
          <t>HKD</t>
        </is>
      </c>
      <c r="C1097" t="n">
        <v>0.8839399999999999</v>
      </c>
    </row>
    <row r="1098">
      <c r="A1098" t="inlineStr">
        <is>
          <t>2026-02-20</t>
        </is>
      </c>
      <c r="B1098" t="inlineStr">
        <is>
          <t>JPY</t>
        </is>
      </c>
      <c r="C1098" t="n">
        <v>0.045524</v>
      </c>
    </row>
    <row r="1099">
      <c r="A1099" t="inlineStr">
        <is>
          <t>2026-02-20</t>
        </is>
      </c>
      <c r="B1099" t="inlineStr">
        <is>
          <t>USD</t>
        </is>
      </c>
      <c r="C1099" t="n">
        <v>6.90865</v>
      </c>
    </row>
    <row r="1100">
      <c r="A1100" t="inlineStr">
        <is>
          <t>2026-02-23</t>
        </is>
      </c>
      <c r="B1100" t="inlineStr">
        <is>
          <t>EUR</t>
        </is>
      </c>
      <c r="C1100" t="n">
        <v>8.142189999999999</v>
      </c>
    </row>
    <row r="1101">
      <c r="A1101" t="inlineStr">
        <is>
          <t>2026-02-23</t>
        </is>
      </c>
      <c r="B1101" t="inlineStr">
        <is>
          <t>HKD</t>
        </is>
      </c>
      <c r="C1101" t="n">
        <v>0.88342</v>
      </c>
    </row>
    <row r="1102">
      <c r="A1102" t="inlineStr">
        <is>
          <t>2026-02-23</t>
        </is>
      </c>
      <c r="B1102" t="inlineStr">
        <is>
          <t>JPY</t>
        </is>
      </c>
      <c r="C1102" t="n">
        <v>0.045813</v>
      </c>
    </row>
    <row r="1103">
      <c r="A1103" t="inlineStr">
        <is>
          <t>2026-02-23</t>
        </is>
      </c>
      <c r="B1103" t="inlineStr">
        <is>
          <t>USD</t>
        </is>
      </c>
      <c r="C1103" t="n">
        <v>6.90865</v>
      </c>
    </row>
    <row r="1104">
      <c r="A1104" t="inlineStr">
        <is>
          <t>2026-02-24</t>
        </is>
      </c>
      <c r="B1104" t="inlineStr">
        <is>
          <t>EUR</t>
        </is>
      </c>
      <c r="C1104" t="n">
        <v>8.10413</v>
      </c>
    </row>
    <row r="1105">
      <c r="A1105" t="inlineStr">
        <is>
          <t>2026-02-24</t>
        </is>
      </c>
      <c r="B1105" t="inlineStr">
        <is>
          <t>HKD</t>
        </is>
      </c>
      <c r="C1105" t="n">
        <v>0.8798</v>
      </c>
    </row>
    <row r="1106">
      <c r="A1106" t="inlineStr">
        <is>
          <t>2026-02-24</t>
        </is>
      </c>
      <c r="B1106" t="inlineStr">
        <is>
          <t>JPY</t>
        </is>
      </c>
      <c r="C1106" t="n">
        <v>0.045776</v>
      </c>
    </row>
    <row r="1107">
      <c r="A1107" t="inlineStr">
        <is>
          <t>2026-02-24</t>
        </is>
      </c>
      <c r="B1107" t="inlineStr">
        <is>
          <t>USD</t>
        </is>
      </c>
      <c r="C1107" t="n">
        <v>6.88395</v>
      </c>
    </row>
    <row r="1108">
      <c r="A1108" t="inlineStr">
        <is>
          <t>2026-02-25</t>
        </is>
      </c>
      <c r="B1108" t="inlineStr">
        <is>
          <t>EUR</t>
        </is>
      </c>
      <c r="C1108" t="n">
        <v>8.113160000000001</v>
      </c>
    </row>
    <row r="1109">
      <c r="A1109" t="inlineStr">
        <is>
          <t>2026-02-25</t>
        </is>
      </c>
      <c r="B1109" t="inlineStr">
        <is>
          <t>HKD</t>
        </is>
      </c>
      <c r="C1109" t="n">
        <v>0.87835</v>
      </c>
    </row>
    <row r="1110">
      <c r="A1110" t="inlineStr">
        <is>
          <t>2026-02-25</t>
        </is>
      </c>
      <c r="B1110" t="inlineStr">
        <is>
          <t>JPY</t>
        </is>
      </c>
      <c r="C1110" t="n">
        <v>0.045736</v>
      </c>
    </row>
    <row r="1111">
      <c r="A1111" t="inlineStr">
        <is>
          <t>2026-02-25</t>
        </is>
      </c>
      <c r="B1111" t="inlineStr">
        <is>
          <t>USD</t>
        </is>
      </c>
      <c r="C1111" t="n">
        <v>6.86945</v>
      </c>
    </row>
    <row r="1112">
      <c r="A1112" t="inlineStr">
        <is>
          <t>2026-02-26</t>
        </is>
      </c>
      <c r="B1112" t="inlineStr">
        <is>
          <t>EUR</t>
        </is>
      </c>
      <c r="C1112" t="n">
        <v>8.070959999999999</v>
      </c>
    </row>
    <row r="1113">
      <c r="A1113" t="inlineStr">
        <is>
          <t>2026-02-26</t>
        </is>
      </c>
      <c r="B1113" t="inlineStr">
        <is>
          <t>HKD</t>
        </is>
      </c>
      <c r="C1113" t="n">
        <v>0.87435</v>
      </c>
    </row>
    <row r="1114">
      <c r="A1114" t="inlineStr">
        <is>
          <t>2026-02-26</t>
        </is>
      </c>
      <c r="B1114" t="inlineStr">
        <is>
          <t>JPY</t>
        </is>
      </c>
      <c r="C1114" t="n">
        <v>0.045632</v>
      </c>
    </row>
    <row r="1115">
      <c r="A1115" t="inlineStr">
        <is>
          <t>2026-02-26</t>
        </is>
      </c>
      <c r="B1115" t="inlineStr">
        <is>
          <t>USD</t>
        </is>
      </c>
      <c r="C1115" t="n">
        <v>6.84125</v>
      </c>
    </row>
    <row r="1116">
      <c r="A1116" t="inlineStr">
        <is>
          <t>2026-02-27</t>
        </is>
      </c>
      <c r="B1116" t="inlineStr">
        <is>
          <t>EUR</t>
        </is>
      </c>
      <c r="C1116" t="n">
        <v>8.10228</v>
      </c>
    </row>
    <row r="1117">
      <c r="A1117" t="inlineStr">
        <is>
          <t>2026-02-27</t>
        </is>
      </c>
      <c r="B1117" t="inlineStr">
        <is>
          <t>HKD</t>
        </is>
      </c>
      <c r="C1117" t="n">
        <v>0.8766699999999999</v>
      </c>
    </row>
    <row r="1118">
      <c r="A1118" t="inlineStr">
        <is>
          <t>2026-02-27</t>
        </is>
      </c>
      <c r="B1118" t="inlineStr">
        <is>
          <t>JPY</t>
        </is>
      </c>
      <c r="C1118" t="n">
        <v>0.045525</v>
      </c>
    </row>
    <row r="1119">
      <c r="A1119" t="inlineStr">
        <is>
          <t>2026-02-27</t>
        </is>
      </c>
      <c r="B1119" t="inlineStr">
        <is>
          <t>USD</t>
        </is>
      </c>
      <c r="C1119" t="n">
        <v>6.8582</v>
      </c>
    </row>
    <row r="1120">
      <c r="A1120" t="inlineStr">
        <is>
          <t>2026-02-28</t>
        </is>
      </c>
      <c r="B1120" t="inlineStr">
        <is>
          <t>USD</t>
        </is>
      </c>
      <c r="C1120" t="n">
        <v>6.88255</v>
      </c>
    </row>
    <row r="1121">
      <c r="A1121" t="inlineStr">
        <is>
          <t>2026-03-01</t>
        </is>
      </c>
      <c r="B1121" t="inlineStr">
        <is>
          <t>EUR</t>
        </is>
      </c>
      <c r="C1121" t="n">
        <v>8.10228</v>
      </c>
    </row>
    <row r="1122">
      <c r="A1122" t="inlineStr">
        <is>
          <t>2026-03-01</t>
        </is>
      </c>
      <c r="B1122" t="inlineStr">
        <is>
          <t>JPY</t>
        </is>
      </c>
      <c r="C1122" t="n">
        <v>0.045525</v>
      </c>
    </row>
    <row r="1123">
      <c r="A1123" t="inlineStr">
        <is>
          <t>2026-03-01</t>
        </is>
      </c>
      <c r="B1123" t="inlineStr">
        <is>
          <t>USD</t>
        </is>
      </c>
      <c r="C1123" t="n">
        <v>6.88255</v>
      </c>
    </row>
    <row r="1124">
      <c r="A1124" t="inlineStr">
        <is>
          <t>2026-03-02</t>
        </is>
      </c>
      <c r="B1124" t="inlineStr">
        <is>
          <t>EUR</t>
        </is>
      </c>
      <c r="C1124" t="n">
        <v>8.04467</v>
      </c>
    </row>
    <row r="1125">
      <c r="A1125" t="inlineStr">
        <is>
          <t>2026-03-02</t>
        </is>
      </c>
      <c r="B1125" t="inlineStr">
        <is>
          <t>HKD</t>
        </is>
      </c>
      <c r="C1125" t="n">
        <v>0.87986</v>
      </c>
    </row>
    <row r="1126">
      <c r="A1126" t="inlineStr">
        <is>
          <t>2026-03-02</t>
        </is>
      </c>
      <c r="B1126" t="inlineStr">
        <is>
          <t>JPY</t>
        </is>
      </c>
      <c r="C1126" t="n">
        <v>0.046014</v>
      </c>
    </row>
    <row r="1127">
      <c r="A1127" t="inlineStr">
        <is>
          <t>2026-03-02</t>
        </is>
      </c>
      <c r="B1127" t="inlineStr">
        <is>
          <t>USD</t>
        </is>
      </c>
      <c r="C1127" t="n">
        <v>6.88255</v>
      </c>
    </row>
    <row r="1128">
      <c r="A1128" t="inlineStr">
        <is>
          <t>2026-03-03</t>
        </is>
      </c>
      <c r="B1128" t="inlineStr">
        <is>
          <t>EUR</t>
        </is>
      </c>
      <c r="C1128" t="n">
        <v>8.01418</v>
      </c>
    </row>
    <row r="1129">
      <c r="A1129" t="inlineStr">
        <is>
          <t>2026-03-03</t>
        </is>
      </c>
      <c r="B1129" t="inlineStr">
        <is>
          <t>HKD</t>
        </is>
      </c>
      <c r="C1129" t="n">
        <v>0.88395</v>
      </c>
    </row>
    <row r="1130">
      <c r="A1130" t="inlineStr">
        <is>
          <t>2026-03-03</t>
        </is>
      </c>
      <c r="B1130" t="inlineStr">
        <is>
          <t>JPY</t>
        </is>
      </c>
      <c r="C1130" t="n">
        <v>0.046334</v>
      </c>
    </row>
    <row r="1131">
      <c r="A1131" t="inlineStr">
        <is>
          <t>2026-03-03</t>
        </is>
      </c>
      <c r="B1131" t="inlineStr">
        <is>
          <t>USD</t>
        </is>
      </c>
      <c r="C1131" t="n">
        <v>6.90015</v>
      </c>
    </row>
    <row r="1132">
      <c r="A1132" t="inlineStr">
        <is>
          <t>2026-03-04</t>
        </is>
      </c>
      <c r="B1132" t="inlineStr">
        <is>
          <t>EUR</t>
        </is>
      </c>
      <c r="C1132" t="n">
        <v>8.02403</v>
      </c>
    </row>
    <row r="1133">
      <c r="A1133" t="inlineStr">
        <is>
          <t>2026-03-04</t>
        </is>
      </c>
      <c r="B1133" t="inlineStr">
        <is>
          <t>HKD</t>
        </is>
      </c>
      <c r="C1133" t="n">
        <v>0.88214</v>
      </c>
    </row>
    <row r="1134">
      <c r="A1134" t="inlineStr">
        <is>
          <t>2026-03-04</t>
        </is>
      </c>
      <c r="B1134" t="inlineStr">
        <is>
          <t>JPY</t>
        </is>
      </c>
      <c r="C1134" t="n">
        <v>0.046637</v>
      </c>
    </row>
    <row r="1135">
      <c r="A1135" t="inlineStr">
        <is>
          <t>2026-03-04</t>
        </is>
      </c>
      <c r="B1135" t="inlineStr">
        <is>
          <t>USD</t>
        </is>
      </c>
      <c r="C1135" t="n">
        <v>6.89735</v>
      </c>
    </row>
    <row r="1136">
      <c r="A1136" t="inlineStr">
        <is>
          <t>2026-03-05</t>
        </is>
      </c>
      <c r="B1136" t="inlineStr">
        <is>
          <t>EUR</t>
        </is>
      </c>
      <c r="C1136" t="n">
        <v>7.99994</v>
      </c>
    </row>
    <row r="1137">
      <c r="A1137" t="inlineStr">
        <is>
          <t>2026-03-05</t>
        </is>
      </c>
      <c r="B1137" t="inlineStr">
        <is>
          <t>HKD</t>
        </is>
      </c>
      <c r="C1137" t="n">
        <v>0.88121</v>
      </c>
    </row>
    <row r="1138">
      <c r="A1138" t="inlineStr">
        <is>
          <t>2026-03-05</t>
        </is>
      </c>
      <c r="B1138" t="inlineStr">
        <is>
          <t>JPY</t>
        </is>
      </c>
      <c r="C1138" t="n">
        <v>0.046888</v>
      </c>
    </row>
    <row r="1139">
      <c r="A1139" t="inlineStr">
        <is>
          <t>2026-03-05</t>
        </is>
      </c>
      <c r="B1139" t="inlineStr">
        <is>
          <t>USD</t>
        </is>
      </c>
      <c r="C1139" t="n">
        <v>6.89145</v>
      </c>
    </row>
    <row r="1140">
      <c r="A1140" t="inlineStr">
        <is>
          <t>2026-03-06</t>
        </is>
      </c>
      <c r="B1140" t="inlineStr">
        <is>
          <t>EUR</t>
        </is>
      </c>
      <c r="C1140" t="n">
        <v>8.013859999999999</v>
      </c>
    </row>
    <row r="1141">
      <c r="A1141" t="inlineStr">
        <is>
          <t>2026-03-06</t>
        </is>
      </c>
      <c r="B1141" t="inlineStr">
        <is>
          <t>HKD</t>
        </is>
      </c>
      <c r="C1141" t="n">
        <v>0.88154</v>
      </c>
    </row>
    <row r="1142">
      <c r="A1142" t="inlineStr">
        <is>
          <t>2026-03-06</t>
        </is>
      </c>
      <c r="B1142" t="inlineStr">
        <is>
          <t>JPY</t>
        </is>
      </c>
      <c r="C1142" t="n">
        <v>0.0469</v>
      </c>
    </row>
    <row r="1143">
      <c r="A1143" t="inlineStr">
        <is>
          <t>2026-03-06</t>
        </is>
      </c>
      <c r="B1143" t="inlineStr">
        <is>
          <t>USD</t>
        </is>
      </c>
      <c r="C1143" t="n">
        <v>6.8975</v>
      </c>
    </row>
    <row r="1144">
      <c r="A1144" t="inlineStr">
        <is>
          <t>2026-03-09</t>
        </is>
      </c>
      <c r="B1144" t="inlineStr">
        <is>
          <t>EUR</t>
        </is>
      </c>
      <c r="C1144" t="n">
        <v>8.03768</v>
      </c>
    </row>
    <row r="1145">
      <c r="A1145" t="inlineStr">
        <is>
          <t>2026-03-09</t>
        </is>
      </c>
      <c r="B1145" t="inlineStr">
        <is>
          <t>HKD</t>
        </is>
      </c>
      <c r="C1145" t="n">
        <v>0.883</v>
      </c>
    </row>
    <row r="1146">
      <c r="A1146" t="inlineStr">
        <is>
          <t>2026-03-09</t>
        </is>
      </c>
      <c r="B1146" t="inlineStr">
        <is>
          <t>JPY</t>
        </is>
      </c>
      <c r="C1146" t="n">
        <v>0.047347</v>
      </c>
    </row>
    <row r="1147">
      <c r="A1147" t="inlineStr">
        <is>
          <t>2026-03-09</t>
        </is>
      </c>
      <c r="B1147" t="inlineStr">
        <is>
          <t>USD</t>
        </is>
      </c>
      <c r="C1147" t="n">
        <v>6.9073</v>
      </c>
    </row>
    <row r="1148">
      <c r="A1148" t="inlineStr">
        <is>
          <t>2026-03-10</t>
        </is>
      </c>
      <c r="B1148" t="inlineStr">
        <is>
          <t>EUR</t>
        </is>
      </c>
      <c r="C1148" t="n">
        <v>7.98512</v>
      </c>
    </row>
    <row r="1149">
      <c r="A1149" t="inlineStr">
        <is>
          <t>2026-03-10</t>
        </is>
      </c>
      <c r="B1149" t="inlineStr">
        <is>
          <t>HKD</t>
        </is>
      </c>
      <c r="C1149" t="n">
        <v>0.87878</v>
      </c>
    </row>
    <row r="1150">
      <c r="A1150" t="inlineStr">
        <is>
          <t>2026-03-10</t>
        </is>
      </c>
      <c r="B1150" t="inlineStr">
        <is>
          <t>JPY</t>
        </is>
      </c>
      <c r="C1150" t="n">
        <v>0.046962</v>
      </c>
    </row>
    <row r="1151">
      <c r="A1151" t="inlineStr">
        <is>
          <t>2026-03-10</t>
        </is>
      </c>
      <c r="B1151" t="inlineStr">
        <is>
          <t>USD</t>
        </is>
      </c>
      <c r="C1151" t="n">
        <v>6.8772</v>
      </c>
    </row>
    <row r="1152">
      <c r="A1152" t="inlineStr">
        <is>
          <t>2026-03-11</t>
        </is>
      </c>
      <c r="B1152" t="inlineStr">
        <is>
          <t>EUR</t>
        </is>
      </c>
      <c r="C1152" t="n">
        <v>7.94219</v>
      </c>
    </row>
    <row r="1153">
      <c r="A1153" t="inlineStr">
        <is>
          <t>2026-03-11</t>
        </is>
      </c>
      <c r="B1153" t="inlineStr">
        <is>
          <t>HKD</t>
        </is>
      </c>
      <c r="C1153" t="n">
        <v>0.87729</v>
      </c>
    </row>
    <row r="1154">
      <c r="A1154" t="inlineStr">
        <is>
          <t>2026-03-11</t>
        </is>
      </c>
      <c r="B1154" t="inlineStr">
        <is>
          <t>JPY</t>
        </is>
      </c>
      <c r="C1154" t="n">
        <v>0.046946</v>
      </c>
    </row>
    <row r="1155">
      <c r="A1155" t="inlineStr">
        <is>
          <t>2026-03-11</t>
        </is>
      </c>
      <c r="B1155" t="inlineStr">
        <is>
          <t>USD</t>
        </is>
      </c>
      <c r="C1155" t="n">
        <v>6.86625</v>
      </c>
    </row>
    <row r="1156">
      <c r="A1156" t="inlineStr">
        <is>
          <t>2026-03-12</t>
        </is>
      </c>
      <c r="B1156" t="inlineStr">
        <is>
          <t>EUR</t>
        </is>
      </c>
      <c r="C1156" t="n">
        <v>7.90719</v>
      </c>
    </row>
    <row r="1157">
      <c r="A1157" t="inlineStr">
        <is>
          <t>2026-03-12</t>
        </is>
      </c>
      <c r="B1157" t="inlineStr">
        <is>
          <t>HKD</t>
        </is>
      </c>
      <c r="C1157" t="n">
        <v>0.87759</v>
      </c>
    </row>
    <row r="1158">
      <c r="A1158" t="inlineStr">
        <is>
          <t>2026-03-12</t>
        </is>
      </c>
      <c r="B1158" t="inlineStr">
        <is>
          <t>JPY</t>
        </is>
      </c>
      <c r="C1158" t="n">
        <v>0.046948</v>
      </c>
    </row>
    <row r="1159">
      <c r="A1159" t="inlineStr">
        <is>
          <t>2026-03-12</t>
        </is>
      </c>
      <c r="B1159" t="inlineStr">
        <is>
          <t>USD</t>
        </is>
      </c>
      <c r="C1159" t="n">
        <v>6.86895</v>
      </c>
    </row>
    <row r="1160">
      <c r="A1160" t="inlineStr">
        <is>
          <t>2026-03-13</t>
        </is>
      </c>
      <c r="B1160" t="inlineStr">
        <is>
          <t>EUR</t>
        </is>
      </c>
      <c r="C1160" t="n">
        <v>7.8735</v>
      </c>
    </row>
    <row r="1161">
      <c r="A1161" t="inlineStr">
        <is>
          <t>2026-03-13</t>
        </is>
      </c>
      <c r="B1161" t="inlineStr">
        <is>
          <t>HKD</t>
        </is>
      </c>
      <c r="C1161" t="n">
        <v>0.88084</v>
      </c>
    </row>
    <row r="1162">
      <c r="A1162" t="inlineStr">
        <is>
          <t>2026-03-13</t>
        </is>
      </c>
      <c r="B1162" t="inlineStr">
        <is>
          <t>JPY</t>
        </is>
      </c>
      <c r="C1162" t="n">
        <v>0.04706</v>
      </c>
    </row>
    <row r="1163">
      <c r="A1163" t="inlineStr">
        <is>
          <t>2026-03-13</t>
        </is>
      </c>
      <c r="B1163" t="inlineStr">
        <is>
          <t>USD</t>
        </is>
      </c>
      <c r="C1163" t="n">
        <v>6.8966</v>
      </c>
    </row>
    <row r="1164">
      <c r="A1164" t="inlineStr">
        <is>
          <t>2026-03-16</t>
        </is>
      </c>
      <c r="B1164" t="inlineStr">
        <is>
          <t>EUR</t>
        </is>
      </c>
      <c r="C1164" t="n">
        <v>7.93368</v>
      </c>
    </row>
    <row r="1165">
      <c r="A1165" t="inlineStr">
        <is>
          <t>2026-03-16</t>
        </is>
      </c>
      <c r="B1165" t="inlineStr">
        <is>
          <t>HKD</t>
        </is>
      </c>
      <c r="C1165" t="n">
        <v>0.88058</v>
      </c>
    </row>
    <row r="1166">
      <c r="A1166" t="inlineStr">
        <is>
          <t>2026-03-16</t>
        </is>
      </c>
      <c r="B1166" t="inlineStr">
        <is>
          <t>JPY</t>
        </is>
      </c>
      <c r="C1166" t="n">
        <v>0.04716</v>
      </c>
    </row>
    <row r="1167">
      <c r="A1167" t="inlineStr">
        <is>
          <t>2026-03-16</t>
        </is>
      </c>
      <c r="B1167" t="inlineStr">
        <is>
          <t>USD</t>
        </is>
      </c>
      <c r="C1167" t="n">
        <v>6.89615</v>
      </c>
    </row>
    <row r="1168">
      <c r="A1168" t="inlineStr">
        <is>
          <t>2026-03-17</t>
        </is>
      </c>
      <c r="B1168" t="inlineStr">
        <is>
          <t>EUR</t>
        </is>
      </c>
      <c r="C1168" t="n">
        <v>7.94708</v>
      </c>
    </row>
    <row r="1169">
      <c r="A1169" t="inlineStr">
        <is>
          <t>2026-03-17</t>
        </is>
      </c>
      <c r="B1169" t="inlineStr">
        <is>
          <t>HKD</t>
        </is>
      </c>
      <c r="C1169" t="n">
        <v>0.87876</v>
      </c>
    </row>
    <row r="1170">
      <c r="A1170" t="inlineStr">
        <is>
          <t>2026-03-17</t>
        </is>
      </c>
      <c r="B1170" t="inlineStr">
        <is>
          <t>JPY</t>
        </is>
      </c>
      <c r="C1170" t="n">
        <v>0.046852</v>
      </c>
    </row>
    <row r="1171">
      <c r="A1171" t="inlineStr">
        <is>
          <t>2026-03-17</t>
        </is>
      </c>
      <c r="B1171" t="inlineStr">
        <is>
          <t>USD</t>
        </is>
      </c>
      <c r="C1171" t="n">
        <v>6.88685</v>
      </c>
    </row>
    <row r="1172">
      <c r="A1172" t="inlineStr">
        <is>
          <t>2026-03-18</t>
        </is>
      </c>
      <c r="B1172" t="inlineStr">
        <is>
          <t>EUR</t>
        </is>
      </c>
      <c r="C1172" t="n">
        <v>7.87085</v>
      </c>
    </row>
    <row r="1173">
      <c r="A1173" t="inlineStr">
        <is>
          <t>2026-03-18</t>
        </is>
      </c>
      <c r="B1173" t="inlineStr">
        <is>
          <t>HKD</t>
        </is>
      </c>
      <c r="C1173" t="n">
        <v>0.87671</v>
      </c>
    </row>
    <row r="1174">
      <c r="A1174" t="inlineStr">
        <is>
          <t>2026-03-18</t>
        </is>
      </c>
      <c r="B1174" t="inlineStr">
        <is>
          <t>JPY</t>
        </is>
      </c>
      <c r="C1174" t="n">
        <v>0.046803</v>
      </c>
    </row>
    <row r="1175">
      <c r="A1175" t="inlineStr">
        <is>
          <t>2026-03-18</t>
        </is>
      </c>
      <c r="B1175" t="inlineStr">
        <is>
          <t>USD</t>
        </is>
      </c>
      <c r="C1175" t="n">
        <v>6.8729</v>
      </c>
    </row>
    <row r="1176">
      <c r="A1176" t="inlineStr">
        <is>
          <t>2026-03-19</t>
        </is>
      </c>
      <c r="B1176" t="inlineStr">
        <is>
          <t>EUR</t>
        </is>
      </c>
      <c r="C1176" t="n">
        <v>7.99693</v>
      </c>
    </row>
    <row r="1177">
      <c r="A1177" t="inlineStr">
        <is>
          <t>2026-03-19</t>
        </is>
      </c>
      <c r="B1177" t="inlineStr">
        <is>
          <t>HKD</t>
        </is>
      </c>
      <c r="C1177" t="n">
        <v>0.88073</v>
      </c>
    </row>
    <row r="1178">
      <c r="A1178" t="inlineStr">
        <is>
          <t>2026-03-19</t>
        </is>
      </c>
      <c r="B1178" t="inlineStr">
        <is>
          <t>JPY</t>
        </is>
      </c>
      <c r="C1178" t="n">
        <v>0.04685</v>
      </c>
    </row>
    <row r="1179">
      <c r="A1179" t="inlineStr">
        <is>
          <t>2026-03-19</t>
        </is>
      </c>
      <c r="B1179" t="inlineStr">
        <is>
          <t>USD</t>
        </is>
      </c>
      <c r="C1179" t="n">
        <v>6.90045</v>
      </c>
    </row>
    <row r="1180">
      <c r="A1180" t="inlineStr">
        <is>
          <t>2026-03-20</t>
        </is>
      </c>
      <c r="B1180" t="inlineStr">
        <is>
          <t>EUR</t>
        </is>
      </c>
      <c r="C1180" t="n">
        <v>7.96825</v>
      </c>
    </row>
    <row r="1181">
      <c r="A1181" t="inlineStr">
        <is>
          <t>2026-03-20</t>
        </is>
      </c>
      <c r="B1181" t="inlineStr">
        <is>
          <t>HKD</t>
        </is>
      </c>
      <c r="C1181" t="n">
        <v>0.87892</v>
      </c>
    </row>
    <row r="1182">
      <c r="A1182" t="inlineStr">
        <is>
          <t>2026-03-20</t>
        </is>
      </c>
      <c r="B1182" t="inlineStr">
        <is>
          <t>JPY</t>
        </is>
      </c>
      <c r="C1182" t="n">
        <v>0.046802</v>
      </c>
    </row>
    <row r="1183">
      <c r="A1183" t="inlineStr">
        <is>
          <t>2026-03-20</t>
        </is>
      </c>
      <c r="B1183" t="inlineStr">
        <is>
          <t>USD</t>
        </is>
      </c>
      <c r="C1183" t="n">
        <v>6.8864</v>
      </c>
    </row>
    <row r="1184">
      <c r="A1184" t="inlineStr">
        <is>
          <t>2026-03-23</t>
        </is>
      </c>
      <c r="B1184" t="inlineStr">
        <is>
          <t>EUR</t>
        </is>
      </c>
      <c r="C1184" t="n">
        <v>7.9912</v>
      </c>
    </row>
    <row r="1185">
      <c r="A1185" t="inlineStr">
        <is>
          <t>2026-03-23</t>
        </is>
      </c>
      <c r="B1185" t="inlineStr">
        <is>
          <t>HKD</t>
        </is>
      </c>
      <c r="C1185" t="n">
        <v>0.87827</v>
      </c>
    </row>
    <row r="1186">
      <c r="A1186" t="inlineStr">
        <is>
          <t>2026-03-23</t>
        </is>
      </c>
      <c r="B1186" t="inlineStr">
        <is>
          <t>JPY</t>
        </is>
      </c>
      <c r="C1186" t="n">
        <v>0.046698</v>
      </c>
    </row>
    <row r="1187">
      <c r="A1187" t="inlineStr">
        <is>
          <t>2026-03-23</t>
        </is>
      </c>
      <c r="B1187" t="inlineStr">
        <is>
          <t>USD</t>
        </is>
      </c>
      <c r="C1187" t="n">
        <v>6.88125</v>
      </c>
    </row>
    <row r="1188">
      <c r="A1188" t="inlineStr">
        <is>
          <t>2026-03-24</t>
        </is>
      </c>
      <c r="B1188" t="inlineStr">
        <is>
          <t>EUR</t>
        </is>
      </c>
      <c r="C1188" t="n">
        <v>8.00047</v>
      </c>
    </row>
    <row r="1189">
      <c r="A1189" t="inlineStr">
        <is>
          <t>2026-03-24</t>
        </is>
      </c>
      <c r="B1189" t="inlineStr">
        <is>
          <t>HKD</t>
        </is>
      </c>
      <c r="C1189" t="n">
        <v>0.8804</v>
      </c>
    </row>
    <row r="1190">
      <c r="A1190" t="inlineStr">
        <is>
          <t>2026-03-24</t>
        </is>
      </c>
      <c r="B1190" t="inlineStr">
        <is>
          <t>JPY</t>
        </is>
      </c>
      <c r="C1190" t="n">
        <v>0.046709</v>
      </c>
    </row>
    <row r="1191">
      <c r="A1191" t="inlineStr">
        <is>
          <t>2026-03-24</t>
        </is>
      </c>
      <c r="B1191" t="inlineStr">
        <is>
          <t>USD</t>
        </is>
      </c>
      <c r="C1191" t="n">
        <v>6.8925</v>
      </c>
    </row>
    <row r="1192">
      <c r="A1192" t="inlineStr">
        <is>
          <t>2026-03-25</t>
        </is>
      </c>
      <c r="B1192" t="inlineStr">
        <is>
          <t>EUR</t>
        </is>
      </c>
      <c r="C1192" t="n">
        <v>7.97721</v>
      </c>
    </row>
    <row r="1193">
      <c r="A1193" t="inlineStr">
        <is>
          <t>2026-03-25</t>
        </is>
      </c>
      <c r="B1193" t="inlineStr">
        <is>
          <t>HKD</t>
        </is>
      </c>
      <c r="C1193" t="n">
        <v>0.88261</v>
      </c>
    </row>
    <row r="1194">
      <c r="A1194" t="inlineStr">
        <is>
          <t>2026-03-25</t>
        </is>
      </c>
      <c r="B1194" t="inlineStr">
        <is>
          <t>JPY</t>
        </is>
      </c>
      <c r="C1194" t="n">
        <v>0.046712</v>
      </c>
    </row>
    <row r="1195">
      <c r="A1195" t="inlineStr">
        <is>
          <t>2026-03-25</t>
        </is>
      </c>
      <c r="B1195" t="inlineStr">
        <is>
          <t>USD</t>
        </is>
      </c>
      <c r="C1195" t="n">
        <v>6.9016</v>
      </c>
    </row>
    <row r="1196">
      <c r="A1196" t="inlineStr">
        <is>
          <t>2026-03-26</t>
        </is>
      </c>
      <c r="B1196" t="inlineStr">
        <is>
          <t>EUR</t>
        </is>
      </c>
      <c r="C1196" t="n">
        <v>7.96752</v>
      </c>
    </row>
    <row r="1197">
      <c r="A1197" t="inlineStr">
        <is>
          <t>2026-03-26</t>
        </is>
      </c>
      <c r="B1197" t="inlineStr">
        <is>
          <t>HKD</t>
        </is>
      </c>
      <c r="C1197" t="n">
        <v>0.88304</v>
      </c>
    </row>
    <row r="1198">
      <c r="A1198" t="inlineStr">
        <is>
          <t>2026-03-26</t>
        </is>
      </c>
      <c r="B1198" t="inlineStr">
        <is>
          <t>JPY</t>
        </is>
      </c>
      <c r="C1198" t="n">
        <v>0.047009</v>
      </c>
    </row>
    <row r="1199">
      <c r="A1199" t="inlineStr">
        <is>
          <t>2026-03-26</t>
        </is>
      </c>
      <c r="B1199" t="inlineStr">
        <is>
          <t>USD</t>
        </is>
      </c>
      <c r="C1199" t="n">
        <v>6.91145</v>
      </c>
    </row>
    <row r="1200">
      <c r="A1200" t="inlineStr">
        <is>
          <t>2026-03-27</t>
        </is>
      </c>
      <c r="B1200" t="inlineStr">
        <is>
          <t>EUR</t>
        </is>
      </c>
      <c r="C1200" t="n">
        <v>7.95548</v>
      </c>
    </row>
    <row r="1201">
      <c r="A1201" t="inlineStr">
        <is>
          <t>2026-03-27</t>
        </is>
      </c>
      <c r="B1201" t="inlineStr">
        <is>
          <t>HKD</t>
        </is>
      </c>
      <c r="C1201" t="n">
        <v>0.88234</v>
      </c>
    </row>
    <row r="1202">
      <c r="A1202" t="inlineStr">
        <is>
          <t>2026-03-27</t>
        </is>
      </c>
      <c r="B1202" t="inlineStr">
        <is>
          <t>JPY</t>
        </is>
      </c>
      <c r="C1202" t="n">
        <v>0.046908</v>
      </c>
    </row>
    <row r="1203">
      <c r="A1203" t="inlineStr">
        <is>
          <t>2026-03-27</t>
        </is>
      </c>
      <c r="B1203" t="inlineStr">
        <is>
          <t>USD</t>
        </is>
      </c>
      <c r="C1203" t="n">
        <v>6.9118</v>
      </c>
    </row>
    <row r="1204">
      <c r="A1204" t="inlineStr">
        <is>
          <t>2026-03-30</t>
        </is>
      </c>
      <c r="B1204" t="inlineStr">
        <is>
          <t>EUR</t>
        </is>
      </c>
      <c r="C1204" t="n">
        <v>7.92582</v>
      </c>
    </row>
    <row r="1205">
      <c r="A1205" t="inlineStr">
        <is>
          <t>2026-03-30</t>
        </is>
      </c>
      <c r="B1205" t="inlineStr">
        <is>
          <t>HKD</t>
        </is>
      </c>
      <c r="C1205" t="n">
        <v>0.88204</v>
      </c>
    </row>
    <row r="1206">
      <c r="A1206" t="inlineStr">
        <is>
          <t>2026-03-30</t>
        </is>
      </c>
      <c r="B1206" t="inlineStr">
        <is>
          <t>JPY</t>
        </is>
      </c>
      <c r="C1206" t="n">
        <v>0.046988</v>
      </c>
    </row>
    <row r="1207">
      <c r="A1207" t="inlineStr">
        <is>
          <t>2026-03-30</t>
        </is>
      </c>
      <c r="B1207" t="inlineStr">
        <is>
          <t>USD</t>
        </is>
      </c>
      <c r="C1207" t="n">
        <v>6.91245</v>
      </c>
    </row>
    <row r="1208">
      <c r="A1208" t="inlineStr">
        <is>
          <t>2026-03-31</t>
        </is>
      </c>
      <c r="B1208" t="inlineStr">
        <is>
          <t>EUR</t>
        </is>
      </c>
      <c r="C1208" t="n">
        <v>7.97076</v>
      </c>
    </row>
    <row r="1209">
      <c r="A1209" t="inlineStr">
        <is>
          <t>2026-03-31</t>
        </is>
      </c>
      <c r="B1209" t="inlineStr">
        <is>
          <t>HKD</t>
        </is>
      </c>
      <c r="C1209" t="n">
        <v>0.87985</v>
      </c>
    </row>
    <row r="1210">
      <c r="A1210" t="inlineStr">
        <is>
          <t>2026-03-31</t>
        </is>
      </c>
      <c r="B1210" t="inlineStr">
        <is>
          <t>JPY</t>
        </is>
      </c>
      <c r="C1210" t="n">
        <v>0.046747</v>
      </c>
    </row>
    <row r="1211">
      <c r="A1211" t="inlineStr">
        <is>
          <t>2026-03-31</t>
        </is>
      </c>
      <c r="B1211" t="inlineStr">
        <is>
          <t>USD</t>
        </is>
      </c>
      <c r="C1211" t="n">
        <v>6.899</v>
      </c>
    </row>
    <row r="1212">
      <c r="A1212" t="inlineStr">
        <is>
          <t>2026-04-01</t>
        </is>
      </c>
      <c r="B1212" t="inlineStr">
        <is>
          <t>EUR</t>
        </is>
      </c>
      <c r="C1212" t="n">
        <v>7.96443</v>
      </c>
    </row>
    <row r="1213">
      <c r="A1213" t="inlineStr">
        <is>
          <t>2026-04-01</t>
        </is>
      </c>
      <c r="B1213" t="inlineStr">
        <is>
          <t>HKD</t>
        </is>
      </c>
      <c r="C1213" t="n">
        <v>0.87674</v>
      </c>
    </row>
    <row r="1214">
      <c r="A1214" t="inlineStr">
        <is>
          <t>2026-04-01</t>
        </is>
      </c>
      <c r="B1214" t="inlineStr">
        <is>
          <t>JPY</t>
        </is>
      </c>
      <c r="C1214" t="n">
        <v>0.047077</v>
      </c>
    </row>
    <row r="1215">
      <c r="A1215" t="inlineStr">
        <is>
          <t>2026-04-01</t>
        </is>
      </c>
      <c r="B1215" t="inlineStr">
        <is>
          <t>USD</t>
        </is>
      </c>
      <c r="C1215" t="n">
        <v>6.8727</v>
      </c>
    </row>
    <row r="1216">
      <c r="A1216" t="inlineStr">
        <is>
          <t>2026-04-02</t>
        </is>
      </c>
      <c r="B1216" t="inlineStr">
        <is>
          <t>EUR</t>
        </is>
      </c>
      <c r="C1216" t="n">
        <v>7.94605</v>
      </c>
    </row>
    <row r="1217">
      <c r="A1217" t="inlineStr">
        <is>
          <t>2026-04-02</t>
        </is>
      </c>
      <c r="B1217" t="inlineStr">
        <is>
          <t>HKD</t>
        </is>
      </c>
      <c r="C1217" t="n">
        <v>0.87846</v>
      </c>
    </row>
    <row r="1218">
      <c r="A1218" t="inlineStr">
        <is>
          <t>2026-04-02</t>
        </is>
      </c>
      <c r="B1218" t="inlineStr">
        <is>
          <t>JPY</t>
        </is>
      </c>
      <c r="C1218" t="n">
        <v>0.047522</v>
      </c>
    </row>
    <row r="1219">
      <c r="A1219" t="inlineStr">
        <is>
          <t>2026-04-02</t>
        </is>
      </c>
      <c r="B1219" t="inlineStr">
        <is>
          <t>USD</t>
        </is>
      </c>
      <c r="C1219" t="n">
        <v>6.88655</v>
      </c>
    </row>
    <row r="1220">
      <c r="A1220" t="inlineStr">
        <is>
          <t>2026-04-03</t>
        </is>
      </c>
      <c r="B1220" t="inlineStr">
        <is>
          <t>EUR</t>
        </is>
      </c>
      <c r="C1220" t="n">
        <v>7.92669</v>
      </c>
    </row>
    <row r="1221">
      <c r="A1221" t="inlineStr">
        <is>
          <t>2026-04-03</t>
        </is>
      </c>
      <c r="B1221" t="inlineStr">
        <is>
          <t>HKD</t>
        </is>
      </c>
      <c r="C1221" t="n">
        <v>0.87805</v>
      </c>
    </row>
    <row r="1222">
      <c r="A1222" t="inlineStr">
        <is>
          <t>2026-04-03</t>
        </is>
      </c>
      <c r="B1222" t="inlineStr">
        <is>
          <t>JPY</t>
        </is>
      </c>
      <c r="C1222" t="n">
        <v>0.047407</v>
      </c>
    </row>
    <row r="1223">
      <c r="A1223" t="inlineStr">
        <is>
          <t>2026-04-03</t>
        </is>
      </c>
      <c r="B1223" t="inlineStr">
        <is>
          <t>USD</t>
        </is>
      </c>
      <c r="C1223" t="n">
        <v>6.8826</v>
      </c>
    </row>
    <row r="1224">
      <c r="A1224" t="inlineStr">
        <is>
          <t>2026-04-06</t>
        </is>
      </c>
      <c r="B1224" t="inlineStr">
        <is>
          <t>EUR</t>
        </is>
      </c>
      <c r="C1224" t="n">
        <v>7.94355</v>
      </c>
    </row>
    <row r="1225">
      <c r="A1225" t="inlineStr">
        <is>
          <t>2026-04-06</t>
        </is>
      </c>
      <c r="B1225" t="inlineStr">
        <is>
          <t>HKD</t>
        </is>
      </c>
      <c r="C1225" t="n">
        <v>0.8781</v>
      </c>
    </row>
    <row r="1226">
      <c r="A1226" t="inlineStr">
        <is>
          <t>2026-04-06</t>
        </is>
      </c>
      <c r="B1226" t="inlineStr">
        <is>
          <t>JPY</t>
        </is>
      </c>
      <c r="C1226" t="n">
        <v>0.046964</v>
      </c>
    </row>
    <row r="1227">
      <c r="A1227" t="inlineStr">
        <is>
          <t>2026-04-06</t>
        </is>
      </c>
      <c r="B1227" t="inlineStr">
        <is>
          <t>USD</t>
        </is>
      </c>
      <c r="C1227" t="n">
        <v>6.8826</v>
      </c>
    </row>
    <row r="1228">
      <c r="A1228" t="inlineStr">
        <is>
          <t>2026-04-07</t>
        </is>
      </c>
      <c r="B1228" t="inlineStr">
        <is>
          <t>EUR</t>
        </is>
      </c>
      <c r="C1228" t="n">
        <v>7.95116</v>
      </c>
    </row>
    <row r="1229">
      <c r="A1229" t="inlineStr">
        <is>
          <t>2026-04-07</t>
        </is>
      </c>
      <c r="B1229" t="inlineStr">
        <is>
          <t>HKD</t>
        </is>
      </c>
      <c r="C1229" t="n">
        <v>0.87497</v>
      </c>
    </row>
    <row r="1230">
      <c r="A1230" t="inlineStr">
        <is>
          <t>2026-04-07</t>
        </is>
      </c>
      <c r="B1230" t="inlineStr">
        <is>
          <t>JPY</t>
        </is>
      </c>
      <c r="C1230" t="n">
        <v>0.046596</v>
      </c>
    </row>
    <row r="1231">
      <c r="A1231" t="inlineStr">
        <is>
          <t>2026-04-07</t>
        </is>
      </c>
      <c r="B1231" t="inlineStr">
        <is>
          <t>USD</t>
        </is>
      </c>
      <c r="C1231" t="n">
        <v>6.8574</v>
      </c>
    </row>
    <row r="1232">
      <c r="A1232" t="inlineStr">
        <is>
          <t>2026-04-08</t>
        </is>
      </c>
      <c r="B1232" t="inlineStr">
        <is>
          <t>EUR</t>
        </is>
      </c>
      <c r="C1232" t="n">
        <v>7.96548</v>
      </c>
    </row>
    <row r="1233">
      <c r="A1233" t="inlineStr">
        <is>
          <t>2026-04-08</t>
        </is>
      </c>
      <c r="B1233" t="inlineStr">
        <is>
          <t>HKD</t>
        </is>
      </c>
      <c r="C1233" t="n">
        <v>0.8718399999999999</v>
      </c>
    </row>
    <row r="1234">
      <c r="A1234" t="inlineStr">
        <is>
          <t>2026-04-08</t>
        </is>
      </c>
      <c r="B1234" t="inlineStr">
        <is>
          <t>JPY</t>
        </is>
      </c>
      <c r="C1234" t="n">
        <v>0.046568</v>
      </c>
    </row>
    <row r="1235">
      <c r="A1235" t="inlineStr">
        <is>
          <t>2026-04-08</t>
        </is>
      </c>
      <c r="B1235" t="inlineStr">
        <is>
          <t>USD</t>
        </is>
      </c>
      <c r="C1235" t="n">
        <v>6.8297</v>
      </c>
    </row>
    <row r="1236">
      <c r="A1236" t="inlineStr">
        <is>
          <t>2026-04-09</t>
        </is>
      </c>
      <c r="B1236" t="inlineStr">
        <is>
          <t>EUR</t>
        </is>
      </c>
      <c r="C1236" t="n">
        <v>7.99326</v>
      </c>
    </row>
    <row r="1237">
      <c r="A1237" t="inlineStr">
        <is>
          <t>2026-04-09</t>
        </is>
      </c>
      <c r="B1237" t="inlineStr">
        <is>
          <t>HKD</t>
        </is>
      </c>
      <c r="C1237" t="n">
        <v>0.87192</v>
      </c>
    </row>
    <row r="1238">
      <c r="A1238" t="inlineStr">
        <is>
          <t>2026-04-09</t>
        </is>
      </c>
      <c r="B1238" t="inlineStr">
        <is>
          <t>JPY</t>
        </is>
      </c>
      <c r="C1238" t="n">
        <v>0.046981</v>
      </c>
    </row>
    <row r="1239">
      <c r="A1239" t="inlineStr">
        <is>
          <t>2026-04-09</t>
        </is>
      </c>
      <c r="B1239" t="inlineStr">
        <is>
          <t>USD</t>
        </is>
      </c>
      <c r="C1239" t="n">
        <v>6.83185</v>
      </c>
    </row>
    <row r="1240">
      <c r="A1240" t="inlineStr">
        <is>
          <t>2026-04-10</t>
        </is>
      </c>
      <c r="B1240" t="inlineStr">
        <is>
          <t>EUR</t>
        </is>
      </c>
      <c r="C1240" t="n">
        <v>8.002420000000001</v>
      </c>
    </row>
    <row r="1241">
      <c r="A1241" t="inlineStr">
        <is>
          <t>2026-04-10</t>
        </is>
      </c>
      <c r="B1241" t="inlineStr">
        <is>
          <t>HKD</t>
        </is>
      </c>
      <c r="C1241" t="n">
        <v>0.87175</v>
      </c>
    </row>
    <row r="1242">
      <c r="A1242" t="inlineStr">
        <is>
          <t>2026-04-10</t>
        </is>
      </c>
      <c r="B1242" t="inlineStr">
        <is>
          <t>JPY</t>
        </is>
      </c>
      <c r="C1242" t="n">
        <v>0.046779</v>
      </c>
    </row>
    <row r="1243">
      <c r="A1243" t="inlineStr">
        <is>
          <t>2026-04-10</t>
        </is>
      </c>
      <c r="B1243" t="inlineStr">
        <is>
          <t>USD</t>
        </is>
      </c>
      <c r="C1243" t="n">
        <v>6.828</v>
      </c>
    </row>
    <row r="1244">
      <c r="A1244" t="inlineStr">
        <is>
          <t>2026-04-13</t>
        </is>
      </c>
      <c r="B1244" t="inlineStr">
        <is>
          <t>EUR</t>
        </is>
      </c>
      <c r="C1244" t="n">
        <v>8.03187</v>
      </c>
    </row>
    <row r="1245">
      <c r="A1245" t="inlineStr">
        <is>
          <t>2026-04-13</t>
        </is>
      </c>
      <c r="B1245" t="inlineStr">
        <is>
          <t>HKD</t>
        </is>
      </c>
      <c r="C1245" t="n">
        <v>0.87217</v>
      </c>
    </row>
    <row r="1246">
      <c r="A1246" t="inlineStr">
        <is>
          <t>2026-04-13</t>
        </is>
      </c>
      <c r="B1246" t="inlineStr">
        <is>
          <t>JPY</t>
        </is>
      </c>
      <c r="C1246" t="n">
        <v>0.046815</v>
      </c>
    </row>
    <row r="1247">
      <c r="A1247" t="inlineStr">
        <is>
          <t>2026-04-13</t>
        </is>
      </c>
      <c r="B1247" t="inlineStr">
        <is>
          <t>USD</t>
        </is>
      </c>
      <c r="C1247" t="n">
        <v>6.8304</v>
      </c>
    </row>
    <row r="1248">
      <c r="A1248" t="inlineStr">
        <is>
          <t>2026-04-14</t>
        </is>
      </c>
      <c r="B1248" t="inlineStr">
        <is>
          <t>EUR</t>
        </is>
      </c>
      <c r="C1248" t="n">
        <v>8.03992</v>
      </c>
    </row>
    <row r="1249">
      <c r="A1249" t="inlineStr">
        <is>
          <t>2026-04-14</t>
        </is>
      </c>
      <c r="B1249" t="inlineStr">
        <is>
          <t>HKD</t>
        </is>
      </c>
      <c r="C1249" t="n">
        <v>0.8700599999999999</v>
      </c>
    </row>
    <row r="1250">
      <c r="A1250" t="inlineStr">
        <is>
          <t>2026-04-14</t>
        </is>
      </c>
      <c r="B1250" t="inlineStr">
        <is>
          <t>JPY</t>
        </is>
      </c>
      <c r="C1250" t="n">
        <v>0.046576</v>
      </c>
    </row>
    <row r="1251">
      <c r="A1251" t="inlineStr">
        <is>
          <t>2026-04-14</t>
        </is>
      </c>
      <c r="B1251" t="inlineStr">
        <is>
          <t>USD</t>
        </is>
      </c>
      <c r="C1251" t="n">
        <v>6.8158</v>
      </c>
    </row>
    <row r="1252">
      <c r="A1252" t="inlineStr">
        <is>
          <t>2026-04-15</t>
        </is>
      </c>
      <c r="B1252" t="inlineStr">
        <is>
          <t>EUR</t>
        </is>
      </c>
      <c r="C1252" t="n">
        <v>8.04519</v>
      </c>
    </row>
    <row r="1253">
      <c r="A1253" t="inlineStr">
        <is>
          <t>2026-04-15</t>
        </is>
      </c>
      <c r="B1253" t="inlineStr">
        <is>
          <t>HKD</t>
        </is>
      </c>
      <c r="C1253" t="n">
        <v>0.87029</v>
      </c>
    </row>
    <row r="1254">
      <c r="A1254" t="inlineStr">
        <is>
          <t>2026-04-15</t>
        </is>
      </c>
      <c r="B1254" t="inlineStr">
        <is>
          <t>JPY</t>
        </is>
      </c>
      <c r="C1254" t="n">
        <v>0.046566</v>
      </c>
    </row>
    <row r="1255">
      <c r="A1255" t="inlineStr">
        <is>
          <t>2026-04-15</t>
        </is>
      </c>
      <c r="B1255" t="inlineStr">
        <is>
          <t>USD</t>
        </is>
      </c>
      <c r="C1255" t="n">
        <v>6.81825</v>
      </c>
    </row>
    <row r="1256">
      <c r="A1256" t="inlineStr">
        <is>
          <t>2026-04-16</t>
        </is>
      </c>
      <c r="B1256" t="inlineStr">
        <is>
          <t>EUR</t>
        </is>
      </c>
      <c r="C1256" t="n">
        <v>8.036630000000001</v>
      </c>
    </row>
    <row r="1257">
      <c r="A1257" t="inlineStr">
        <is>
          <t>2026-04-16</t>
        </is>
      </c>
      <c r="B1257" t="inlineStr">
        <is>
          <t>HKD</t>
        </is>
      </c>
      <c r="C1257" t="n">
        <v>0.87163</v>
      </c>
    </row>
    <row r="1258">
      <c r="A1258" t="inlineStr">
        <is>
          <t>2026-04-16</t>
        </is>
      </c>
      <c r="B1258" t="inlineStr">
        <is>
          <t>JPY</t>
        </is>
      </c>
      <c r="C1258" t="n">
        <v>0.04658</v>
      </c>
    </row>
    <row r="1259">
      <c r="A1259" t="inlineStr">
        <is>
          <t>2026-04-16</t>
        </is>
      </c>
      <c r="B1259" t="inlineStr">
        <is>
          <t>USD</t>
        </is>
      </c>
      <c r="C1259" t="n">
        <v>6.8214</v>
      </c>
    </row>
    <row r="1260">
      <c r="A1260" t="inlineStr">
        <is>
          <t>2026-04-17</t>
        </is>
      </c>
      <c r="B1260" t="inlineStr">
        <is>
          <t>EUR</t>
        </is>
      </c>
      <c r="C1260" t="n">
        <v>8.01994</v>
      </c>
    </row>
    <row r="1261">
      <c r="A1261" t="inlineStr">
        <is>
          <t>2026-04-17</t>
        </is>
      </c>
      <c r="B1261" t="inlineStr">
        <is>
          <t>HKD</t>
        </is>
      </c>
      <c r="C1261" t="n">
        <v>0.87037</v>
      </c>
    </row>
    <row r="1262">
      <c r="A1262" t="inlineStr">
        <is>
          <t>2026-04-17</t>
        </is>
      </c>
      <c r="B1262" t="inlineStr">
        <is>
          <t>JPY</t>
        </is>
      </c>
      <c r="C1262" t="n">
        <v>0.045866</v>
      </c>
    </row>
    <row r="1263">
      <c r="A1263" t="inlineStr">
        <is>
          <t>2026-04-17</t>
        </is>
      </c>
      <c r="B1263" t="inlineStr">
        <is>
          <t>USD</t>
        </is>
      </c>
      <c r="C1263" t="n">
        <v>6.81765</v>
      </c>
    </row>
    <row r="1264">
      <c r="A1264" t="inlineStr">
        <is>
          <t>2026-04-20</t>
        </is>
      </c>
      <c r="B1264" t="inlineStr">
        <is>
          <t>HKD</t>
        </is>
      </c>
      <c r="C1264" t="n">
        <v>0.87057</v>
      </c>
    </row>
    <row r="1265">
      <c r="A1265" t="inlineStr">
        <is>
          <t>2026-04-21</t>
        </is>
      </c>
      <c r="B1265" t="inlineStr">
        <is>
          <t>HKD</t>
        </is>
      </c>
      <c r="C1265" t="n">
        <v>0.87104</v>
      </c>
    </row>
    <row r="1266">
      <c r="A1266" t="inlineStr">
        <is>
          <t>2026-04-22</t>
        </is>
      </c>
      <c r="B1266" t="inlineStr">
        <is>
          <t>HKD</t>
        </is>
      </c>
      <c r="C1266" t="n">
        <v>0.8716</v>
      </c>
    </row>
    <row r="1267">
      <c r="A1267" t="inlineStr">
        <is>
          <t>2026-04-23</t>
        </is>
      </c>
      <c r="B1267" t="inlineStr">
        <is>
          <t>HKD</t>
        </is>
      </c>
      <c r="C1267" t="n">
        <v>0.87151</v>
      </c>
    </row>
    <row r="1268">
      <c r="A1268" t="inlineStr">
        <is>
          <t>2026-04-24</t>
        </is>
      </c>
      <c r="B1268" t="inlineStr">
        <is>
          <t>HKD</t>
        </is>
      </c>
      <c r="C1268" t="n">
        <v>0.87238</v>
      </c>
    </row>
    <row r="1269">
      <c r="A1269" t="inlineStr">
        <is>
          <t>2026-04-27</t>
        </is>
      </c>
      <c r="B1269" t="inlineStr">
        <is>
          <t>HKD</t>
        </is>
      </c>
      <c r="C1269" t="n">
        <v>0.87054</v>
      </c>
    </row>
    <row r="1270">
      <c r="A1270" t="inlineStr">
        <is>
          <t>2026-04-28</t>
        </is>
      </c>
      <c r="B1270" t="inlineStr">
        <is>
          <t>HKD</t>
        </is>
      </c>
      <c r="C1270" t="n">
        <v>0.87253</v>
      </c>
    </row>
    <row r="1271">
      <c r="A1271" t="inlineStr">
        <is>
          <t>2026-04-29</t>
        </is>
      </c>
      <c r="B1271" t="inlineStr">
        <is>
          <t>HKD</t>
        </is>
      </c>
      <c r="C1271" t="n">
        <v>0.87243</v>
      </c>
    </row>
    <row r="1272">
      <c r="A1272" t="inlineStr">
        <is>
          <t>2026-04-30</t>
        </is>
      </c>
      <c r="B1272" t="inlineStr">
        <is>
          <t>HKD</t>
        </is>
      </c>
      <c r="C1272" t="n">
        <v>0.87169</v>
      </c>
    </row>
    <row r="1273">
      <c r="A1273" t="inlineStr">
        <is>
          <t>2026-05-01</t>
        </is>
      </c>
      <c r="B1273" t="inlineStr">
        <is>
          <t>HKD</t>
        </is>
      </c>
      <c r="C1273" t="n">
        <v>0.87144</v>
      </c>
    </row>
    <row r="1274">
      <c r="A1274" t="inlineStr">
        <is>
          <t>2026-05-04</t>
        </is>
      </c>
      <c r="B1274" t="inlineStr">
        <is>
          <t>HKD</t>
        </is>
      </c>
      <c r="C1274" t="n">
        <v>0.87192</v>
      </c>
    </row>
    <row r="1275">
      <c r="A1275" t="inlineStr">
        <is>
          <t>2026-05-05</t>
        </is>
      </c>
      <c r="B1275" t="inlineStr">
        <is>
          <t>HKD</t>
        </is>
      </c>
      <c r="C1275" t="n">
        <v>0.87161</v>
      </c>
    </row>
    <row r="1276">
      <c r="A1276" t="inlineStr">
        <is>
          <t>2026-05-06</t>
        </is>
      </c>
      <c r="B1276" t="inlineStr">
        <is>
          <t>HKD</t>
        </is>
      </c>
      <c r="C1276" t="n">
        <v>0.8692299999999999</v>
      </c>
    </row>
    <row r="1277">
      <c r="A1277" t="inlineStr">
        <is>
          <t>2026-05-07</t>
        </is>
      </c>
      <c r="B1277" t="inlineStr">
        <is>
          <t>HKD</t>
        </is>
      </c>
      <c r="C1277" t="n">
        <v>0.86831</v>
      </c>
    </row>
    <row r="1278">
      <c r="A1278" t="inlineStr">
        <is>
          <t>2026-05-08</t>
        </is>
      </c>
      <c r="B1278" t="inlineStr">
        <is>
          <t>HKD</t>
        </is>
      </c>
      <c r="C1278" t="n">
        <v>0.86859</v>
      </c>
    </row>
    <row r="1279">
      <c r="A1279" t="inlineStr">
        <is>
          <t>2026-05-11</t>
        </is>
      </c>
      <c r="B1279" t="inlineStr">
        <is>
          <t>HKD</t>
        </is>
      </c>
      <c r="C1279" t="n">
        <v>0.86793</v>
      </c>
    </row>
    <row r="1280">
      <c r="A1280" t="inlineStr">
        <is>
          <t>2026-05-12</t>
        </is>
      </c>
      <c r="B1280" t="inlineStr">
        <is>
          <t>HKD</t>
        </is>
      </c>
      <c r="C1280" t="n">
        <v>0.86755</v>
      </c>
    </row>
    <row r="1281">
      <c r="A1281" t="inlineStr">
        <is>
          <t>2026-05-13</t>
        </is>
      </c>
      <c r="B1281" t="inlineStr">
        <is>
          <t>HKD</t>
        </is>
      </c>
      <c r="C1281" t="n">
        <v>0.86727</v>
      </c>
    </row>
    <row r="1282">
      <c r="A1282" t="inlineStr">
        <is>
          <t>2026-05-14</t>
        </is>
      </c>
      <c r="B1282" t="inlineStr">
        <is>
          <t>HKD</t>
        </is>
      </c>
      <c r="C1282" t="n">
        <v>0.86625</v>
      </c>
    </row>
    <row r="1283">
      <c r="A1283" t="inlineStr">
        <is>
          <t>2026-05-15</t>
        </is>
      </c>
      <c r="B1283" t="inlineStr">
        <is>
          <t>HKD</t>
        </is>
      </c>
      <c r="C1283" t="n">
        <v>0.8695000000000001</v>
      </c>
    </row>
    <row r="1284">
      <c r="A1284" t="inlineStr">
        <is>
          <t>2026-05-18</t>
        </is>
      </c>
      <c r="B1284" t="inlineStr">
        <is>
          <t>HKD</t>
        </is>
      </c>
      <c r="C1284" t="n">
        <v>0.86839</v>
      </c>
    </row>
    <row r="1285">
      <c r="A1285" t="inlineStr">
        <is>
          <t>2026-05-19</t>
        </is>
      </c>
      <c r="B1285" t="inlineStr">
        <is>
          <t>HKD</t>
        </is>
      </c>
      <c r="C1285" t="n">
        <v>0.8699</v>
      </c>
    </row>
    <row r="1286">
      <c r="A1286" t="inlineStr">
        <is>
          <t>2026-05-20</t>
        </is>
      </c>
      <c r="B1286" t="inlineStr">
        <is>
          <t>HKD</t>
        </is>
      </c>
      <c r="C1286" t="n">
        <v>0.86812</v>
      </c>
    </row>
    <row r="1287">
      <c r="A1287" t="inlineStr">
        <is>
          <t>2026-05-21</t>
        </is>
      </c>
      <c r="B1287" t="inlineStr">
        <is>
          <t>HKD</t>
        </is>
      </c>
      <c r="C1287" t="n">
        <v>0.86831</v>
      </c>
    </row>
    <row r="1288">
      <c r="A1288" t="inlineStr">
        <is>
          <t>2026-05-22</t>
        </is>
      </c>
      <c r="B1288" t="inlineStr">
        <is>
          <t>HKD</t>
        </is>
      </c>
      <c r="C1288" t="n">
        <v>0.86714</v>
      </c>
    </row>
    <row r="1289">
      <c r="A1289" t="inlineStr">
        <is>
          <t>2026-05-25</t>
        </is>
      </c>
      <c r="B1289" t="inlineStr">
        <is>
          <t>HKD</t>
        </is>
      </c>
      <c r="C1289" t="n">
        <v>0.86594</v>
      </c>
    </row>
    <row r="1290">
      <c r="A1290" t="inlineStr">
        <is>
          <t>2026-05-26</t>
        </is>
      </c>
      <c r="B1290" t="inlineStr">
        <is>
          <t>HKD</t>
        </is>
      </c>
      <c r="C1290" t="n">
        <v>0.86598</v>
      </c>
    </row>
    <row r="1291">
      <c r="A1291" t="inlineStr">
        <is>
          <t>2026-05-27</t>
        </is>
      </c>
      <c r="B1291" t="inlineStr">
        <is>
          <t>HKD</t>
        </is>
      </c>
      <c r="C1291" t="n">
        <v>0.8652300000000001</v>
      </c>
    </row>
    <row r="1292">
      <c r="A1292" t="inlineStr">
        <is>
          <t>2026-05-28</t>
        </is>
      </c>
      <c r="B1292" t="inlineStr">
        <is>
          <t>HKD</t>
        </is>
      </c>
      <c r="C1292" t="n">
        <v>0.8653999999999999</v>
      </c>
    </row>
    <row r="1293">
      <c r="A1293" t="inlineStr">
        <is>
          <t>2026-05-29</t>
        </is>
      </c>
      <c r="B1293" t="inlineStr">
        <is>
          <t>HKD</t>
        </is>
      </c>
      <c r="C1293" t="n">
        <v>0.86329</v>
      </c>
    </row>
    <row r="1294">
      <c r="A1294" t="inlineStr">
        <is>
          <t>2026-06-01</t>
        </is>
      </c>
      <c r="B1294" t="inlineStr">
        <is>
          <t>HKD</t>
        </is>
      </c>
      <c r="C1294" t="n">
        <v>0.86315</v>
      </c>
    </row>
    <row r="1295">
      <c r="A1295" t="inlineStr">
        <is>
          <t>2026-06-02</t>
        </is>
      </c>
      <c r="B1295" t="inlineStr">
        <is>
          <t>HKD</t>
        </is>
      </c>
      <c r="C1295" t="n">
        <v>0.8628400000000001</v>
      </c>
    </row>
    <row r="1296">
      <c r="A1296" t="inlineStr">
        <is>
          <t>2026-06-03</t>
        </is>
      </c>
      <c r="B1296" t="inlineStr">
        <is>
          <t>HKD</t>
        </is>
      </c>
      <c r="C1296" t="n">
        <v>0.86374</v>
      </c>
    </row>
    <row r="1297">
      <c r="A1297" t="inlineStr">
        <is>
          <t>2026-06-04</t>
        </is>
      </c>
      <c r="B1297" t="inlineStr">
        <is>
          <t>HKD</t>
        </is>
      </c>
      <c r="C1297" t="n">
        <v>0.8645699999999999</v>
      </c>
    </row>
    <row r="1298">
      <c r="A1298" t="inlineStr">
        <is>
          <t>2026-06-05</t>
        </is>
      </c>
      <c r="B1298" t="inlineStr">
        <is>
          <t>HKD</t>
        </is>
      </c>
      <c r="C1298" t="n">
        <v>0.8634500000000001</v>
      </c>
    </row>
    <row r="1299">
      <c r="A1299" t="inlineStr">
        <is>
          <t>2026-06-08</t>
        </is>
      </c>
      <c r="B1299" t="inlineStr">
        <is>
          <t>HKD</t>
        </is>
      </c>
      <c r="C1299" t="n">
        <v>0.86552</v>
      </c>
    </row>
    <row r="1300">
      <c r="A1300" t="inlineStr">
        <is>
          <t>2026-06-09</t>
        </is>
      </c>
      <c r="B1300" t="inlineStr">
        <is>
          <t>HKD</t>
        </is>
      </c>
      <c r="C1300" t="n">
        <v>0.86407</v>
      </c>
    </row>
    <row r="1301">
      <c r="A1301" t="inlineStr">
        <is>
          <t>2026-06-10</t>
        </is>
      </c>
      <c r="B1301" t="inlineStr">
        <is>
          <t>HKD</t>
        </is>
      </c>
      <c r="C1301" t="n">
        <v>0.86444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估值日(实际使用)</t>
        </is>
      </c>
      <c r="B1" t="inlineStr">
        <is>
          <t>2026-06-01</t>
        </is>
      </c>
      <c r="C1" t="inlineStr">
        <is>
          <t>行情缺失→期初持仓兜底(深港CNY÷HKD/CNY)</t>
        </is>
      </c>
    </row>
    <row r="2">
      <c r="A2" s="3" t="inlineStr">
        <is>
          <t>instrument_code</t>
        </is>
      </c>
      <c r="B2" s="3" t="inlineStr">
        <is>
          <t>valuation_date</t>
        </is>
      </c>
      <c r="C2" s="3" t="inlineStr">
        <is>
          <t>price</t>
        </is>
      </c>
      <c r="D2" s="3" t="inlineStr">
        <is>
          <t>volume</t>
        </is>
      </c>
      <c r="E2" s="3" t="inlineStr">
        <is>
          <t>备注</t>
        </is>
      </c>
    </row>
    <row r="3">
      <c r="A3" t="inlineStr">
        <is>
          <t>000001.SZ</t>
        </is>
      </c>
      <c r="B3" t="inlineStr">
        <is>
          <t>6/1/2026</t>
        </is>
      </c>
      <c r="C3" t="n">
        <v>11.41</v>
      </c>
      <c r="D3" t="n">
        <v/>
      </c>
      <c r="E3" t="inlineStr"/>
    </row>
    <row r="4">
      <c r="A4" t="inlineStr">
        <is>
          <t>0001.HK</t>
        </is>
      </c>
      <c r="B4" t="inlineStr">
        <is>
          <t>6/1/2026</t>
        </is>
      </c>
      <c r="C4" t="n">
        <v>69.3</v>
      </c>
      <c r="D4" t="n">
        <v>9282578</v>
      </c>
      <c r="E4" t="inlineStr"/>
    </row>
    <row r="5">
      <c r="A5" t="inlineStr">
        <is>
          <t>000333.SZ</t>
        </is>
      </c>
      <c r="B5" t="inlineStr">
        <is>
          <t>2026-06-01</t>
        </is>
      </c>
      <c r="C5" t="n">
        <v>81.7</v>
      </c>
      <c r="D5" t="n">
        <v>37671119</v>
      </c>
      <c r="E5" t="inlineStr">
        <is>
          <t>补充行情</t>
        </is>
      </c>
    </row>
    <row r="6">
      <c r="A6" t="inlineStr">
        <is>
          <t>000568.SZ</t>
        </is>
      </c>
      <c r="B6" t="inlineStr">
        <is>
          <t>2026-06-01</t>
        </is>
      </c>
      <c r="C6" t="n">
        <v>90.40000000000001</v>
      </c>
      <c r="D6" t="n">
        <v>14082175</v>
      </c>
      <c r="E6" t="inlineStr">
        <is>
          <t>补充行情</t>
        </is>
      </c>
    </row>
    <row r="7">
      <c r="A7" t="inlineStr">
        <is>
          <t>000858.SZ</t>
        </is>
      </c>
      <c r="B7" t="inlineStr">
        <is>
          <t>2026-06-01</t>
        </is>
      </c>
      <c r="C7" t="n">
        <v>83.41</v>
      </c>
      <c r="D7" t="n">
        <v>27998720</v>
      </c>
      <c r="E7" t="inlineStr">
        <is>
          <t>补充行情</t>
        </is>
      </c>
    </row>
    <row r="8">
      <c r="A8" t="inlineStr">
        <is>
          <t>002807.SZ</t>
        </is>
      </c>
      <c r="B8" t="inlineStr">
        <is>
          <t>2026-06-01</t>
        </is>
      </c>
      <c r="C8" t="n">
        <v>4.09</v>
      </c>
      <c r="D8" t="n">
        <v>47812807</v>
      </c>
      <c r="E8" t="inlineStr">
        <is>
          <t>补充行情</t>
        </is>
      </c>
    </row>
    <row r="9">
      <c r="A9" t="inlineStr">
        <is>
          <t>002839.SZ</t>
        </is>
      </c>
      <c r="B9" t="inlineStr">
        <is>
          <t>2026-06-01</t>
        </is>
      </c>
      <c r="C9" t="n">
        <v>4.34</v>
      </c>
      <c r="D9" t="n">
        <v>28288760</v>
      </c>
      <c r="E9" t="inlineStr">
        <is>
          <t>补充行情</t>
        </is>
      </c>
    </row>
    <row r="10">
      <c r="A10" t="inlineStr">
        <is>
          <t>0177.HK</t>
        </is>
      </c>
      <c r="B10" t="inlineStr">
        <is>
          <t>6/1/2026</t>
        </is>
      </c>
      <c r="C10" t="n">
        <v>10.84</v>
      </c>
      <c r="D10" t="n">
        <v>26550114</v>
      </c>
      <c r="E10" t="inlineStr"/>
    </row>
    <row r="11">
      <c r="A11" t="inlineStr">
        <is>
          <t>0300.HK</t>
        </is>
      </c>
      <c r="B11" t="inlineStr">
        <is>
          <t>2026-06-01</t>
        </is>
      </c>
      <c r="C11" t="n">
        <v>89.3</v>
      </c>
      <c r="D11" t="n">
        <v>13612908</v>
      </c>
      <c r="E11" t="inlineStr">
        <is>
          <t>补充行情</t>
        </is>
      </c>
    </row>
    <row r="12">
      <c r="A12" t="inlineStr">
        <is>
          <t>0322.HK</t>
        </is>
      </c>
      <c r="B12" t="inlineStr">
        <is>
          <t>2026-06-01</t>
        </is>
      </c>
      <c r="C12" t="n">
        <v>12.41</v>
      </c>
      <c r="D12" t="n">
        <v>22819396</v>
      </c>
      <c r="E12" t="inlineStr">
        <is>
          <t>补充行情</t>
        </is>
      </c>
    </row>
    <row r="13">
      <c r="A13" t="inlineStr">
        <is>
          <t>0371.HK</t>
        </is>
      </c>
      <c r="B13" t="inlineStr">
        <is>
          <t>6/1/2026</t>
        </is>
      </c>
      <c r="C13" t="n">
        <v>2.7</v>
      </c>
      <c r="D13" t="n">
        <v>24656000</v>
      </c>
      <c r="E13" t="inlineStr"/>
    </row>
    <row r="14">
      <c r="A14" t="inlineStr">
        <is>
          <t>0568.HK</t>
        </is>
      </c>
      <c r="B14" t="inlineStr">
        <is>
          <t>6/1/2026</t>
        </is>
      </c>
      <c r="C14" t="n">
        <v>5.46</v>
      </c>
      <c r="D14" t="n">
        <v>19684200</v>
      </c>
      <c r="E14" t="inlineStr"/>
    </row>
    <row r="15">
      <c r="A15" t="inlineStr">
        <is>
          <t>0576.HK</t>
        </is>
      </c>
      <c r="B15" t="inlineStr">
        <is>
          <t>2026-06-01</t>
        </is>
      </c>
      <c r="C15" t="n">
        <v>6.9</v>
      </c>
      <c r="D15" t="n">
        <v>8524743</v>
      </c>
      <c r="E15" t="inlineStr">
        <is>
          <t>补充行情</t>
        </is>
      </c>
    </row>
    <row r="16">
      <c r="A16" t="inlineStr">
        <is>
          <t>0728.HK</t>
        </is>
      </c>
      <c r="B16" t="inlineStr">
        <is>
          <t>2026-06-01</t>
        </is>
      </c>
      <c r="C16" t="n">
        <v>5.24</v>
      </c>
      <c r="D16" t="n">
        <v>71673454</v>
      </c>
      <c r="E16" t="inlineStr">
        <is>
          <t>补充行情</t>
        </is>
      </c>
    </row>
    <row r="17">
      <c r="A17" t="inlineStr">
        <is>
          <t>0762.HK</t>
        </is>
      </c>
      <c r="B17" t="inlineStr">
        <is>
          <t>2026-06-01</t>
        </is>
      </c>
      <c r="C17" t="n">
        <v>7.75</v>
      </c>
      <c r="D17" t="n">
        <v>18511329</v>
      </c>
      <c r="E17" t="inlineStr">
        <is>
          <t>补充行情</t>
        </is>
      </c>
    </row>
    <row r="18">
      <c r="A18" t="inlineStr">
        <is>
          <t>0788.HK</t>
        </is>
      </c>
      <c r="B18" t="inlineStr">
        <is>
          <t>2026-06-01</t>
        </is>
      </c>
      <c r="C18" t="n">
        <v>10.02</v>
      </c>
      <c r="D18" t="n">
        <v>17748131</v>
      </c>
      <c r="E18" t="inlineStr">
        <is>
          <t>补充行情</t>
        </is>
      </c>
    </row>
    <row r="19">
      <c r="A19" t="inlineStr">
        <is>
          <t>0811.HK</t>
        </is>
      </c>
      <c r="B19" t="inlineStr">
        <is>
          <t>6/1/2026</t>
        </is>
      </c>
      <c r="C19" t="n">
        <v>9.65</v>
      </c>
      <c r="D19" t="n">
        <v>816600</v>
      </c>
      <c r="E19" t="inlineStr"/>
    </row>
    <row r="20">
      <c r="A20" t="inlineStr">
        <is>
          <t>0836.HK</t>
        </is>
      </c>
      <c r="B20" t="inlineStr">
        <is>
          <t>2026-06-01</t>
        </is>
      </c>
      <c r="C20" t="n">
        <v>21.64</v>
      </c>
      <c r="D20" t="n">
        <v>29719349</v>
      </c>
      <c r="E20" t="inlineStr">
        <is>
          <t>补充行情</t>
        </is>
      </c>
    </row>
    <row r="21">
      <c r="A21" t="inlineStr">
        <is>
          <t>0858.HK</t>
        </is>
      </c>
      <c r="B21" t="inlineStr">
        <is>
          <t>6/1/2026</t>
        </is>
      </c>
      <c r="C21" t="n">
        <v>0.081</v>
      </c>
      <c r="D21" t="n">
        <v>2880000</v>
      </c>
      <c r="E21" t="inlineStr"/>
    </row>
    <row r="22">
      <c r="A22" t="inlineStr">
        <is>
          <t>0883.HK</t>
        </is>
      </c>
      <c r="B22" t="inlineStr">
        <is>
          <t>2026-06-01</t>
        </is>
      </c>
      <c r="C22" t="n">
        <v>26.7</v>
      </c>
      <c r="D22" t="n">
        <v>85992482</v>
      </c>
      <c r="E22" t="inlineStr">
        <is>
          <t>补充行情</t>
        </is>
      </c>
    </row>
    <row r="23">
      <c r="A23" t="inlineStr">
        <is>
          <t>0939.HK</t>
        </is>
      </c>
      <c r="B23" t="inlineStr">
        <is>
          <t>2026-06-01</t>
        </is>
      </c>
      <c r="C23" t="n">
        <v>8.529999999999999</v>
      </c>
      <c r="D23" t="n">
        <v>350866907</v>
      </c>
      <c r="E23" t="inlineStr">
        <is>
          <t>补充行情</t>
        </is>
      </c>
    </row>
    <row r="24">
      <c r="A24" t="inlineStr">
        <is>
          <t>0941.HK</t>
        </is>
      </c>
      <c r="B24" t="inlineStr">
        <is>
          <t>2026-06-01</t>
        </is>
      </c>
      <c r="C24" t="n">
        <v>85.15000000000001</v>
      </c>
      <c r="D24" t="n">
        <v>10941368</v>
      </c>
      <c r="E24" t="inlineStr">
        <is>
          <t>补充行情</t>
        </is>
      </c>
    </row>
    <row r="25">
      <c r="A25" t="inlineStr">
        <is>
          <t>0995.HK</t>
        </is>
      </c>
      <c r="B25" t="inlineStr">
        <is>
          <t>2026-06-01</t>
        </is>
      </c>
      <c r="C25" t="n">
        <v>16.82</v>
      </c>
      <c r="D25" t="n">
        <v>1808000</v>
      </c>
      <c r="E25" t="inlineStr">
        <is>
          <t>补充行情</t>
        </is>
      </c>
    </row>
    <row r="26">
      <c r="A26" t="inlineStr">
        <is>
          <t>0998.HK</t>
        </is>
      </c>
      <c r="B26" t="inlineStr">
        <is>
          <t>2026-06-01</t>
        </is>
      </c>
      <c r="C26" t="n">
        <v>7.31</v>
      </c>
      <c r="D26" t="n">
        <v>33269624</v>
      </c>
      <c r="E26" t="inlineStr">
        <is>
          <t>补充行情</t>
        </is>
      </c>
    </row>
    <row r="27">
      <c r="A27" t="inlineStr">
        <is>
          <t>1071.HK</t>
        </is>
      </c>
      <c r="B27" t="inlineStr">
        <is>
          <t>2026-06-01</t>
        </is>
      </c>
      <c r="C27" t="n">
        <v>4.75</v>
      </c>
      <c r="D27" t="n">
        <v>24856000</v>
      </c>
      <c r="E27" t="inlineStr">
        <is>
          <t>补充行情</t>
        </is>
      </c>
    </row>
    <row r="28">
      <c r="A28" t="inlineStr">
        <is>
          <t>1088.HK</t>
        </is>
      </c>
      <c r="B28" t="inlineStr">
        <is>
          <t>2026-06-01</t>
        </is>
      </c>
      <c r="C28" t="n">
        <v>47.24</v>
      </c>
      <c r="D28" t="n">
        <v>21515703</v>
      </c>
      <c r="E28" t="inlineStr">
        <is>
          <t>补充行情</t>
        </is>
      </c>
    </row>
    <row r="29">
      <c r="A29" t="inlineStr">
        <is>
          <t>1368.HK</t>
        </is>
      </c>
      <c r="B29" t="inlineStr">
        <is>
          <t>2026-06-01</t>
        </is>
      </c>
      <c r="C29" t="n">
        <v>4.46</v>
      </c>
      <c r="D29" t="n">
        <v>19309068</v>
      </c>
      <c r="E29" t="inlineStr">
        <is>
          <t>补充行情</t>
        </is>
      </c>
    </row>
    <row r="30">
      <c r="A30" t="inlineStr">
        <is>
          <t>1398.HK</t>
        </is>
      </c>
      <c r="B30" t="inlineStr">
        <is>
          <t>2026-06-01</t>
        </is>
      </c>
      <c r="C30" t="n">
        <v>6.65</v>
      </c>
      <c r="D30" t="n">
        <v>174592527</v>
      </c>
      <c r="E30" t="inlineStr">
        <is>
          <t>补充行情</t>
        </is>
      </c>
    </row>
    <row r="31">
      <c r="A31" t="inlineStr">
        <is>
          <t>2016.HK</t>
        </is>
      </c>
      <c r="B31" t="inlineStr">
        <is>
          <t>2026-06-01</t>
        </is>
      </c>
      <c r="C31" t="n">
        <v>2.45</v>
      </c>
      <c r="D31" t="n">
        <v>5700878</v>
      </c>
      <c r="E31" t="inlineStr">
        <is>
          <t>补充行情</t>
        </is>
      </c>
    </row>
    <row r="32">
      <c r="A32" t="inlineStr">
        <is>
          <t>2020.HK</t>
        </is>
      </c>
      <c r="B32" t="inlineStr">
        <is>
          <t>2026-06-01</t>
        </is>
      </c>
      <c r="C32" t="n">
        <v>76.40000000000001</v>
      </c>
      <c r="D32" t="n">
        <v>7195973</v>
      </c>
      <c r="E32" t="inlineStr">
        <is>
          <t>补充行情</t>
        </is>
      </c>
    </row>
    <row r="33">
      <c r="A33" t="inlineStr">
        <is>
          <t>2318.HK</t>
        </is>
      </c>
      <c r="B33" t="inlineStr">
        <is>
          <t>2026-06-01</t>
        </is>
      </c>
      <c r="C33" t="n">
        <v>60.2</v>
      </c>
      <c r="D33" t="n">
        <v>34250928</v>
      </c>
      <c r="E33" t="inlineStr">
        <is>
          <t>补充行情</t>
        </is>
      </c>
    </row>
    <row r="34">
      <c r="A34" t="inlineStr">
        <is>
          <t>2319.HK</t>
        </is>
      </c>
      <c r="B34" t="inlineStr">
        <is>
          <t>2026-06-01</t>
        </is>
      </c>
      <c r="C34" t="n">
        <v>17.19</v>
      </c>
      <c r="D34" t="n">
        <v>18989170</v>
      </c>
      <c r="E34" t="inlineStr">
        <is>
          <t>补充行情</t>
        </is>
      </c>
    </row>
    <row r="35">
      <c r="A35" t="inlineStr">
        <is>
          <t>2607.HK</t>
        </is>
      </c>
      <c r="B35" t="inlineStr">
        <is>
          <t>2026-06-01</t>
        </is>
      </c>
      <c r="C35" t="n">
        <v>11.62</v>
      </c>
      <c r="D35" t="n">
        <v>3449800</v>
      </c>
      <c r="E35" t="inlineStr">
        <is>
          <t>补充行情</t>
        </is>
      </c>
    </row>
    <row r="36">
      <c r="A36" t="inlineStr">
        <is>
          <t>3328.HK</t>
        </is>
      </c>
      <c r="B36" t="inlineStr">
        <is>
          <t>2026-06-01</t>
        </is>
      </c>
      <c r="C36" t="n">
        <v>7.38</v>
      </c>
      <c r="D36" t="n">
        <v>46114580</v>
      </c>
      <c r="E36" t="inlineStr">
        <is>
          <t>补充行情</t>
        </is>
      </c>
    </row>
    <row r="37">
      <c r="A37" t="inlineStr">
        <is>
          <t>3933.HK</t>
        </is>
      </c>
      <c r="B37" t="inlineStr">
        <is>
          <t>2026-06-01</t>
        </is>
      </c>
      <c r="C37" t="n">
        <v>9.02</v>
      </c>
      <c r="D37" t="n">
        <v>7807743</v>
      </c>
      <c r="E37" t="inlineStr">
        <is>
          <t>补充行情</t>
        </is>
      </c>
    </row>
    <row r="38">
      <c r="A38" t="inlineStr">
        <is>
          <t>3988.HK</t>
        </is>
      </c>
      <c r="B38" t="inlineStr">
        <is>
          <t>2026-06-01</t>
        </is>
      </c>
      <c r="C38" t="n">
        <v>5.22</v>
      </c>
      <c r="D38" t="n">
        <v>200852742</v>
      </c>
      <c r="E38" t="inlineStr">
        <is>
          <t>补充行情</t>
        </is>
      </c>
    </row>
    <row r="39">
      <c r="A39" t="inlineStr">
        <is>
          <t>3998.HK</t>
        </is>
      </c>
      <c r="B39" t="inlineStr">
        <is>
          <t>2026-06-01</t>
        </is>
      </c>
      <c r="C39" t="n">
        <v>4.47</v>
      </c>
      <c r="D39" t="n">
        <v>31844236</v>
      </c>
      <c r="E39" t="inlineStr">
        <is>
          <t>补充行情</t>
        </is>
      </c>
    </row>
    <row r="40">
      <c r="A40" t="inlineStr">
        <is>
          <t>600036.SH</t>
        </is>
      </c>
      <c r="B40" t="inlineStr">
        <is>
          <t>2026-06-01</t>
        </is>
      </c>
      <c r="C40" t="n">
        <v>38.2</v>
      </c>
      <c r="D40" t="n">
        <v>96137886</v>
      </c>
      <c r="E40" t="inlineStr">
        <is>
          <t>补充行情</t>
        </is>
      </c>
    </row>
    <row r="41">
      <c r="A41" t="inlineStr">
        <is>
          <t>600519.SH</t>
        </is>
      </c>
      <c r="B41" t="inlineStr">
        <is>
          <t>2026-06-01</t>
        </is>
      </c>
      <c r="C41" t="n">
        <v>1309.6</v>
      </c>
      <c r="D41" t="n">
        <v>4384460</v>
      </c>
      <c r="E41" t="inlineStr">
        <is>
          <t>补充行情</t>
        </is>
      </c>
    </row>
    <row r="42">
      <c r="A42" t="inlineStr">
        <is>
          <t>600690.SH</t>
        </is>
      </c>
      <c r="B42" t="inlineStr">
        <is>
          <t>2026-06-01</t>
        </is>
      </c>
      <c r="C42" t="n">
        <v>21.08</v>
      </c>
      <c r="D42" t="n">
        <v>55596733</v>
      </c>
      <c r="E42" t="inlineStr">
        <is>
          <t>补充行情</t>
        </is>
      </c>
    </row>
    <row r="43">
      <c r="A43" t="inlineStr">
        <is>
          <t>600809.SH</t>
        </is>
      </c>
      <c r="B43" t="inlineStr">
        <is>
          <t>2026-06-01</t>
        </is>
      </c>
      <c r="C43" t="n">
        <v>128.13</v>
      </c>
      <c r="D43" t="n">
        <v>9270956</v>
      </c>
      <c r="E43" t="inlineStr">
        <is>
          <t>补充行情</t>
        </is>
      </c>
    </row>
    <row r="44">
      <c r="A44" t="inlineStr">
        <is>
          <t>600887.SH</t>
        </is>
      </c>
      <c r="B44" t="inlineStr">
        <is>
          <t>2026-06-01</t>
        </is>
      </c>
      <c r="C44" t="n">
        <v>27</v>
      </c>
      <c r="D44" t="n">
        <v>68461666</v>
      </c>
      <c r="E44" t="inlineStr">
        <is>
          <t>补充行情</t>
        </is>
      </c>
    </row>
    <row r="45">
      <c r="A45" t="inlineStr">
        <is>
          <t>600908.SH</t>
        </is>
      </c>
      <c r="B45" t="inlineStr">
        <is>
          <t>2026-06-01</t>
        </is>
      </c>
      <c r="C45" t="n">
        <v>5.59</v>
      </c>
      <c r="D45" t="n">
        <v>18032259</v>
      </c>
      <c r="E45" t="inlineStr">
        <is>
          <t>补充行情</t>
        </is>
      </c>
    </row>
    <row r="46">
      <c r="A46" t="inlineStr">
        <is>
          <t>600919.SH</t>
        </is>
      </c>
      <c r="B46" t="inlineStr">
        <is>
          <t>2026-06-01</t>
        </is>
      </c>
      <c r="C46" t="n">
        <v>11.39</v>
      </c>
      <c r="D46" t="n">
        <v>117430449</v>
      </c>
      <c r="E46" t="inlineStr">
        <is>
          <t>补充行情</t>
        </is>
      </c>
    </row>
    <row r="47">
      <c r="A47" t="inlineStr">
        <is>
          <t>601009.SH</t>
        </is>
      </c>
      <c r="B47" t="inlineStr">
        <is>
          <t>2026-06-01</t>
        </is>
      </c>
      <c r="C47" t="n">
        <v>11.23</v>
      </c>
      <c r="D47" t="n">
        <v>79364213</v>
      </c>
      <c r="E47" t="inlineStr">
        <is>
          <t>补充行情</t>
        </is>
      </c>
    </row>
    <row r="48">
      <c r="A48" t="inlineStr">
        <is>
          <t>601098.SH</t>
        </is>
      </c>
      <c r="B48" t="inlineStr">
        <is>
          <t>2026-06-01</t>
        </is>
      </c>
      <c r="C48" t="n">
        <v>11.24</v>
      </c>
      <c r="D48" t="n">
        <v>11501383</v>
      </c>
      <c r="E48" t="inlineStr">
        <is>
          <t>补充行情</t>
        </is>
      </c>
    </row>
    <row r="49">
      <c r="A49" t="inlineStr">
        <is>
          <t>601166.SH</t>
        </is>
      </c>
      <c r="B49" t="inlineStr">
        <is>
          <t>2026-06-01</t>
        </is>
      </c>
      <c r="C49" t="n">
        <v>18.44</v>
      </c>
      <c r="D49" t="n">
        <v>117584490</v>
      </c>
      <c r="E49" t="inlineStr">
        <is>
          <t>补充行情</t>
        </is>
      </c>
    </row>
    <row r="50">
      <c r="A50" t="inlineStr">
        <is>
          <t>601169.SH</t>
        </is>
      </c>
      <c r="B50" t="inlineStr">
        <is>
          <t>6/1/2026</t>
        </is>
      </c>
      <c r="C50" t="n">
        <v>5.17</v>
      </c>
      <c r="D50" t="n">
        <v>126704143</v>
      </c>
      <c r="E50" t="inlineStr"/>
    </row>
    <row r="51">
      <c r="A51" t="inlineStr">
        <is>
          <t>601577.SH</t>
        </is>
      </c>
      <c r="B51" t="inlineStr">
        <is>
          <t>2026-06-01</t>
        </is>
      </c>
      <c r="C51" t="n">
        <v>9.69</v>
      </c>
      <c r="D51" t="n">
        <v>27029767</v>
      </c>
      <c r="E51" t="inlineStr">
        <is>
          <t>补充行情</t>
        </is>
      </c>
    </row>
    <row r="52">
      <c r="A52" t="inlineStr">
        <is>
          <t>601818.SH</t>
        </is>
      </c>
      <c r="B52" t="inlineStr">
        <is>
          <t>6/1/2026</t>
        </is>
      </c>
      <c r="C52" t="n">
        <v>3.14</v>
      </c>
      <c r="D52" t="n">
        <v>182501573</v>
      </c>
      <c r="E52" t="inlineStr"/>
    </row>
    <row r="53">
      <c r="A53" t="inlineStr">
        <is>
          <t>601825.SH</t>
        </is>
      </c>
      <c r="B53" t="inlineStr">
        <is>
          <t>2026-06-01</t>
        </is>
      </c>
      <c r="C53" t="n">
        <v>8.640000000000001</v>
      </c>
      <c r="D53" t="n">
        <v>23074260</v>
      </c>
      <c r="E53" t="inlineStr">
        <is>
          <t>补充行情</t>
        </is>
      </c>
    </row>
    <row r="54">
      <c r="A54" t="inlineStr">
        <is>
          <t>601900.SH</t>
        </is>
      </c>
      <c r="B54" t="inlineStr">
        <is>
          <t>2026-06-01</t>
        </is>
      </c>
      <c r="C54" t="n">
        <v>12.39</v>
      </c>
      <c r="D54" t="n">
        <v>12928667</v>
      </c>
      <c r="E54" t="inlineStr">
        <is>
          <t>补充行情</t>
        </is>
      </c>
    </row>
    <row r="55">
      <c r="A55" t="inlineStr">
        <is>
          <t>603198.SH</t>
        </is>
      </c>
      <c r="B55" t="inlineStr">
        <is>
          <t>2026-06-01</t>
        </is>
      </c>
      <c r="C55" t="n">
        <v>37.55</v>
      </c>
      <c r="D55" t="n">
        <v>12125509</v>
      </c>
      <c r="E55" t="inlineStr">
        <is>
          <t>补充行情</t>
        </is>
      </c>
    </row>
    <row r="56">
      <c r="A56" t="inlineStr">
        <is>
          <t>603369.SH</t>
        </is>
      </c>
      <c r="B56" t="inlineStr">
        <is>
          <t>2026-06-01</t>
        </is>
      </c>
      <c r="C56" t="n">
        <v>29.96</v>
      </c>
      <c r="D56" t="n">
        <v>22439158</v>
      </c>
      <c r="E56" t="inlineStr">
        <is>
          <t>补充行情</t>
        </is>
      </c>
    </row>
    <row r="57">
      <c r="A57" t="inlineStr">
        <is>
          <t>6690.HK</t>
        </is>
      </c>
      <c r="B57" t="inlineStr">
        <is>
          <t>2026-06-01</t>
        </is>
      </c>
      <c r="C57" t="n">
        <v>20.36</v>
      </c>
      <c r="D57" t="n">
        <v>27937683</v>
      </c>
      <c r="E57" t="inlineStr">
        <is>
          <t>补充行情</t>
        </is>
      </c>
    </row>
    <row r="58">
      <c r="A58" t="inlineStr">
        <is>
          <t>6818.HK</t>
        </is>
      </c>
      <c r="B58" t="inlineStr">
        <is>
          <t>2026-06-01</t>
        </is>
      </c>
      <c r="C58" t="n">
        <v>3.11</v>
      </c>
      <c r="D58" t="n">
        <v>14403596</v>
      </c>
      <c r="E58" t="inlineStr">
        <is>
          <t>补充行情</t>
        </is>
      </c>
    </row>
    <row r="59">
      <c r="A59" t="inlineStr">
        <is>
          <t>6862.HK</t>
        </is>
      </c>
      <c r="B59" t="inlineStr">
        <is>
          <t>2026-06-01</t>
        </is>
      </c>
      <c r="C59" t="n">
        <v>13.16</v>
      </c>
      <c r="D59" t="n">
        <v>24444201</v>
      </c>
      <c r="E59" t="inlineStr">
        <is>
          <t>补充行情</t>
        </is>
      </c>
    </row>
    <row r="60">
      <c r="A60" t="inlineStr">
        <is>
          <t>931357.SH</t>
        </is>
      </c>
      <c r="B60" t="inlineStr">
        <is>
          <t>6/1/2026</t>
        </is>
      </c>
      <c r="C60" t="n">
        <v>2512.7019</v>
      </c>
      <c r="D60" t="n">
        <v>1322640511</v>
      </c>
      <c r="E60" t="inlineStr"/>
    </row>
    <row r="61">
      <c r="A61" t="inlineStr">
        <is>
          <t>9985.HK</t>
        </is>
      </c>
      <c r="B61" t="inlineStr">
        <is>
          <t>2026-06-01</t>
        </is>
      </c>
      <c r="C61" t="n">
        <v>8.57</v>
      </c>
      <c r="D61" t="n">
        <v>7276657</v>
      </c>
      <c r="E61" t="inlineStr">
        <is>
          <t>补充行情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19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来源</t>
        </is>
      </c>
      <c r="B1" s="3" t="inlineStr">
        <is>
          <t>日期</t>
        </is>
      </c>
      <c r="C1" s="3" t="inlineStr">
        <is>
          <t>组合名称</t>
        </is>
      </c>
      <c r="D1" s="3" t="inlineStr">
        <is>
          <t>叶子投组</t>
        </is>
      </c>
      <c r="E1" s="3" t="inlineStr">
        <is>
          <t>证券代码</t>
        </is>
      </c>
      <c r="F1" s="3" t="inlineStr">
        <is>
          <t>证券名称</t>
        </is>
      </c>
      <c r="G1" s="3" t="inlineStr">
        <is>
          <t>方向</t>
        </is>
      </c>
      <c r="H1" s="3" t="inlineStr">
        <is>
          <t>数量</t>
        </is>
      </c>
      <c r="I1" s="3" t="inlineStr">
        <is>
          <t>原币成交单价(深港=HKD/场内=CNY)</t>
        </is>
      </c>
      <c r="J1" s="3" t="inlineStr">
        <is>
          <t>原币成交金额(深港=HKD/场内=CNY)</t>
        </is>
      </c>
      <c r="K1" s="3" t="inlineStr">
        <is>
          <t>本币成交金额(CNY)</t>
        </is>
      </c>
      <c r="L1" s="3" t="inlineStr">
        <is>
          <t>本币成交单价(CNY)</t>
        </is>
      </c>
      <c r="M1" s="3" t="inlineStr">
        <is>
          <t>买入数量</t>
        </is>
      </c>
      <c r="N1" s="3" t="inlineStr">
        <is>
          <t>买入本币金额(CNY)</t>
        </is>
      </c>
      <c r="O1" s="3" t="inlineStr">
        <is>
          <t>卖出数量</t>
        </is>
      </c>
      <c r="P1" s="3" t="inlineStr">
        <is>
          <t>卖出本币金额(CNY)</t>
        </is>
      </c>
      <c r="Q1" s="3" t="inlineStr">
        <is>
          <t>累计买入数量(同叶+码)</t>
        </is>
      </c>
      <c r="R1" s="3" t="inlineStr">
        <is>
          <t>累计买入本币金额(CNY)</t>
        </is>
      </c>
      <c r="S1" s="3" t="inlineStr">
        <is>
          <t>加权成本单价(CNY)</t>
        </is>
      </c>
      <c r="T1" s="3" t="inlineStr">
        <is>
          <t>流水已实现损益(加权RPNL)(CNY)</t>
        </is>
      </c>
      <c r="U1" s="3" t="inlineStr">
        <is>
          <t>FIFO已实现(RPNL)(CNY)</t>
        </is>
      </c>
      <c r="V1" s="3" t="inlineStr">
        <is>
          <t>折算汇率(本币÷原币)</t>
        </is>
      </c>
      <c r="W1" s="3" t="inlineStr">
        <is>
          <t>加权RPNL算式(引用L/S/H)</t>
        </is>
      </c>
      <c r="X1" s="3" t="inlineStr">
        <is>
          <t>FIFO RPNL算式(先买先卖·含期初)</t>
        </is>
      </c>
      <c r="Y1" s="3" t="inlineStr">
        <is>
          <t>标准代码</t>
        </is>
      </c>
      <c r="Z1" s="3" t="inlineStr">
        <is>
          <t>估值日市价(原币)</t>
        </is>
      </c>
      <c r="AA1" s="3" t="inlineStr">
        <is>
          <t>兑CNY汇率(估值日)</t>
        </is>
      </c>
      <c r="AB1" s="3" t="inlineStr">
        <is>
          <t>估值日市价(CNY)</t>
        </is>
      </c>
      <c r="AC1" s="3" t="inlineStr">
        <is>
          <t>累计净持仓(至本行)</t>
        </is>
      </c>
      <c r="AD1" s="3" t="inlineStr">
        <is>
          <t>成本单价(加权)(原币)</t>
        </is>
      </c>
      <c r="AE1" s="3" t="inlineStr">
        <is>
          <t>盯市损益(MTM)(原币)</t>
        </is>
      </c>
      <c r="AF1" s="3" t="inlineStr">
        <is>
          <t>盯市损益(MTM)(CNY)</t>
        </is>
      </c>
      <c r="AG1" s="3" t="inlineStr">
        <is>
          <t>全账累计买入数量(含期初)</t>
        </is>
      </c>
      <c r="AH1" s="3" t="inlineStr">
        <is>
          <t>全账累计买入本币金额(含期初)</t>
        </is>
      </c>
      <c r="AI1" s="3" t="inlineStr">
        <is>
          <t>全账加权成本单价(CNY)</t>
        </is>
      </c>
      <c r="AJ1" s="3" t="inlineStr">
        <is>
          <t>全账加权RPNL(CNY)</t>
        </is>
      </c>
      <c r="AK1" s="3" t="inlineStr">
        <is>
          <t>第三轨−运营轨(RPNL差额)</t>
        </is>
      </c>
      <c r="AL1" s="3" t="inlineStr">
        <is>
          <t>全账加权RPNL算式</t>
        </is>
      </c>
    </row>
    <row r="2">
      <c r="A2" t="inlineStr">
        <is>
          <t>期初</t>
        </is>
      </c>
      <c r="D2" t="inlineStr">
        <is>
          <t>场内</t>
        </is>
      </c>
      <c r="E2" t="n">
        <v>600036</v>
      </c>
      <c r="F2" t="inlineStr">
        <is>
          <t>招商银行</t>
        </is>
      </c>
      <c r="G2" t="inlineStr">
        <is>
          <t>买入</t>
        </is>
      </c>
      <c r="H2" t="n">
        <v>150000</v>
      </c>
      <c r="I2" t="n">
        <v>42.04883486666667</v>
      </c>
      <c r="J2" t="n">
        <v>6307325.23</v>
      </c>
      <c r="K2" t="n">
        <v>6307325.23</v>
      </c>
      <c r="L2" t="n">
        <v>42.04883486666667</v>
      </c>
      <c r="M2" t="n">
        <v>150000</v>
      </c>
      <c r="N2" t="n">
        <v>6307325.23</v>
      </c>
      <c r="U2" t="n">
        <v>0</v>
      </c>
      <c r="Y2" t="inlineStr">
        <is>
          <t>600036.SH</t>
        </is>
      </c>
      <c r="Z2">
        <f>IF(Y2="","",IFERROR(INDEX('估值日行情'!$C$3:$C$61,MATCH(Y2,'估值日行情'!$A$3:$A$61,0)),""))</f>
        <v/>
      </c>
      <c r="AA2">
        <f>IF(D2="深港",IFERROR('FX_RATES_TO_CNY_HIST'!$B$3,""),1)</f>
        <v/>
      </c>
      <c r="AB2">
        <f>IF(Z2&lt;&gt;"",Z2*AA2,"")</f>
        <v/>
      </c>
      <c r="AC2">
        <f>SUMIFS($H$2:H2,$D$2:D2,D2,$E$2:E2,E2,$G$2:G2,"买入")-SUMIFS($H$2:H2,$D$2:D2,D2,$E$2:E2,E2,$G$2:G2,"卖出")</f>
        <v/>
      </c>
      <c r="AD2">
        <f>L2</f>
        <v/>
      </c>
      <c r="AE2">
        <f>IF(AC2&gt;0,AC2*Z2-AC2*AD2,0)</f>
        <v/>
      </c>
      <c r="AF2">
        <f>IF(AC2&gt;0,IF(D2="深港",AE2*AA2,AE2),0)</f>
        <v/>
      </c>
      <c r="AG2">
        <f>H2</f>
        <v/>
      </c>
      <c r="AH2">
        <f>K2</f>
        <v/>
      </c>
      <c r="AI2">
        <f>L2</f>
        <v/>
      </c>
      <c r="AJ2" t="n">
        <v>0</v>
      </c>
      <c r="AK2" t="inlineStr"/>
      <c r="AL2" t="inlineStr"/>
    </row>
    <row r="3">
      <c r="A3" t="inlineStr">
        <is>
          <t>期初</t>
        </is>
      </c>
      <c r="D3" t="inlineStr">
        <is>
          <t>场内</t>
        </is>
      </c>
      <c r="E3" t="n">
        <v>600519</v>
      </c>
      <c r="F3" t="inlineStr">
        <is>
          <t>贵州茅台</t>
        </is>
      </c>
      <c r="G3" t="inlineStr">
        <is>
          <t>买入</t>
        </is>
      </c>
      <c r="H3" t="n">
        <v>100</v>
      </c>
      <c r="I3" t="n">
        <v>1483.109</v>
      </c>
      <c r="J3" t="n">
        <v>148310.9</v>
      </c>
      <c r="K3" t="n">
        <v>148310.9</v>
      </c>
      <c r="L3" t="n">
        <v>1483.109</v>
      </c>
      <c r="M3" t="n">
        <v>100</v>
      </c>
      <c r="N3" t="n">
        <v>148310.9</v>
      </c>
      <c r="U3" t="n">
        <v>0</v>
      </c>
      <c r="Y3" t="inlineStr">
        <is>
          <t>600519.SH</t>
        </is>
      </c>
      <c r="Z3">
        <f>IF(Y3="","",IFERROR(INDEX('估值日行情'!$C$3:$C$61,MATCH(Y3,'估值日行情'!$A$3:$A$61,0)),""))</f>
        <v/>
      </c>
      <c r="AA3">
        <f>IF(D3="深港",IFERROR('FX_RATES_TO_CNY_HIST'!$B$3,""),1)</f>
        <v/>
      </c>
      <c r="AB3">
        <f>IF(Z3&lt;&gt;"",Z3*AA3,"")</f>
        <v/>
      </c>
      <c r="AC3">
        <f>SUMIFS($H$2:H3,$D$2:D3,D3,$E$2:E3,E3,$G$2:G3,"买入")-SUMIFS($H$2:H3,$D$2:D3,D3,$E$2:E3,E3,$G$2:G3,"卖出")</f>
        <v/>
      </c>
      <c r="AD3">
        <f>L3</f>
        <v/>
      </c>
      <c r="AE3">
        <f>IF(AC3&gt;0,AC3*Z3-AC3*AD3,0)</f>
        <v/>
      </c>
      <c r="AF3">
        <f>IF(AC3&gt;0,IF(D3="深港",AE3*AA3,AE3),0)</f>
        <v/>
      </c>
      <c r="AG3">
        <f>H3</f>
        <v/>
      </c>
      <c r="AH3">
        <f>K3</f>
        <v/>
      </c>
      <c r="AI3">
        <f>L3</f>
        <v/>
      </c>
      <c r="AJ3" t="n">
        <v>0</v>
      </c>
      <c r="AK3" t="inlineStr"/>
      <c r="AL3" t="inlineStr"/>
    </row>
    <row r="4">
      <c r="A4" t="inlineStr">
        <is>
          <t>期初</t>
        </is>
      </c>
      <c r="D4" t="inlineStr">
        <is>
          <t>场内</t>
        </is>
      </c>
      <c r="E4" t="n">
        <v>600809</v>
      </c>
      <c r="F4" t="inlineStr">
        <is>
          <t>山西汾酒</t>
        </is>
      </c>
      <c r="G4" t="inlineStr">
        <is>
          <t>买入</t>
        </is>
      </c>
      <c r="H4" t="n">
        <v>16000</v>
      </c>
      <c r="I4" t="n">
        <v>179.320429375</v>
      </c>
      <c r="J4" t="n">
        <v>2869126.87</v>
      </c>
      <c r="K4" t="n">
        <v>2869126.87</v>
      </c>
      <c r="L4" t="n">
        <v>179.320429375</v>
      </c>
      <c r="M4" t="n">
        <v>16000</v>
      </c>
      <c r="N4" t="n">
        <v>2869126.87</v>
      </c>
      <c r="U4" t="n">
        <v>0</v>
      </c>
      <c r="Y4" t="inlineStr">
        <is>
          <t>600809.SH</t>
        </is>
      </c>
      <c r="Z4">
        <f>IF(Y4="","",IFERROR(INDEX('估值日行情'!$C$3:$C$61,MATCH(Y4,'估值日行情'!$A$3:$A$61,0)),""))</f>
        <v/>
      </c>
      <c r="AA4">
        <f>IF(D4="深港",IFERROR('FX_RATES_TO_CNY_HIST'!$B$3,""),1)</f>
        <v/>
      </c>
      <c r="AB4">
        <f>IF(Z4&lt;&gt;"",Z4*AA4,"")</f>
        <v/>
      </c>
      <c r="AC4">
        <f>SUMIFS($H$2:H4,$D$2:D4,D4,$E$2:E4,E4,$G$2:G4,"买入")-SUMIFS($H$2:H4,$D$2:D4,D4,$E$2:E4,E4,$G$2:G4,"卖出")</f>
        <v/>
      </c>
      <c r="AD4">
        <f>L4</f>
        <v/>
      </c>
      <c r="AE4">
        <f>IF(AC4&gt;0,AC4*Z4-AC4*AD4,0)</f>
        <v/>
      </c>
      <c r="AF4">
        <f>IF(AC4&gt;0,IF(D4="深港",AE4*AA4,AE4),0)</f>
        <v/>
      </c>
      <c r="AG4">
        <f>H4</f>
        <v/>
      </c>
      <c r="AH4">
        <f>K4</f>
        <v/>
      </c>
      <c r="AI4">
        <f>L4</f>
        <v/>
      </c>
      <c r="AJ4" t="n">
        <v>0</v>
      </c>
      <c r="AK4" t="inlineStr"/>
      <c r="AL4" t="inlineStr"/>
    </row>
    <row r="5">
      <c r="A5" t="inlineStr">
        <is>
          <t>期初</t>
        </is>
      </c>
      <c r="D5" t="inlineStr">
        <is>
          <t>场内</t>
        </is>
      </c>
      <c r="E5" t="n">
        <v>601009</v>
      </c>
      <c r="F5" t="inlineStr">
        <is>
          <t>南京银行</t>
        </is>
      </c>
      <c r="G5" t="inlineStr">
        <is>
          <t>买入</t>
        </is>
      </c>
      <c r="H5" t="n">
        <v>300000</v>
      </c>
      <c r="I5" t="n">
        <v>11.10763483333333</v>
      </c>
      <c r="J5" t="n">
        <v>3332290.45</v>
      </c>
      <c r="K5" t="n">
        <v>3332290.45</v>
      </c>
      <c r="L5" t="n">
        <v>11.10763483333333</v>
      </c>
      <c r="M5" t="n">
        <v>300000</v>
      </c>
      <c r="N5" t="n">
        <v>3332290.45</v>
      </c>
      <c r="U5" t="n">
        <v>0</v>
      </c>
      <c r="Y5" t="inlineStr">
        <is>
          <t>601009.SH</t>
        </is>
      </c>
      <c r="Z5">
        <f>IF(Y5="","",IFERROR(INDEX('估值日行情'!$C$3:$C$61,MATCH(Y5,'估值日行情'!$A$3:$A$61,0)),""))</f>
        <v/>
      </c>
      <c r="AA5">
        <f>IF(D5="深港",IFERROR('FX_RATES_TO_CNY_HIST'!$B$3,""),1)</f>
        <v/>
      </c>
      <c r="AB5">
        <f>IF(Z5&lt;&gt;"",Z5*AA5,"")</f>
        <v/>
      </c>
      <c r="AC5">
        <f>SUMIFS($H$2:H5,$D$2:D5,D5,$E$2:E5,E5,$G$2:G5,"买入")-SUMIFS($H$2:H5,$D$2:D5,D5,$E$2:E5,E5,$G$2:G5,"卖出")</f>
        <v/>
      </c>
      <c r="AD5">
        <f>L5</f>
        <v/>
      </c>
      <c r="AE5">
        <f>IF(AC5&gt;0,AC5*Z5-AC5*AD5,0)</f>
        <v/>
      </c>
      <c r="AF5">
        <f>IF(AC5&gt;0,IF(D5="深港",AE5*AA5,AE5),0)</f>
        <v/>
      </c>
      <c r="AG5">
        <f>H5</f>
        <v/>
      </c>
      <c r="AH5">
        <f>K5</f>
        <v/>
      </c>
      <c r="AI5">
        <f>L5</f>
        <v/>
      </c>
      <c r="AJ5" t="n">
        <v>0</v>
      </c>
      <c r="AK5" t="inlineStr"/>
      <c r="AL5" t="inlineStr"/>
    </row>
    <row r="6">
      <c r="A6" t="inlineStr">
        <is>
          <t>期初</t>
        </is>
      </c>
      <c r="D6" t="inlineStr">
        <is>
          <t>场内</t>
        </is>
      </c>
      <c r="E6" t="n">
        <v>601098</v>
      </c>
      <c r="F6" t="inlineStr">
        <is>
          <t>中南传媒</t>
        </is>
      </c>
      <c r="G6" t="inlineStr">
        <is>
          <t>买入</t>
        </is>
      </c>
      <c r="H6" t="n">
        <v>300000</v>
      </c>
      <c r="I6" t="n">
        <v>13.0401135</v>
      </c>
      <c r="J6" t="n">
        <v>3912034.05</v>
      </c>
      <c r="K6" t="n">
        <v>3912034.05</v>
      </c>
      <c r="L6" t="n">
        <v>13.0401135</v>
      </c>
      <c r="M6" t="n">
        <v>300000</v>
      </c>
      <c r="N6" t="n">
        <v>3912034.05</v>
      </c>
      <c r="U6" t="n">
        <v>0</v>
      </c>
      <c r="Y6" t="inlineStr">
        <is>
          <t>601098.SH</t>
        </is>
      </c>
      <c r="Z6">
        <f>IF(Y6="","",IFERROR(INDEX('估值日行情'!$C$3:$C$61,MATCH(Y6,'估值日行情'!$A$3:$A$61,0)),""))</f>
        <v/>
      </c>
      <c r="AA6">
        <f>IF(D6="深港",IFERROR('FX_RATES_TO_CNY_HIST'!$B$3,""),1)</f>
        <v/>
      </c>
      <c r="AB6">
        <f>IF(Z6&lt;&gt;"",Z6*AA6,"")</f>
        <v/>
      </c>
      <c r="AC6">
        <f>SUMIFS($H$2:H6,$D$2:D6,D6,$E$2:E6,E6,$G$2:G6,"买入")-SUMIFS($H$2:H6,$D$2:D6,D6,$E$2:E6,E6,$G$2:G6,"卖出")</f>
        <v/>
      </c>
      <c r="AD6">
        <f>L6</f>
        <v/>
      </c>
      <c r="AE6">
        <f>IF(AC6&gt;0,AC6*Z6-AC6*AD6,0)</f>
        <v/>
      </c>
      <c r="AF6">
        <f>IF(AC6&gt;0,IF(D6="深港",AE6*AA6,AE6),0)</f>
        <v/>
      </c>
      <c r="AG6">
        <f>H6</f>
        <v/>
      </c>
      <c r="AH6">
        <f>K6</f>
        <v/>
      </c>
      <c r="AI6">
        <f>L6</f>
        <v/>
      </c>
      <c r="AJ6" t="n">
        <v>0</v>
      </c>
      <c r="AK6" t="inlineStr"/>
      <c r="AL6" t="inlineStr"/>
    </row>
    <row r="7">
      <c r="A7" t="inlineStr">
        <is>
          <t>期初</t>
        </is>
      </c>
      <c r="D7" t="inlineStr">
        <is>
          <t>场内</t>
        </is>
      </c>
      <c r="E7" t="n">
        <v>601166</v>
      </c>
      <c r="F7" t="inlineStr">
        <is>
          <t>兴业银行</t>
        </is>
      </c>
      <c r="G7" t="inlineStr">
        <is>
          <t>买入</t>
        </is>
      </c>
      <c r="H7" t="n">
        <v>300000</v>
      </c>
      <c r="I7" t="n">
        <v>21.15968866666666</v>
      </c>
      <c r="J7" t="n">
        <v>6347906.6</v>
      </c>
      <c r="K7" t="n">
        <v>6347906.6</v>
      </c>
      <c r="L7" t="n">
        <v>21.15968866666666</v>
      </c>
      <c r="M7" t="n">
        <v>300000</v>
      </c>
      <c r="N7" t="n">
        <v>6347906.6</v>
      </c>
      <c r="U7" t="n">
        <v>0</v>
      </c>
      <c r="Y7" t="inlineStr">
        <is>
          <t>601166.SH</t>
        </is>
      </c>
      <c r="Z7">
        <f>IF(Y7="","",IFERROR(INDEX('估值日行情'!$C$3:$C$61,MATCH(Y7,'估值日行情'!$A$3:$A$61,0)),""))</f>
        <v/>
      </c>
      <c r="AA7">
        <f>IF(D7="深港",IFERROR('FX_RATES_TO_CNY_HIST'!$B$3,""),1)</f>
        <v/>
      </c>
      <c r="AB7">
        <f>IF(Z7&lt;&gt;"",Z7*AA7,"")</f>
        <v/>
      </c>
      <c r="AC7">
        <f>SUMIFS($H$2:H7,$D$2:D7,D7,$E$2:E7,E7,$G$2:G7,"买入")-SUMIFS($H$2:H7,$D$2:D7,D7,$E$2:E7,E7,$G$2:G7,"卖出")</f>
        <v/>
      </c>
      <c r="AD7">
        <f>L7</f>
        <v/>
      </c>
      <c r="AE7">
        <f>IF(AC7&gt;0,AC7*Z7-AC7*AD7,0)</f>
        <v/>
      </c>
      <c r="AF7">
        <f>IF(AC7&gt;0,IF(D7="深港",AE7*AA7,AE7),0)</f>
        <v/>
      </c>
      <c r="AG7">
        <f>H7</f>
        <v/>
      </c>
      <c r="AH7">
        <f>K7</f>
        <v/>
      </c>
      <c r="AI7">
        <f>L7</f>
        <v/>
      </c>
      <c r="AJ7" t="n">
        <v>0</v>
      </c>
      <c r="AK7" t="inlineStr"/>
      <c r="AL7" t="inlineStr"/>
    </row>
    <row r="8">
      <c r="A8" t="inlineStr">
        <is>
          <t>期初</t>
        </is>
      </c>
      <c r="D8" t="inlineStr">
        <is>
          <t>场内</t>
        </is>
      </c>
      <c r="E8" t="n">
        <v>601169</v>
      </c>
      <c r="F8" t="inlineStr">
        <is>
          <t>北京银行</t>
        </is>
      </c>
      <c r="G8" t="inlineStr">
        <is>
          <t>买入</t>
        </is>
      </c>
      <c r="H8" t="n">
        <v>1500000</v>
      </c>
      <c r="I8" t="n">
        <v>5.861228393333334</v>
      </c>
      <c r="J8" t="n">
        <v>8791842.59</v>
      </c>
      <c r="K8" t="n">
        <v>8791842.59</v>
      </c>
      <c r="L8" t="n">
        <v>5.861228393333334</v>
      </c>
      <c r="M8" t="n">
        <v>1500000</v>
      </c>
      <c r="N8" t="n">
        <v>8791842.59</v>
      </c>
      <c r="U8" t="n">
        <v>0</v>
      </c>
      <c r="Y8" t="inlineStr">
        <is>
          <t>601169.SH</t>
        </is>
      </c>
      <c r="Z8">
        <f>IF(Y8="","",IFERROR(INDEX('估值日行情'!$C$3:$C$61,MATCH(Y8,'估值日行情'!$A$3:$A$61,0)),""))</f>
        <v/>
      </c>
      <c r="AA8">
        <f>IF(D8="深港",IFERROR('FX_RATES_TO_CNY_HIST'!$B$3,""),1)</f>
        <v/>
      </c>
      <c r="AB8">
        <f>IF(Z8&lt;&gt;"",Z8*AA8,"")</f>
        <v/>
      </c>
      <c r="AC8">
        <f>SUMIFS($H$2:H8,$D$2:D8,D8,$E$2:E8,E8,$G$2:G8,"买入")-SUMIFS($H$2:H8,$D$2:D8,D8,$E$2:E8,E8,$G$2:G8,"卖出")</f>
        <v/>
      </c>
      <c r="AD8">
        <f>L8</f>
        <v/>
      </c>
      <c r="AE8">
        <f>IF(AC8&gt;0,AC8*Z8-AC8*AD8,0)</f>
        <v/>
      </c>
      <c r="AF8">
        <f>IF(AC8&gt;0,IF(D8="深港",AE8*AA8,AE8),0)</f>
        <v/>
      </c>
      <c r="AG8">
        <f>H8</f>
        <v/>
      </c>
      <c r="AH8">
        <f>K8</f>
        <v/>
      </c>
      <c r="AI8">
        <f>L8</f>
        <v/>
      </c>
      <c r="AJ8" t="n">
        <v>0</v>
      </c>
      <c r="AK8" t="inlineStr"/>
      <c r="AL8" t="inlineStr"/>
    </row>
    <row r="9">
      <c r="A9" t="inlineStr">
        <is>
          <t>期初</t>
        </is>
      </c>
      <c r="D9" t="inlineStr">
        <is>
          <t>场内</t>
        </is>
      </c>
      <c r="E9" t="n">
        <v>601818</v>
      </c>
      <c r="F9" t="inlineStr">
        <is>
          <t>光大银行</t>
        </is>
      </c>
      <c r="G9" t="inlineStr">
        <is>
          <t>买入</t>
        </is>
      </c>
      <c r="H9" t="n">
        <v>2700000</v>
      </c>
      <c r="I9" t="n">
        <v>3.617340718518518</v>
      </c>
      <c r="J9" t="n">
        <v>9766819.939999999</v>
      </c>
      <c r="K9" t="n">
        <v>9766819.939999999</v>
      </c>
      <c r="L9" t="n">
        <v>3.617340718518518</v>
      </c>
      <c r="M9" t="n">
        <v>2700000</v>
      </c>
      <c r="N9" t="n">
        <v>9766819.939999999</v>
      </c>
      <c r="U9" t="n">
        <v>0</v>
      </c>
      <c r="Y9" t="inlineStr">
        <is>
          <t>601818.SH</t>
        </is>
      </c>
      <c r="Z9">
        <f>IF(Y9="","",IFERROR(INDEX('估值日行情'!$C$3:$C$61,MATCH(Y9,'估值日行情'!$A$3:$A$61,0)),""))</f>
        <v/>
      </c>
      <c r="AA9">
        <f>IF(D9="深港",IFERROR('FX_RATES_TO_CNY_HIST'!$B$3,""),1)</f>
        <v/>
      </c>
      <c r="AB9">
        <f>IF(Z9&lt;&gt;"",Z9*AA9,"")</f>
        <v/>
      </c>
      <c r="AC9">
        <f>SUMIFS($H$2:H9,$D$2:D9,D9,$E$2:E9,E9,$G$2:G9,"买入")-SUMIFS($H$2:H9,$D$2:D9,D9,$E$2:E9,E9,$G$2:G9,"卖出")</f>
        <v/>
      </c>
      <c r="AD9">
        <f>L9</f>
        <v/>
      </c>
      <c r="AE9">
        <f>IF(AC9&gt;0,AC9*Z9-AC9*AD9,0)</f>
        <v/>
      </c>
      <c r="AF9">
        <f>IF(AC9&gt;0,IF(D9="深港",AE9*AA9,AE9),0)</f>
        <v/>
      </c>
      <c r="AG9">
        <f>H9</f>
        <v/>
      </c>
      <c r="AH9">
        <f>K9</f>
        <v/>
      </c>
      <c r="AI9">
        <f>L9</f>
        <v/>
      </c>
      <c r="AJ9" t="n">
        <v>0</v>
      </c>
      <c r="AK9" t="inlineStr"/>
      <c r="AL9" t="inlineStr"/>
    </row>
    <row r="10">
      <c r="A10" t="inlineStr">
        <is>
          <t>期初</t>
        </is>
      </c>
      <c r="D10" t="inlineStr">
        <is>
          <t>场内</t>
        </is>
      </c>
      <c r="E10" t="n">
        <v>601900</v>
      </c>
      <c r="F10" t="inlineStr">
        <is>
          <t>南方传媒</t>
        </is>
      </c>
      <c r="G10" t="inlineStr">
        <is>
          <t>买入</t>
        </is>
      </c>
      <c r="H10" t="n">
        <v>200000</v>
      </c>
      <c r="I10" t="n">
        <v>15.46948145</v>
      </c>
      <c r="J10" t="n">
        <v>3093896.29</v>
      </c>
      <c r="K10" t="n">
        <v>3093896.29</v>
      </c>
      <c r="L10" t="n">
        <v>15.46948145</v>
      </c>
      <c r="M10" t="n">
        <v>200000</v>
      </c>
      <c r="N10" t="n">
        <v>3093896.29</v>
      </c>
      <c r="U10" t="n">
        <v>0</v>
      </c>
      <c r="Y10" t="inlineStr">
        <is>
          <t>601900.SH</t>
        </is>
      </c>
      <c r="Z10">
        <f>IF(Y10="","",IFERROR(INDEX('估值日行情'!$C$3:$C$61,MATCH(Y10,'估值日行情'!$A$3:$A$61,0)),""))</f>
        <v/>
      </c>
      <c r="AA10">
        <f>IF(D10="深港",IFERROR('FX_RATES_TO_CNY_HIST'!$B$3,""),1)</f>
        <v/>
      </c>
      <c r="AB10">
        <f>IF(Z10&lt;&gt;"",Z10*AA10,"")</f>
        <v/>
      </c>
      <c r="AC10">
        <f>SUMIFS($H$2:H10,$D$2:D10,D10,$E$2:E10,E10,$G$2:G10,"买入")-SUMIFS($H$2:H10,$D$2:D10,D10,$E$2:E10,E10,$G$2:G10,"卖出")</f>
        <v/>
      </c>
      <c r="AD10">
        <f>L10</f>
        <v/>
      </c>
      <c r="AE10">
        <f>IF(AC10&gt;0,AC10*Z10-AC10*AD10,0)</f>
        <v/>
      </c>
      <c r="AF10">
        <f>IF(AC10&gt;0,IF(D10="深港",AE10*AA10,AE10),0)</f>
        <v/>
      </c>
      <c r="AG10">
        <f>H10</f>
        <v/>
      </c>
      <c r="AH10">
        <f>K10</f>
        <v/>
      </c>
      <c r="AI10">
        <f>L10</f>
        <v/>
      </c>
      <c r="AJ10" t="n">
        <v>0</v>
      </c>
      <c r="AK10" t="inlineStr"/>
      <c r="AL10" t="inlineStr"/>
    </row>
    <row r="11">
      <c r="A11" t="inlineStr">
        <is>
          <t>期初</t>
        </is>
      </c>
      <c r="D11" t="inlineStr">
        <is>
          <t>场内</t>
        </is>
      </c>
      <c r="E11" t="n">
        <v>603198</v>
      </c>
      <c r="F11" t="inlineStr">
        <is>
          <t>迎驾贡酒</t>
        </is>
      </c>
      <c r="G11" t="inlineStr">
        <is>
          <t>买入</t>
        </is>
      </c>
      <c r="H11" t="n">
        <v>60000</v>
      </c>
      <c r="I11" t="n">
        <v>43.96599833333333</v>
      </c>
      <c r="J11" t="n">
        <v>2637959.9</v>
      </c>
      <c r="K11" t="n">
        <v>2637959.9</v>
      </c>
      <c r="L11" t="n">
        <v>43.96599833333333</v>
      </c>
      <c r="M11" t="n">
        <v>60000</v>
      </c>
      <c r="N11" t="n">
        <v>2637959.9</v>
      </c>
      <c r="U11" t="n">
        <v>0</v>
      </c>
      <c r="Y11" t="inlineStr">
        <is>
          <t>603198.SH</t>
        </is>
      </c>
      <c r="Z11">
        <f>IF(Y11="","",IFERROR(INDEX('估值日行情'!$C$3:$C$61,MATCH(Y11,'估值日行情'!$A$3:$A$61,0)),""))</f>
        <v/>
      </c>
      <c r="AA11">
        <f>IF(D11="深港",IFERROR('FX_RATES_TO_CNY_HIST'!$B$3,""),1)</f>
        <v/>
      </c>
      <c r="AB11">
        <f>IF(Z11&lt;&gt;"",Z11*AA11,"")</f>
        <v/>
      </c>
      <c r="AC11">
        <f>SUMIFS($H$2:H11,$D$2:D11,D11,$E$2:E11,E11,$G$2:G11,"买入")-SUMIFS($H$2:H11,$D$2:D11,D11,$E$2:E11,E11,$G$2:G11,"卖出")</f>
        <v/>
      </c>
      <c r="AD11">
        <f>L11</f>
        <v/>
      </c>
      <c r="AE11">
        <f>IF(AC11&gt;0,AC11*Z11-AC11*AD11,0)</f>
        <v/>
      </c>
      <c r="AF11">
        <f>IF(AC11&gt;0,IF(D11="深港",AE11*AA11,AE11),0)</f>
        <v/>
      </c>
      <c r="AG11">
        <f>H11</f>
        <v/>
      </c>
      <c r="AH11">
        <f>K11</f>
        <v/>
      </c>
      <c r="AI11">
        <f>L11</f>
        <v/>
      </c>
      <c r="AJ11" t="n">
        <v>0</v>
      </c>
      <c r="AK11" t="inlineStr"/>
      <c r="AL11" t="inlineStr"/>
    </row>
    <row r="12">
      <c r="A12" t="inlineStr">
        <is>
          <t>期初</t>
        </is>
      </c>
      <c r="D12" t="inlineStr">
        <is>
          <t>场内</t>
        </is>
      </c>
      <c r="E12" t="n">
        <v>603369</v>
      </c>
      <c r="F12" t="inlineStr">
        <is>
          <t>今世缘</t>
        </is>
      </c>
      <c r="G12" t="inlineStr">
        <is>
          <t>买入</t>
        </is>
      </c>
      <c r="H12" t="n">
        <v>60000</v>
      </c>
      <c r="I12" t="n">
        <v>41.0165945</v>
      </c>
      <c r="J12" t="n">
        <v>2460995.67</v>
      </c>
      <c r="K12" t="n">
        <v>2460995.67</v>
      </c>
      <c r="L12" t="n">
        <v>41.0165945</v>
      </c>
      <c r="M12" t="n">
        <v>60000</v>
      </c>
      <c r="N12" t="n">
        <v>2460995.67</v>
      </c>
      <c r="U12" t="n">
        <v>0</v>
      </c>
      <c r="Y12" t="inlineStr">
        <is>
          <t>603369.SH</t>
        </is>
      </c>
      <c r="Z12">
        <f>IF(Y12="","",IFERROR(INDEX('估值日行情'!$C$3:$C$61,MATCH(Y12,'估值日行情'!$A$3:$A$61,0)),""))</f>
        <v/>
      </c>
      <c r="AA12">
        <f>IF(D12="深港",IFERROR('FX_RATES_TO_CNY_HIST'!$B$3,""),1)</f>
        <v/>
      </c>
      <c r="AB12">
        <f>IF(Z12&lt;&gt;"",Z12*AA12,"")</f>
        <v/>
      </c>
      <c r="AC12">
        <f>SUMIFS($H$2:H12,$D$2:D12,D12,$E$2:E12,E12,$G$2:G12,"买入")-SUMIFS($H$2:H12,$D$2:D12,D12,$E$2:E12,E12,$G$2:G12,"卖出")</f>
        <v/>
      </c>
      <c r="AD12">
        <f>L12</f>
        <v/>
      </c>
      <c r="AE12">
        <f>IF(AC12&gt;0,AC12*Z12-AC12*AD12,0)</f>
        <v/>
      </c>
      <c r="AF12">
        <f>IF(AC12&gt;0,IF(D12="深港",AE12*AA12,AE12),0)</f>
        <v/>
      </c>
      <c r="AG12">
        <f>H12</f>
        <v/>
      </c>
      <c r="AH12">
        <f>K12</f>
        <v/>
      </c>
      <c r="AI12">
        <f>L12</f>
        <v/>
      </c>
      <c r="AJ12" t="n">
        <v>0</v>
      </c>
      <c r="AK12" t="inlineStr"/>
      <c r="AL12" t="inlineStr"/>
    </row>
    <row r="13">
      <c r="A13" t="inlineStr">
        <is>
          <t>期初</t>
        </is>
      </c>
      <c r="D13" t="inlineStr">
        <is>
          <t>场内</t>
        </is>
      </c>
      <c r="E13" t="n">
        <v>1</v>
      </c>
      <c r="F13" t="inlineStr">
        <is>
          <t>平安银行</t>
        </is>
      </c>
      <c r="G13" t="inlineStr">
        <is>
          <t>买入</t>
        </is>
      </c>
      <c r="H13" t="n">
        <v>700000</v>
      </c>
      <c r="I13" t="n">
        <v>11.65624652857143</v>
      </c>
      <c r="J13" t="n">
        <v>8159372.57</v>
      </c>
      <c r="K13" t="n">
        <v>8159372.57</v>
      </c>
      <c r="L13" t="n">
        <v>11.65624652857143</v>
      </c>
      <c r="M13" t="n">
        <v>700000</v>
      </c>
      <c r="N13" t="n">
        <v>8159372.57</v>
      </c>
      <c r="U13" t="n">
        <v>0</v>
      </c>
      <c r="Y13" t="inlineStr">
        <is>
          <t>000001.SZ</t>
        </is>
      </c>
      <c r="Z13">
        <f>IF(Y13="","",IFERROR(INDEX('估值日行情'!$C$3:$C$61,MATCH(Y13,'估值日行情'!$A$3:$A$61,0)),""))</f>
        <v/>
      </c>
      <c r="AA13">
        <f>IF(D13="深港",IFERROR('FX_RATES_TO_CNY_HIST'!$B$3,""),1)</f>
        <v/>
      </c>
      <c r="AB13">
        <f>IF(Z13&lt;&gt;"",Z13*AA13,"")</f>
        <v/>
      </c>
      <c r="AC13">
        <f>SUMIFS($H$2:H13,$D$2:D13,D13,$E$2:E13,E13,$G$2:G13,"买入")-SUMIFS($H$2:H13,$D$2:D13,D13,$E$2:E13,E13,$G$2:G13,"卖出")</f>
        <v/>
      </c>
      <c r="AD13">
        <f>L13</f>
        <v/>
      </c>
      <c r="AE13">
        <f>IF(AC13&gt;0,AC13*Z13-AC13*AD13,0)</f>
        <v/>
      </c>
      <c r="AF13">
        <f>IF(AC13&gt;0,IF(D13="深港",AE13*AA13,AE13),0)</f>
        <v/>
      </c>
      <c r="AG13">
        <f>H13</f>
        <v/>
      </c>
      <c r="AH13">
        <f>K13</f>
        <v/>
      </c>
      <c r="AI13">
        <f>L13</f>
        <v/>
      </c>
      <c r="AJ13" t="n">
        <v>0</v>
      </c>
      <c r="AK13" t="inlineStr"/>
      <c r="AL13" t="inlineStr"/>
    </row>
    <row r="14">
      <c r="A14" t="inlineStr">
        <is>
          <t>期初</t>
        </is>
      </c>
      <c r="D14" t="inlineStr">
        <is>
          <t>场内</t>
        </is>
      </c>
      <c r="E14" t="n">
        <v>568</v>
      </c>
      <c r="F14" t="inlineStr">
        <is>
          <t>泸州老窖</t>
        </is>
      </c>
      <c r="G14" t="inlineStr">
        <is>
          <t>买入</t>
        </is>
      </c>
      <c r="H14" t="n">
        <v>25000</v>
      </c>
      <c r="I14" t="n">
        <v>121.7237972</v>
      </c>
      <c r="J14" t="n">
        <v>3043094.93</v>
      </c>
      <c r="K14" t="n">
        <v>3043094.93</v>
      </c>
      <c r="L14" t="n">
        <v>121.7237972</v>
      </c>
      <c r="M14" t="n">
        <v>25000</v>
      </c>
      <c r="N14" t="n">
        <v>3043094.93</v>
      </c>
      <c r="U14" t="n">
        <v>0</v>
      </c>
      <c r="Y14" t="inlineStr">
        <is>
          <t>000568.SZ</t>
        </is>
      </c>
      <c r="Z14">
        <f>IF(Y14="","",IFERROR(INDEX('估值日行情'!$C$3:$C$61,MATCH(Y14,'估值日行情'!$A$3:$A$61,0)),""))</f>
        <v/>
      </c>
      <c r="AA14">
        <f>IF(D14="深港",IFERROR('FX_RATES_TO_CNY_HIST'!$B$3,""),1)</f>
        <v/>
      </c>
      <c r="AB14">
        <f>IF(Z14&lt;&gt;"",Z14*AA14,"")</f>
        <v/>
      </c>
      <c r="AC14">
        <f>SUMIFS($H$2:H14,$D$2:D14,D14,$E$2:E14,E14,$G$2:G14,"买入")-SUMIFS($H$2:H14,$D$2:D14,D14,$E$2:E14,E14,$G$2:G14,"卖出")</f>
        <v/>
      </c>
      <c r="AD14">
        <f>L14</f>
        <v/>
      </c>
      <c r="AE14">
        <f>IF(AC14&gt;0,AC14*Z14-AC14*AD14,0)</f>
        <v/>
      </c>
      <c r="AF14">
        <f>IF(AC14&gt;0,IF(D14="深港",AE14*AA14,AE14),0)</f>
        <v/>
      </c>
      <c r="AG14">
        <f>H14</f>
        <v/>
      </c>
      <c r="AH14">
        <f>K14</f>
        <v/>
      </c>
      <c r="AI14">
        <f>L14</f>
        <v/>
      </c>
      <c r="AJ14" t="n">
        <v>0</v>
      </c>
      <c r="AK14" t="inlineStr"/>
      <c r="AL14" t="inlineStr"/>
    </row>
    <row r="15">
      <c r="A15" t="inlineStr">
        <is>
          <t>期初</t>
        </is>
      </c>
      <c r="D15" t="inlineStr">
        <is>
          <t>场内</t>
        </is>
      </c>
      <c r="E15" t="n">
        <v>858</v>
      </c>
      <c r="F15" t="inlineStr">
        <is>
          <t>五 粮 液</t>
        </is>
      </c>
      <c r="G15" t="inlineStr">
        <is>
          <t>买入</t>
        </is>
      </c>
      <c r="H15" t="n">
        <v>20000</v>
      </c>
      <c r="I15" t="n">
        <v>129.798445</v>
      </c>
      <c r="J15" t="n">
        <v>2595968.9</v>
      </c>
      <c r="K15" t="n">
        <v>2595968.9</v>
      </c>
      <c r="L15" t="n">
        <v>129.798445</v>
      </c>
      <c r="M15" t="n">
        <v>20000</v>
      </c>
      <c r="N15" t="n">
        <v>2595968.9</v>
      </c>
      <c r="U15" t="n">
        <v>0</v>
      </c>
      <c r="Y15" t="inlineStr">
        <is>
          <t>000858.SZ</t>
        </is>
      </c>
      <c r="Z15">
        <f>IF(Y15="","",IFERROR(INDEX('估值日行情'!$C$3:$C$61,MATCH(Y15,'估值日行情'!$A$3:$A$61,0)),""))</f>
        <v/>
      </c>
      <c r="AA15">
        <f>IF(D15="深港",IFERROR('FX_RATES_TO_CNY_HIST'!$B$3,""),1)</f>
        <v/>
      </c>
      <c r="AB15">
        <f>IF(Z15&lt;&gt;"",Z15*AA15,"")</f>
        <v/>
      </c>
      <c r="AC15">
        <f>SUMIFS($H$2:H15,$D$2:D15,D15,$E$2:E15,E15,$G$2:G15,"买入")-SUMIFS($H$2:H15,$D$2:D15,D15,$E$2:E15,E15,$G$2:G15,"卖出")</f>
        <v/>
      </c>
      <c r="AD15">
        <f>L15</f>
        <v/>
      </c>
      <c r="AE15">
        <f>IF(AC15&gt;0,AC15*Z15-AC15*AD15,0)</f>
        <v/>
      </c>
      <c r="AF15">
        <f>IF(AC15&gt;0,IF(D15="深港",AE15*AA15,AE15),0)</f>
        <v/>
      </c>
      <c r="AG15">
        <f>H15</f>
        <v/>
      </c>
      <c r="AH15">
        <f>K15</f>
        <v/>
      </c>
      <c r="AI15">
        <f>L15</f>
        <v/>
      </c>
      <c r="AJ15" t="n">
        <v>0</v>
      </c>
      <c r="AK15" t="inlineStr"/>
      <c r="AL15" t="inlineStr"/>
    </row>
    <row r="16">
      <c r="A16" t="inlineStr">
        <is>
          <t>期初</t>
        </is>
      </c>
      <c r="D16" t="inlineStr">
        <is>
          <t>深港</t>
        </is>
      </c>
      <c r="E16" t="n">
        <v>177</v>
      </c>
      <c r="F16" t="inlineStr">
        <is>
          <t>江苏宁沪高速公路</t>
        </is>
      </c>
      <c r="G16" t="inlineStr">
        <is>
          <t>买入</t>
        </is>
      </c>
      <c r="H16" t="n">
        <v>650000</v>
      </c>
      <c r="I16">
        <f>IF('FX_RATES_TO_CNY_HIST'!$B$5&gt;0,L16/'FX_RATES_TO_CNY_HIST'!$B$5,"")</f>
        <v/>
      </c>
      <c r="J16">
        <f>IF(I16&lt;&gt;"",I16*H16,"")</f>
        <v/>
      </c>
      <c r="K16" t="n">
        <v>5863319.29</v>
      </c>
      <c r="L16" t="n">
        <v>9.020491215384615</v>
      </c>
      <c r="M16" t="n">
        <v>650000</v>
      </c>
      <c r="N16" t="n">
        <v>5863319.29</v>
      </c>
      <c r="U16" t="n">
        <v>0</v>
      </c>
      <c r="Y16" t="inlineStr">
        <is>
          <t>0177.HK</t>
        </is>
      </c>
      <c r="Z16">
        <f>IF(Y16="","",IFERROR(INDEX('估值日行情'!$C$3:$C$61,MATCH(Y16,'估值日行情'!$A$3:$A$61,0)),""))</f>
        <v/>
      </c>
      <c r="AA16">
        <f>IF(D16="深港",IFERROR('FX_RATES_TO_CNY_HIST'!$B$3,""),1)</f>
        <v/>
      </c>
      <c r="AB16">
        <f>IF(Z16&lt;&gt;"",Z16*AA16,"")</f>
        <v/>
      </c>
      <c r="AC16">
        <f>SUMIFS($H$2:H16,$D$2:D16,D16,$E$2:E16,E16,$G$2:G16,"买入")-SUMIFS($H$2:H16,$D$2:D16,D16,$E$2:E16,E16,$G$2:G16,"卖出")</f>
        <v/>
      </c>
      <c r="AD16">
        <f>I16</f>
        <v/>
      </c>
      <c r="AE16">
        <f>IF(AC16&gt;0,AC16*Z16-AC16*AD16,0)</f>
        <v/>
      </c>
      <c r="AF16">
        <f>IF(AC16&gt;0,IF(D16="深港",AE16*AA16,AE16),0)</f>
        <v/>
      </c>
      <c r="AG16">
        <f>H16</f>
        <v/>
      </c>
      <c r="AH16">
        <f>K16</f>
        <v/>
      </c>
      <c r="AI16">
        <f>L16</f>
        <v/>
      </c>
      <c r="AJ16" t="n">
        <v>0</v>
      </c>
      <c r="AK16" t="inlineStr"/>
      <c r="AL16" t="inlineStr"/>
    </row>
    <row r="17">
      <c r="A17" t="inlineStr">
        <is>
          <t>期初</t>
        </is>
      </c>
      <c r="D17" t="inlineStr">
        <is>
          <t>深港</t>
        </is>
      </c>
      <c r="E17" t="n">
        <v>300</v>
      </c>
      <c r="F17" t="inlineStr">
        <is>
          <t>美的集团</t>
        </is>
      </c>
      <c r="G17" t="inlineStr">
        <is>
          <t>买入</t>
        </is>
      </c>
      <c r="H17" t="n">
        <v>100000</v>
      </c>
      <c r="I17">
        <f>IF('FX_RATES_TO_CNY_HIST'!$B$5&gt;0,L17/'FX_RATES_TO_CNY_HIST'!$B$5,"")</f>
        <v/>
      </c>
      <c r="J17">
        <f>IF(I17&lt;&gt;"",I17*H17,"")</f>
        <v/>
      </c>
      <c r="K17" t="n">
        <v>6933854.89</v>
      </c>
      <c r="L17" t="n">
        <v>69.33854889999999</v>
      </c>
      <c r="M17" t="n">
        <v>100000</v>
      </c>
      <c r="N17" t="n">
        <v>6933854.89</v>
      </c>
      <c r="U17" t="n">
        <v>0</v>
      </c>
      <c r="Y17" t="inlineStr">
        <is>
          <t>0300.HK</t>
        </is>
      </c>
      <c r="Z17">
        <f>IF(Y17="","",IFERROR(INDEX('估值日行情'!$C$3:$C$61,MATCH(Y17,'估值日行情'!$A$3:$A$61,0)),""))</f>
        <v/>
      </c>
      <c r="AA17">
        <f>IF(D17="深港",IFERROR('FX_RATES_TO_CNY_HIST'!$B$3,""),1)</f>
        <v/>
      </c>
      <c r="AB17">
        <f>IF(Z17&lt;&gt;"",Z17*AA17,"")</f>
        <v/>
      </c>
      <c r="AC17">
        <f>SUMIFS($H$2:H17,$D$2:D17,D17,$E$2:E17,E17,$G$2:G17,"买入")-SUMIFS($H$2:H17,$D$2:D17,D17,$E$2:E17,E17,$G$2:G17,"卖出")</f>
        <v/>
      </c>
      <c r="AD17">
        <f>I17</f>
        <v/>
      </c>
      <c r="AE17">
        <f>IF(AC17&gt;0,AC17*Z17-AC17*AD17,0)</f>
        <v/>
      </c>
      <c r="AF17">
        <f>IF(AC17&gt;0,IF(D17="深港",AE17*AA17,AE17),0)</f>
        <v/>
      </c>
      <c r="AG17">
        <f>H17</f>
        <v/>
      </c>
      <c r="AH17">
        <f>K17</f>
        <v/>
      </c>
      <c r="AI17">
        <f>L17</f>
        <v/>
      </c>
      <c r="AJ17" t="n">
        <v>0</v>
      </c>
      <c r="AK17" t="inlineStr"/>
      <c r="AL17" t="inlineStr"/>
    </row>
    <row r="18">
      <c r="A18" t="inlineStr">
        <is>
          <t>期初</t>
        </is>
      </c>
      <c r="D18" t="inlineStr">
        <is>
          <t>深港</t>
        </is>
      </c>
      <c r="E18" t="n">
        <v>322</v>
      </c>
      <c r="F18" t="inlineStr">
        <is>
          <t>康师傅控股</t>
        </is>
      </c>
      <c r="G18" t="inlineStr">
        <is>
          <t>买入</t>
        </is>
      </c>
      <c r="H18" t="n">
        <v>600000</v>
      </c>
      <c r="I18">
        <f>IF('FX_RATES_TO_CNY_HIST'!$B$5&gt;0,L18/'FX_RATES_TO_CNY_HIST'!$B$5,"")</f>
        <v/>
      </c>
      <c r="J18">
        <f>IF(I18&lt;&gt;"",I18*H18,"")</f>
        <v/>
      </c>
      <c r="K18" t="n">
        <v>6343601.17</v>
      </c>
      <c r="L18" t="n">
        <v>10.57266861666667</v>
      </c>
      <c r="M18" t="n">
        <v>600000</v>
      </c>
      <c r="N18" t="n">
        <v>6343601.17</v>
      </c>
      <c r="U18" t="n">
        <v>0</v>
      </c>
      <c r="Y18" t="inlineStr">
        <is>
          <t>0322.HK</t>
        </is>
      </c>
      <c r="Z18">
        <f>IF(Y18="","",IFERROR(INDEX('估值日行情'!$C$3:$C$61,MATCH(Y18,'估值日行情'!$A$3:$A$61,0)),""))</f>
        <v/>
      </c>
      <c r="AA18">
        <f>IF(D18="深港",IFERROR('FX_RATES_TO_CNY_HIST'!$B$3,""),1)</f>
        <v/>
      </c>
      <c r="AB18">
        <f>IF(Z18&lt;&gt;"",Z18*AA18,"")</f>
        <v/>
      </c>
      <c r="AC18">
        <f>SUMIFS($H$2:H18,$D$2:D18,D18,$E$2:E18,E18,$G$2:G18,"买入")-SUMIFS($H$2:H18,$D$2:D18,D18,$E$2:E18,E18,$G$2:G18,"卖出")</f>
        <v/>
      </c>
      <c r="AD18">
        <f>I18</f>
        <v/>
      </c>
      <c r="AE18">
        <f>IF(AC18&gt;0,AC18*Z18-AC18*AD18,0)</f>
        <v/>
      </c>
      <c r="AF18">
        <f>IF(AC18&gt;0,IF(D18="深港",AE18*AA18,AE18),0)</f>
        <v/>
      </c>
      <c r="AG18">
        <f>H18</f>
        <v/>
      </c>
      <c r="AH18">
        <f>K18</f>
        <v/>
      </c>
      <c r="AI18">
        <f>L18</f>
        <v/>
      </c>
      <c r="AJ18" t="n">
        <v>0</v>
      </c>
      <c r="AK18" t="inlineStr"/>
      <c r="AL18" t="inlineStr"/>
    </row>
    <row r="19">
      <c r="A19" t="inlineStr">
        <is>
          <t>期初</t>
        </is>
      </c>
      <c r="D19" t="inlineStr">
        <is>
          <t>深港</t>
        </is>
      </c>
      <c r="E19" t="n">
        <v>371</v>
      </c>
      <c r="F19" t="inlineStr">
        <is>
          <t>北控水务集团</t>
        </is>
      </c>
      <c r="G19" t="inlineStr">
        <is>
          <t>买入</t>
        </is>
      </c>
      <c r="H19" t="n">
        <v>2000000</v>
      </c>
      <c r="I19">
        <f>IF('FX_RATES_TO_CNY_HIST'!$B$5&gt;0,L19/'FX_RATES_TO_CNY_HIST'!$B$5,"")</f>
        <v/>
      </c>
      <c r="J19">
        <f>IF(I19&lt;&gt;"",I19*H19,"")</f>
        <v/>
      </c>
      <c r="K19" t="n">
        <v>4522632.09</v>
      </c>
      <c r="L19" t="n">
        <v>2.261316045</v>
      </c>
      <c r="M19" t="n">
        <v>2000000</v>
      </c>
      <c r="N19" t="n">
        <v>4522632.09</v>
      </c>
      <c r="U19" t="n">
        <v>0</v>
      </c>
      <c r="Y19" t="inlineStr">
        <is>
          <t>0371.HK</t>
        </is>
      </c>
      <c r="Z19">
        <f>IF(Y19="","",IFERROR(INDEX('估值日行情'!$C$3:$C$61,MATCH(Y19,'估值日行情'!$A$3:$A$61,0)),""))</f>
        <v/>
      </c>
      <c r="AA19">
        <f>IF(D19="深港",IFERROR('FX_RATES_TO_CNY_HIST'!$B$3,""),1)</f>
        <v/>
      </c>
      <c r="AB19">
        <f>IF(Z19&lt;&gt;"",Z19*AA19,"")</f>
        <v/>
      </c>
      <c r="AC19">
        <f>SUMIFS($H$2:H19,$D$2:D19,D19,$E$2:E19,E19,$G$2:G19,"买入")-SUMIFS($H$2:H19,$D$2:D19,D19,$E$2:E19,E19,$G$2:G19,"卖出")</f>
        <v/>
      </c>
      <c r="AD19">
        <f>I19</f>
        <v/>
      </c>
      <c r="AE19">
        <f>IF(AC19&gt;0,AC19*Z19-AC19*AD19,0)</f>
        <v/>
      </c>
      <c r="AF19">
        <f>IF(AC19&gt;0,IF(D19="深港",AE19*AA19,AE19),0)</f>
        <v/>
      </c>
      <c r="AG19">
        <f>H19</f>
        <v/>
      </c>
      <c r="AH19">
        <f>K19</f>
        <v/>
      </c>
      <c r="AI19">
        <f>L19</f>
        <v/>
      </c>
      <c r="AJ19" t="n">
        <v>0</v>
      </c>
      <c r="AK19" t="inlineStr"/>
      <c r="AL19" t="inlineStr"/>
    </row>
    <row r="20">
      <c r="A20" t="inlineStr">
        <is>
          <t>期初</t>
        </is>
      </c>
      <c r="D20" t="inlineStr">
        <is>
          <t>深港</t>
        </is>
      </c>
      <c r="E20" t="n">
        <v>576</v>
      </c>
      <c r="F20" t="inlineStr">
        <is>
          <t>浙江沪杭甬</t>
        </is>
      </c>
      <c r="G20" t="inlineStr">
        <is>
          <t>买入</t>
        </is>
      </c>
      <c r="H20" t="n">
        <v>600000</v>
      </c>
      <c r="I20">
        <f>IF('FX_RATES_TO_CNY_HIST'!$B$5&gt;0,L20/'FX_RATES_TO_CNY_HIST'!$B$5,"")</f>
        <v/>
      </c>
      <c r="J20">
        <f>IF(I20&lt;&gt;"",I20*H20,"")</f>
        <v/>
      </c>
      <c r="K20" t="n">
        <v>3539217.35</v>
      </c>
      <c r="L20" t="n">
        <v>5.898695583333334</v>
      </c>
      <c r="M20" t="n">
        <v>600000</v>
      </c>
      <c r="N20" t="n">
        <v>3539217.35</v>
      </c>
      <c r="U20" t="n">
        <v>0</v>
      </c>
      <c r="Y20" t="inlineStr">
        <is>
          <t>0576.HK</t>
        </is>
      </c>
      <c r="Z20">
        <f>IF(Y20="","",IFERROR(INDEX('估值日行情'!$C$3:$C$61,MATCH(Y20,'估值日行情'!$A$3:$A$61,0)),""))</f>
        <v/>
      </c>
      <c r="AA20">
        <f>IF(D20="深港",IFERROR('FX_RATES_TO_CNY_HIST'!$B$3,""),1)</f>
        <v/>
      </c>
      <c r="AB20">
        <f>IF(Z20&lt;&gt;"",Z20*AA20,"")</f>
        <v/>
      </c>
      <c r="AC20">
        <f>SUMIFS($H$2:H20,$D$2:D20,D20,$E$2:E20,E20,$G$2:G20,"买入")-SUMIFS($H$2:H20,$D$2:D20,D20,$E$2:E20,E20,$G$2:G20,"卖出")</f>
        <v/>
      </c>
      <c r="AD20">
        <f>I20</f>
        <v/>
      </c>
      <c r="AE20">
        <f>IF(AC20&gt;0,AC20*Z20-AC20*AD20,0)</f>
        <v/>
      </c>
      <c r="AF20">
        <f>IF(AC20&gt;0,IF(D20="深港",AE20*AA20,AE20),0)</f>
        <v/>
      </c>
      <c r="AG20">
        <f>H20</f>
        <v/>
      </c>
      <c r="AH20">
        <f>K20</f>
        <v/>
      </c>
      <c r="AI20">
        <f>L20</f>
        <v/>
      </c>
      <c r="AJ20" t="n">
        <v>0</v>
      </c>
      <c r="AK20" t="inlineStr"/>
      <c r="AL20" t="inlineStr"/>
    </row>
    <row r="21">
      <c r="A21" t="inlineStr">
        <is>
          <t>期初</t>
        </is>
      </c>
      <c r="D21" t="inlineStr">
        <is>
          <t>深港</t>
        </is>
      </c>
      <c r="E21" t="n">
        <v>728</v>
      </c>
      <c r="F21" t="inlineStr">
        <is>
          <t>中国电信</t>
        </is>
      </c>
      <c r="G21" t="inlineStr">
        <is>
          <t>买入</t>
        </is>
      </c>
      <c r="H21" t="n">
        <v>1700000</v>
      </c>
      <c r="I21">
        <f>IF('FX_RATES_TO_CNY_HIST'!$B$5&gt;0,L21/'FX_RATES_TO_CNY_HIST'!$B$5,"")</f>
        <v/>
      </c>
      <c r="J21">
        <f>IF(I21&lt;&gt;"",I21*H21,"")</f>
        <v/>
      </c>
      <c r="K21" t="n">
        <v>8799860.869999999</v>
      </c>
      <c r="L21" t="n">
        <v>5.176388747058823</v>
      </c>
      <c r="M21" t="n">
        <v>1700000</v>
      </c>
      <c r="N21" t="n">
        <v>8799860.869999999</v>
      </c>
      <c r="U21" t="n">
        <v>0</v>
      </c>
      <c r="Y21" t="inlineStr">
        <is>
          <t>0728.HK</t>
        </is>
      </c>
      <c r="Z21">
        <f>IF(Y21="","",IFERROR(INDEX('估值日行情'!$C$3:$C$61,MATCH(Y21,'估值日行情'!$A$3:$A$61,0)),""))</f>
        <v/>
      </c>
      <c r="AA21">
        <f>IF(D21="深港",IFERROR('FX_RATES_TO_CNY_HIST'!$B$3,""),1)</f>
        <v/>
      </c>
      <c r="AB21">
        <f>IF(Z21&lt;&gt;"",Z21*AA21,"")</f>
        <v/>
      </c>
      <c r="AC21">
        <f>SUMIFS($H$2:H21,$D$2:D21,D21,$E$2:E21,E21,$G$2:G21,"买入")-SUMIFS($H$2:H21,$D$2:D21,D21,$E$2:E21,E21,$G$2:G21,"卖出")</f>
        <v/>
      </c>
      <c r="AD21">
        <f>I21</f>
        <v/>
      </c>
      <c r="AE21">
        <f>IF(AC21&gt;0,AC21*Z21-AC21*AD21,0)</f>
        <v/>
      </c>
      <c r="AF21">
        <f>IF(AC21&gt;0,IF(D21="深港",AE21*AA21,AE21),0)</f>
        <v/>
      </c>
      <c r="AG21">
        <f>H21</f>
        <v/>
      </c>
      <c r="AH21">
        <f>K21</f>
        <v/>
      </c>
      <c r="AI21">
        <f>L21</f>
        <v/>
      </c>
      <c r="AJ21" t="n">
        <v>0</v>
      </c>
      <c r="AK21" t="inlineStr"/>
      <c r="AL21" t="inlineStr"/>
    </row>
    <row r="22">
      <c r="A22" t="inlineStr">
        <is>
          <t>期初</t>
        </is>
      </c>
      <c r="D22" t="inlineStr">
        <is>
          <t>深港</t>
        </is>
      </c>
      <c r="E22" t="n">
        <v>762</v>
      </c>
      <c r="F22" t="inlineStr">
        <is>
          <t>中国联通</t>
        </is>
      </c>
      <c r="G22" t="inlineStr">
        <is>
          <t>买入</t>
        </is>
      </c>
      <c r="H22" t="n">
        <v>1240000</v>
      </c>
      <c r="I22">
        <f>IF('FX_RATES_TO_CNY_HIST'!$B$5&gt;0,L22/'FX_RATES_TO_CNY_HIST'!$B$5,"")</f>
        <v/>
      </c>
      <c r="J22">
        <f>IF(I22&lt;&gt;"",I22*H22,"")</f>
        <v/>
      </c>
      <c r="K22" t="n">
        <v>9950233.41</v>
      </c>
      <c r="L22" t="n">
        <v>8.024381782258065</v>
      </c>
      <c r="M22" t="n">
        <v>1240000</v>
      </c>
      <c r="N22" t="n">
        <v>9950233.41</v>
      </c>
      <c r="U22" t="n">
        <v>0</v>
      </c>
      <c r="Y22" t="inlineStr">
        <is>
          <t>0762.HK</t>
        </is>
      </c>
      <c r="Z22">
        <f>IF(Y22="","",IFERROR(INDEX('估值日行情'!$C$3:$C$61,MATCH(Y22,'估值日行情'!$A$3:$A$61,0)),""))</f>
        <v/>
      </c>
      <c r="AA22">
        <f>IF(D22="深港",IFERROR('FX_RATES_TO_CNY_HIST'!$B$3,""),1)</f>
        <v/>
      </c>
      <c r="AB22">
        <f>IF(Z22&lt;&gt;"",Z22*AA22,"")</f>
        <v/>
      </c>
      <c r="AC22">
        <f>SUMIFS($H$2:H22,$D$2:D22,D22,$E$2:E22,E22,$G$2:G22,"买入")-SUMIFS($H$2:H22,$D$2:D22,D22,$E$2:E22,E22,$G$2:G22,"卖出")</f>
        <v/>
      </c>
      <c r="AD22">
        <f>I22</f>
        <v/>
      </c>
      <c r="AE22">
        <f>IF(AC22&gt;0,AC22*Z22-AC22*AD22,0)</f>
        <v/>
      </c>
      <c r="AF22">
        <f>IF(AC22&gt;0,IF(D22="深港",AE22*AA22,AE22),0)</f>
        <v/>
      </c>
      <c r="AG22">
        <f>H22</f>
        <v/>
      </c>
      <c r="AH22">
        <f>K22</f>
        <v/>
      </c>
      <c r="AI22">
        <f>L22</f>
        <v/>
      </c>
      <c r="AJ22" t="n">
        <v>0</v>
      </c>
      <c r="AK22" t="inlineStr"/>
      <c r="AL22" t="inlineStr"/>
    </row>
    <row r="23">
      <c r="A23" t="inlineStr">
        <is>
          <t>期初</t>
        </is>
      </c>
      <c r="D23" t="inlineStr">
        <is>
          <t>深港</t>
        </is>
      </c>
      <c r="E23" t="n">
        <v>788</v>
      </c>
      <c r="F23" t="inlineStr">
        <is>
          <t>中国铁塔</t>
        </is>
      </c>
      <c r="G23" t="inlineStr">
        <is>
          <t>买入</t>
        </is>
      </c>
      <c r="H23" t="n">
        <v>200000</v>
      </c>
      <c r="I23">
        <f>IF('FX_RATES_TO_CNY_HIST'!$B$5&gt;0,L23/'FX_RATES_TO_CNY_HIST'!$B$5,"")</f>
        <v/>
      </c>
      <c r="J23">
        <f>IF(I23&lt;&gt;"",I23*H23,"")</f>
        <v/>
      </c>
      <c r="K23" t="n">
        <v>2121426.33</v>
      </c>
      <c r="L23" t="n">
        <v>10.60713165</v>
      </c>
      <c r="M23" t="n">
        <v>200000</v>
      </c>
      <c r="N23" t="n">
        <v>2121426.33</v>
      </c>
      <c r="U23" t="n">
        <v>0</v>
      </c>
      <c r="Y23" t="inlineStr">
        <is>
          <t>0788.HK</t>
        </is>
      </c>
      <c r="Z23">
        <f>IF(Y23="","",IFERROR(INDEX('估值日行情'!$C$3:$C$61,MATCH(Y23,'估值日行情'!$A$3:$A$61,0)),""))</f>
        <v/>
      </c>
      <c r="AA23">
        <f>IF(D23="深港",IFERROR('FX_RATES_TO_CNY_HIST'!$B$3,""),1)</f>
        <v/>
      </c>
      <c r="AB23">
        <f>IF(Z23&lt;&gt;"",Z23*AA23,"")</f>
        <v/>
      </c>
      <c r="AC23">
        <f>SUMIFS($H$2:H23,$D$2:D23,D23,$E$2:E23,E23,$G$2:G23,"买入")-SUMIFS($H$2:H23,$D$2:D23,D23,$E$2:E23,E23,$G$2:G23,"卖出")</f>
        <v/>
      </c>
      <c r="AD23">
        <f>I23</f>
        <v/>
      </c>
      <c r="AE23">
        <f>IF(AC23&gt;0,AC23*Z23-AC23*AD23,0)</f>
        <v/>
      </c>
      <c r="AF23">
        <f>IF(AC23&gt;0,IF(D23="深港",AE23*AA23,AE23),0)</f>
        <v/>
      </c>
      <c r="AG23">
        <f>H23</f>
        <v/>
      </c>
      <c r="AH23">
        <f>K23</f>
        <v/>
      </c>
      <c r="AI23">
        <f>L23</f>
        <v/>
      </c>
      <c r="AJ23" t="n">
        <v>0</v>
      </c>
      <c r="AK23" t="inlineStr"/>
      <c r="AL23" t="inlineStr"/>
    </row>
    <row r="24">
      <c r="A24" t="inlineStr">
        <is>
          <t>期初</t>
        </is>
      </c>
      <c r="D24" t="inlineStr">
        <is>
          <t>深港</t>
        </is>
      </c>
      <c r="E24" t="n">
        <v>811</v>
      </c>
      <c r="F24" t="inlineStr">
        <is>
          <t>新华文轩</t>
        </is>
      </c>
      <c r="G24" t="inlineStr">
        <is>
          <t>买入</t>
        </is>
      </c>
      <c r="H24" t="n">
        <v>300000</v>
      </c>
      <c r="I24">
        <f>IF('FX_RATES_TO_CNY_HIST'!$B$5&gt;0,L24/'FX_RATES_TO_CNY_HIST'!$B$5,"")</f>
        <v/>
      </c>
      <c r="J24">
        <f>IF(I24&lt;&gt;"",I24*H24,"")</f>
        <v/>
      </c>
      <c r="K24" t="n">
        <v>2971851.84</v>
      </c>
      <c r="L24" t="n">
        <v>9.9061728</v>
      </c>
      <c r="M24" t="n">
        <v>300000</v>
      </c>
      <c r="N24" t="n">
        <v>2971851.84</v>
      </c>
      <c r="U24" t="n">
        <v>0</v>
      </c>
      <c r="Y24" t="inlineStr">
        <is>
          <t>0811.HK</t>
        </is>
      </c>
      <c r="Z24">
        <f>IF(Y24="","",IFERROR(INDEX('估值日行情'!$C$3:$C$61,MATCH(Y24,'估值日行情'!$A$3:$A$61,0)),""))</f>
        <v/>
      </c>
      <c r="AA24">
        <f>IF(D24="深港",IFERROR('FX_RATES_TO_CNY_HIST'!$B$3,""),1)</f>
        <v/>
      </c>
      <c r="AB24">
        <f>IF(Z24&lt;&gt;"",Z24*AA24,"")</f>
        <v/>
      </c>
      <c r="AC24">
        <f>SUMIFS($H$2:H24,$D$2:D24,D24,$E$2:E24,E24,$G$2:G24,"买入")-SUMIFS($H$2:H24,$D$2:D24,D24,$E$2:E24,E24,$G$2:G24,"卖出")</f>
        <v/>
      </c>
      <c r="AD24">
        <f>I24</f>
        <v/>
      </c>
      <c r="AE24">
        <f>IF(AC24&gt;0,AC24*Z24-AC24*AD24,0)</f>
        <v/>
      </c>
      <c r="AF24">
        <f>IF(AC24&gt;0,IF(D24="深港",AE24*AA24,AE24),0)</f>
        <v/>
      </c>
      <c r="AG24">
        <f>H24</f>
        <v/>
      </c>
      <c r="AH24">
        <f>K24</f>
        <v/>
      </c>
      <c r="AI24">
        <f>L24</f>
        <v/>
      </c>
      <c r="AJ24" t="n">
        <v>0</v>
      </c>
      <c r="AK24" t="inlineStr"/>
      <c r="AL24" t="inlineStr"/>
    </row>
    <row r="25">
      <c r="A25" t="inlineStr">
        <is>
          <t>期初</t>
        </is>
      </c>
      <c r="D25" t="inlineStr">
        <is>
          <t>深港</t>
        </is>
      </c>
      <c r="E25" t="n">
        <v>836</v>
      </c>
      <c r="F25" t="inlineStr">
        <is>
          <t>华润电力</t>
        </is>
      </c>
      <c r="G25" t="inlineStr">
        <is>
          <t>买入</t>
        </is>
      </c>
      <c r="H25" t="n">
        <v>200000</v>
      </c>
      <c r="I25">
        <f>IF('FX_RATES_TO_CNY_HIST'!$B$5&gt;0,L25/'FX_RATES_TO_CNY_HIST'!$B$5,"")</f>
        <v/>
      </c>
      <c r="J25">
        <f>IF(I25&lt;&gt;"",I25*H25,"")</f>
        <v/>
      </c>
      <c r="K25" t="n">
        <v>3339492.34</v>
      </c>
      <c r="L25" t="n">
        <v>16.6974617</v>
      </c>
      <c r="M25" t="n">
        <v>200000</v>
      </c>
      <c r="N25" t="n">
        <v>3339492.34</v>
      </c>
      <c r="U25" t="n">
        <v>0</v>
      </c>
      <c r="Y25" t="inlineStr">
        <is>
          <t>0836.HK</t>
        </is>
      </c>
      <c r="Z25">
        <f>IF(Y25="","",IFERROR(INDEX('估值日行情'!$C$3:$C$61,MATCH(Y25,'估值日行情'!$A$3:$A$61,0)),""))</f>
        <v/>
      </c>
      <c r="AA25">
        <f>IF(D25="深港",IFERROR('FX_RATES_TO_CNY_HIST'!$B$3,""),1)</f>
        <v/>
      </c>
      <c r="AB25">
        <f>IF(Z25&lt;&gt;"",Z25*AA25,"")</f>
        <v/>
      </c>
      <c r="AC25">
        <f>SUMIFS($H$2:H25,$D$2:D25,D25,$E$2:E25,E25,$G$2:G25,"买入")-SUMIFS($H$2:H25,$D$2:D25,D25,$E$2:E25,E25,$G$2:G25,"卖出")</f>
        <v/>
      </c>
      <c r="AD25">
        <f>I25</f>
        <v/>
      </c>
      <c r="AE25">
        <f>IF(AC25&gt;0,AC25*Z25-AC25*AD25,0)</f>
        <v/>
      </c>
      <c r="AF25">
        <f>IF(AC25&gt;0,IF(D25="深港",AE25*AA25,AE25),0)</f>
        <v/>
      </c>
      <c r="AG25">
        <f>H25</f>
        <v/>
      </c>
      <c r="AH25">
        <f>K25</f>
        <v/>
      </c>
      <c r="AI25">
        <f>L25</f>
        <v/>
      </c>
      <c r="AJ25" t="n">
        <v>0</v>
      </c>
      <c r="AK25" t="inlineStr"/>
      <c r="AL25" t="inlineStr"/>
    </row>
    <row r="26">
      <c r="A26" t="inlineStr">
        <is>
          <t>期初</t>
        </is>
      </c>
      <c r="D26" t="inlineStr">
        <is>
          <t>深港</t>
        </is>
      </c>
      <c r="E26" t="n">
        <v>939</v>
      </c>
      <c r="F26" t="inlineStr">
        <is>
          <t>建设银行</t>
        </is>
      </c>
      <c r="G26" t="inlineStr">
        <is>
          <t>买入</t>
        </is>
      </c>
      <c r="H26" t="n">
        <v>1100000</v>
      </c>
      <c r="I26">
        <f>IF('FX_RATES_TO_CNY_HIST'!$B$5&gt;0,L26/'FX_RATES_TO_CNY_HIST'!$B$5,"")</f>
        <v/>
      </c>
      <c r="J26">
        <f>IF(I26&lt;&gt;"",I26*H26,"")</f>
        <v/>
      </c>
      <c r="K26" t="n">
        <v>7667625.7</v>
      </c>
      <c r="L26" t="n">
        <v>6.970568818181818</v>
      </c>
      <c r="M26" t="n">
        <v>1100000</v>
      </c>
      <c r="N26" t="n">
        <v>7667625.7</v>
      </c>
      <c r="U26" t="n">
        <v>0</v>
      </c>
      <c r="Y26" t="inlineStr">
        <is>
          <t>0939.HK</t>
        </is>
      </c>
      <c r="Z26">
        <f>IF(Y26="","",IFERROR(INDEX('估值日行情'!$C$3:$C$61,MATCH(Y26,'估值日行情'!$A$3:$A$61,0)),""))</f>
        <v/>
      </c>
      <c r="AA26">
        <f>IF(D26="深港",IFERROR('FX_RATES_TO_CNY_HIST'!$B$3,""),1)</f>
        <v/>
      </c>
      <c r="AB26">
        <f>IF(Z26&lt;&gt;"",Z26*AA26,"")</f>
        <v/>
      </c>
      <c r="AC26">
        <f>SUMIFS($H$2:H26,$D$2:D26,D26,$E$2:E26,E26,$G$2:G26,"买入")-SUMIFS($H$2:H26,$D$2:D26,D26,$E$2:E26,E26,$G$2:G26,"卖出")</f>
        <v/>
      </c>
      <c r="AD26">
        <f>I26</f>
        <v/>
      </c>
      <c r="AE26">
        <f>IF(AC26&gt;0,AC26*Z26-AC26*AD26,0)</f>
        <v/>
      </c>
      <c r="AF26">
        <f>IF(AC26&gt;0,IF(D26="深港",AE26*AA26,AE26),0)</f>
        <v/>
      </c>
      <c r="AG26">
        <f>H26</f>
        <v/>
      </c>
      <c r="AH26">
        <f>K26</f>
        <v/>
      </c>
      <c r="AI26">
        <f>L26</f>
        <v/>
      </c>
      <c r="AJ26" t="n">
        <v>0</v>
      </c>
      <c r="AK26" t="inlineStr"/>
      <c r="AL26" t="inlineStr"/>
    </row>
    <row r="27">
      <c r="A27" t="inlineStr">
        <is>
          <t>期初</t>
        </is>
      </c>
      <c r="D27" t="inlineStr">
        <is>
          <t>深港</t>
        </is>
      </c>
      <c r="E27" t="n">
        <v>941</v>
      </c>
      <c r="F27" t="inlineStr">
        <is>
          <t>中国移动</t>
        </is>
      </c>
      <c r="G27" t="inlineStr">
        <is>
          <t>买入</t>
        </is>
      </c>
      <c r="H27" t="n">
        <v>120000</v>
      </c>
      <c r="I27">
        <f>IF('FX_RATES_TO_CNY_HIST'!$B$5&gt;0,L27/'FX_RATES_TO_CNY_HIST'!$B$5,"")</f>
        <v/>
      </c>
      <c r="J27">
        <f>IF(I27&lt;&gt;"",I27*H27,"")</f>
        <v/>
      </c>
      <c r="K27" t="n">
        <v>9653485.810000001</v>
      </c>
      <c r="L27" t="n">
        <v>80.44571508333334</v>
      </c>
      <c r="M27" t="n">
        <v>120000</v>
      </c>
      <c r="N27" t="n">
        <v>9653485.810000001</v>
      </c>
      <c r="U27" t="n">
        <v>0</v>
      </c>
      <c r="Y27" t="inlineStr">
        <is>
          <t>0941.HK</t>
        </is>
      </c>
      <c r="Z27">
        <f>IF(Y27="","",IFERROR(INDEX('估值日行情'!$C$3:$C$61,MATCH(Y27,'估值日行情'!$A$3:$A$61,0)),""))</f>
        <v/>
      </c>
      <c r="AA27">
        <f>IF(D27="深港",IFERROR('FX_RATES_TO_CNY_HIST'!$B$3,""),1)</f>
        <v/>
      </c>
      <c r="AB27">
        <f>IF(Z27&lt;&gt;"",Z27*AA27,"")</f>
        <v/>
      </c>
      <c r="AC27">
        <f>SUMIFS($H$2:H27,$D$2:D27,D27,$E$2:E27,E27,$G$2:G27,"买入")-SUMIFS($H$2:H27,$D$2:D27,D27,$E$2:E27,E27,$G$2:G27,"卖出")</f>
        <v/>
      </c>
      <c r="AD27">
        <f>I27</f>
        <v/>
      </c>
      <c r="AE27">
        <f>IF(AC27&gt;0,AC27*Z27-AC27*AD27,0)</f>
        <v/>
      </c>
      <c r="AF27">
        <f>IF(AC27&gt;0,IF(D27="深港",AE27*AA27,AE27),0)</f>
        <v/>
      </c>
      <c r="AG27">
        <f>H27</f>
        <v/>
      </c>
      <c r="AH27">
        <f>K27</f>
        <v/>
      </c>
      <c r="AI27">
        <f>L27</f>
        <v/>
      </c>
      <c r="AJ27" t="n">
        <v>0</v>
      </c>
      <c r="AK27" t="inlineStr"/>
      <c r="AL27" t="inlineStr"/>
    </row>
    <row r="28">
      <c r="A28" t="inlineStr">
        <is>
          <t>期初</t>
        </is>
      </c>
      <c r="D28" t="inlineStr">
        <is>
          <t>深港</t>
        </is>
      </c>
      <c r="E28" t="n">
        <v>995</v>
      </c>
      <c r="F28" t="inlineStr">
        <is>
          <t>安徽皖通高速公路</t>
        </is>
      </c>
      <c r="G28" t="inlineStr">
        <is>
          <t>买入</t>
        </is>
      </c>
      <c r="H28" t="n">
        <v>10000</v>
      </c>
      <c r="I28">
        <f>IF('FX_RATES_TO_CNY_HIST'!$B$5&gt;0,L28/'FX_RATES_TO_CNY_HIST'!$B$5,"")</f>
        <v/>
      </c>
      <c r="J28">
        <f>IF(I28&lt;&gt;"",I28*H28,"")</f>
        <v/>
      </c>
      <c r="K28" t="n">
        <v>120619.17</v>
      </c>
      <c r="L28" t="n">
        <v>12.061917</v>
      </c>
      <c r="M28" t="n">
        <v>10000</v>
      </c>
      <c r="N28" t="n">
        <v>120619.17</v>
      </c>
      <c r="U28" t="n">
        <v>0</v>
      </c>
      <c r="Y28" t="inlineStr">
        <is>
          <t>0995.HK</t>
        </is>
      </c>
      <c r="Z28">
        <f>IF(Y28="","",IFERROR(INDEX('估值日行情'!$C$3:$C$61,MATCH(Y28,'估值日行情'!$A$3:$A$61,0)),""))</f>
        <v/>
      </c>
      <c r="AA28">
        <f>IF(D28="深港",IFERROR('FX_RATES_TO_CNY_HIST'!$B$3,""),1)</f>
        <v/>
      </c>
      <c r="AB28">
        <f>IF(Z28&lt;&gt;"",Z28*AA28,"")</f>
        <v/>
      </c>
      <c r="AC28">
        <f>SUMIFS($H$2:H28,$D$2:D28,D28,$E$2:E28,E28,$G$2:G28,"买入")-SUMIFS($H$2:H28,$D$2:D28,D28,$E$2:E28,E28,$G$2:G28,"卖出")</f>
        <v/>
      </c>
      <c r="AD28">
        <f>I28</f>
        <v/>
      </c>
      <c r="AE28">
        <f>IF(AC28&gt;0,AC28*Z28-AC28*AD28,0)</f>
        <v/>
      </c>
      <c r="AF28">
        <f>IF(AC28&gt;0,IF(D28="深港",AE28*AA28,AE28),0)</f>
        <v/>
      </c>
      <c r="AG28">
        <f>H28</f>
        <v/>
      </c>
      <c r="AH28">
        <f>K28</f>
        <v/>
      </c>
      <c r="AI28">
        <f>L28</f>
        <v/>
      </c>
      <c r="AJ28" t="n">
        <v>0</v>
      </c>
      <c r="AK28" t="inlineStr"/>
      <c r="AL28" t="inlineStr"/>
    </row>
    <row r="29">
      <c r="A29" t="inlineStr">
        <is>
          <t>期初</t>
        </is>
      </c>
      <c r="D29" t="inlineStr">
        <is>
          <t>深港</t>
        </is>
      </c>
      <c r="E29" t="n">
        <v>998</v>
      </c>
      <c r="F29" t="inlineStr">
        <is>
          <t>中信银行</t>
        </is>
      </c>
      <c r="G29" t="inlineStr">
        <is>
          <t>买入</t>
        </is>
      </c>
      <c r="H29" t="n">
        <v>1300000</v>
      </c>
      <c r="I29">
        <f>IF('FX_RATES_TO_CNY_HIST'!$B$5&gt;0,L29/'FX_RATES_TO_CNY_HIST'!$B$5,"")</f>
        <v/>
      </c>
      <c r="J29">
        <f>IF(I29&lt;&gt;"",I29*H29,"")</f>
        <v/>
      </c>
      <c r="K29" t="n">
        <v>8672908.109999999</v>
      </c>
      <c r="L29" t="n">
        <v>6.671467776923077</v>
      </c>
      <c r="M29" t="n">
        <v>1300000</v>
      </c>
      <c r="N29" t="n">
        <v>8672908.109999999</v>
      </c>
      <c r="U29" t="n">
        <v>0</v>
      </c>
      <c r="Y29" t="inlineStr">
        <is>
          <t>0998.HK</t>
        </is>
      </c>
      <c r="Z29">
        <f>IF(Y29="","",IFERROR(INDEX('估值日行情'!$C$3:$C$61,MATCH(Y29,'估值日行情'!$A$3:$A$61,0)),""))</f>
        <v/>
      </c>
      <c r="AA29">
        <f>IF(D29="深港",IFERROR('FX_RATES_TO_CNY_HIST'!$B$3,""),1)</f>
        <v/>
      </c>
      <c r="AB29">
        <f>IF(Z29&lt;&gt;"",Z29*AA29,"")</f>
        <v/>
      </c>
      <c r="AC29">
        <f>SUMIFS($H$2:H29,$D$2:D29,D29,$E$2:E29,E29,$G$2:G29,"买入")-SUMIFS($H$2:H29,$D$2:D29,D29,$E$2:E29,E29,$G$2:G29,"卖出")</f>
        <v/>
      </c>
      <c r="AD29">
        <f>I29</f>
        <v/>
      </c>
      <c r="AE29">
        <f>IF(AC29&gt;0,AC29*Z29-AC29*AD29,0)</f>
        <v/>
      </c>
      <c r="AF29">
        <f>IF(AC29&gt;0,IF(D29="深港",AE29*AA29,AE29),0)</f>
        <v/>
      </c>
      <c r="AG29">
        <f>H29</f>
        <v/>
      </c>
      <c r="AH29">
        <f>K29</f>
        <v/>
      </c>
      <c r="AI29">
        <f>L29</f>
        <v/>
      </c>
      <c r="AJ29" t="n">
        <v>0</v>
      </c>
      <c r="AK29" t="inlineStr"/>
      <c r="AL29" t="inlineStr"/>
    </row>
    <row r="30">
      <c r="A30" t="inlineStr">
        <is>
          <t>期初</t>
        </is>
      </c>
      <c r="D30" t="inlineStr">
        <is>
          <t>深港</t>
        </is>
      </c>
      <c r="E30" t="n">
        <v>1071</v>
      </c>
      <c r="F30" t="inlineStr">
        <is>
          <t>华电国际电力股份</t>
        </is>
      </c>
      <c r="G30" t="inlineStr">
        <is>
          <t>买入</t>
        </is>
      </c>
      <c r="H30" t="n">
        <v>1500000</v>
      </c>
      <c r="I30">
        <f>IF('FX_RATES_TO_CNY_HIST'!$B$5&gt;0,L30/'FX_RATES_TO_CNY_HIST'!$B$5,"")</f>
        <v/>
      </c>
      <c r="J30">
        <f>IF(I30&lt;&gt;"",I30*H30,"")</f>
        <v/>
      </c>
      <c r="K30" t="n">
        <v>6077428.48</v>
      </c>
      <c r="L30" t="n">
        <v>4.051618986666667</v>
      </c>
      <c r="M30" t="n">
        <v>1500000</v>
      </c>
      <c r="N30" t="n">
        <v>6077428.48</v>
      </c>
      <c r="U30" t="n">
        <v>0</v>
      </c>
      <c r="Y30" t="inlineStr">
        <is>
          <t>1071.HK</t>
        </is>
      </c>
      <c r="Z30">
        <f>IF(Y30="","",IFERROR(INDEX('估值日行情'!$C$3:$C$61,MATCH(Y30,'估值日行情'!$A$3:$A$61,0)),""))</f>
        <v/>
      </c>
      <c r="AA30">
        <f>IF(D30="深港",IFERROR('FX_RATES_TO_CNY_HIST'!$B$3,""),1)</f>
        <v/>
      </c>
      <c r="AB30">
        <f>IF(Z30&lt;&gt;"",Z30*AA30,"")</f>
        <v/>
      </c>
      <c r="AC30">
        <f>SUMIFS($H$2:H30,$D$2:D30,D30,$E$2:E30,E30,$G$2:G30,"买入")-SUMIFS($H$2:H30,$D$2:D30,D30,$E$2:E30,E30,$G$2:G30,"卖出")</f>
        <v/>
      </c>
      <c r="AD30">
        <f>I30</f>
        <v/>
      </c>
      <c r="AE30">
        <f>IF(AC30&gt;0,AC30*Z30-AC30*AD30,0)</f>
        <v/>
      </c>
      <c r="AF30">
        <f>IF(AC30&gt;0,IF(D30="深港",AE30*AA30,AE30),0)</f>
        <v/>
      </c>
      <c r="AG30">
        <f>H30</f>
        <v/>
      </c>
      <c r="AH30">
        <f>K30</f>
        <v/>
      </c>
      <c r="AI30">
        <f>L30</f>
        <v/>
      </c>
      <c r="AJ30" t="n">
        <v>0</v>
      </c>
      <c r="AK30" t="inlineStr"/>
      <c r="AL30" t="inlineStr"/>
    </row>
    <row r="31">
      <c r="A31" t="inlineStr">
        <is>
          <t>期初</t>
        </is>
      </c>
      <c r="D31" t="inlineStr">
        <is>
          <t>深港</t>
        </is>
      </c>
      <c r="E31" t="n">
        <v>1368</v>
      </c>
      <c r="F31" t="inlineStr">
        <is>
          <t>特步国际</t>
        </is>
      </c>
      <c r="G31" t="inlineStr">
        <is>
          <t>买入</t>
        </is>
      </c>
      <c r="H31" t="n">
        <v>700000</v>
      </c>
      <c r="I31">
        <f>IF('FX_RATES_TO_CNY_HIST'!$B$5&gt;0,L31/'FX_RATES_TO_CNY_HIST'!$B$5,"")</f>
        <v/>
      </c>
      <c r="J31">
        <f>IF(I31&lt;&gt;"",I31*H31,"")</f>
        <v/>
      </c>
      <c r="K31" t="n">
        <v>3687661.29</v>
      </c>
      <c r="L31" t="n">
        <v>5.268087557142858</v>
      </c>
      <c r="M31" t="n">
        <v>700000</v>
      </c>
      <c r="N31" t="n">
        <v>3687661.29</v>
      </c>
      <c r="U31" t="n">
        <v>0</v>
      </c>
      <c r="Y31" t="inlineStr">
        <is>
          <t>1368.HK</t>
        </is>
      </c>
      <c r="Z31">
        <f>IF(Y31="","",IFERROR(INDEX('估值日行情'!$C$3:$C$61,MATCH(Y31,'估值日行情'!$A$3:$A$61,0)),""))</f>
        <v/>
      </c>
      <c r="AA31">
        <f>IF(D31="深港",IFERROR('FX_RATES_TO_CNY_HIST'!$B$3,""),1)</f>
        <v/>
      </c>
      <c r="AB31">
        <f>IF(Z31&lt;&gt;"",Z31*AA31,"")</f>
        <v/>
      </c>
      <c r="AC31">
        <f>SUMIFS($H$2:H31,$D$2:D31,D31,$E$2:E31,E31,$G$2:G31,"买入")-SUMIFS($H$2:H31,$D$2:D31,D31,$E$2:E31,E31,$G$2:G31,"卖出")</f>
        <v/>
      </c>
      <c r="AD31">
        <f>I31</f>
        <v/>
      </c>
      <c r="AE31">
        <f>IF(AC31&gt;0,AC31*Z31-AC31*AD31,0)</f>
        <v/>
      </c>
      <c r="AF31">
        <f>IF(AC31&gt;0,IF(D31="深港",AE31*AA31,AE31),0)</f>
        <v/>
      </c>
      <c r="AG31">
        <f>H31</f>
        <v/>
      </c>
      <c r="AH31">
        <f>K31</f>
        <v/>
      </c>
      <c r="AI31">
        <f>L31</f>
        <v/>
      </c>
      <c r="AJ31" t="n">
        <v>0</v>
      </c>
      <c r="AK31" t="inlineStr"/>
      <c r="AL31" t="inlineStr"/>
    </row>
    <row r="32">
      <c r="A32" t="inlineStr">
        <is>
          <t>期初</t>
        </is>
      </c>
      <c r="D32" t="inlineStr">
        <is>
          <t>深港</t>
        </is>
      </c>
      <c r="E32" t="n">
        <v>1398</v>
      </c>
      <c r="F32" t="inlineStr">
        <is>
          <t>工商银行</t>
        </is>
      </c>
      <c r="G32" t="inlineStr">
        <is>
          <t>买入</t>
        </is>
      </c>
      <c r="H32" t="n">
        <v>1700000</v>
      </c>
      <c r="I32">
        <f>IF('FX_RATES_TO_CNY_HIST'!$B$5&gt;0,L32/'FX_RATES_TO_CNY_HIST'!$B$5,"")</f>
        <v/>
      </c>
      <c r="J32">
        <f>IF(I32&lt;&gt;"",I32*H32,"")</f>
        <v/>
      </c>
      <c r="K32" t="n">
        <v>8142918.83</v>
      </c>
      <c r="L32" t="n">
        <v>4.789952252941177</v>
      </c>
      <c r="M32" t="n">
        <v>1700000</v>
      </c>
      <c r="N32" t="n">
        <v>8142918.83</v>
      </c>
      <c r="U32" t="n">
        <v>0</v>
      </c>
      <c r="Y32" t="inlineStr">
        <is>
          <t>1398.HK</t>
        </is>
      </c>
      <c r="Z32">
        <f>IF(Y32="","",IFERROR(INDEX('估值日行情'!$C$3:$C$61,MATCH(Y32,'估值日行情'!$A$3:$A$61,0)),""))</f>
        <v/>
      </c>
      <c r="AA32">
        <f>IF(D32="深港",IFERROR('FX_RATES_TO_CNY_HIST'!$B$3,""),1)</f>
        <v/>
      </c>
      <c r="AB32">
        <f>IF(Z32&lt;&gt;"",Z32*AA32,"")</f>
        <v/>
      </c>
      <c r="AC32">
        <f>SUMIFS($H$2:H32,$D$2:D32,D32,$E$2:E32,E32,$G$2:G32,"买入")-SUMIFS($H$2:H32,$D$2:D32,D32,$E$2:E32,E32,$G$2:G32,"卖出")</f>
        <v/>
      </c>
      <c r="AD32">
        <f>I32</f>
        <v/>
      </c>
      <c r="AE32">
        <f>IF(AC32&gt;0,AC32*Z32-AC32*AD32,0)</f>
        <v/>
      </c>
      <c r="AF32">
        <f>IF(AC32&gt;0,IF(D32="深港",AE32*AA32,AE32),0)</f>
        <v/>
      </c>
      <c r="AG32">
        <f>H32</f>
        <v/>
      </c>
      <c r="AH32">
        <f>K32</f>
        <v/>
      </c>
      <c r="AI32">
        <f>L32</f>
        <v/>
      </c>
      <c r="AJ32" t="n">
        <v>0</v>
      </c>
      <c r="AK32" t="inlineStr"/>
      <c r="AL32" t="inlineStr"/>
    </row>
    <row r="33">
      <c r="A33" t="inlineStr">
        <is>
          <t>期初</t>
        </is>
      </c>
      <c r="D33" t="inlineStr">
        <is>
          <t>深港</t>
        </is>
      </c>
      <c r="E33" t="n">
        <v>2020</v>
      </c>
      <c r="F33" t="inlineStr">
        <is>
          <t>安踏体育</t>
        </is>
      </c>
      <c r="G33" t="inlineStr">
        <is>
          <t>买入</t>
        </is>
      </c>
      <c r="H33" t="n">
        <v>100000</v>
      </c>
      <c r="I33">
        <f>IF('FX_RATES_TO_CNY_HIST'!$B$5&gt;0,L33/'FX_RATES_TO_CNY_HIST'!$B$5,"")</f>
        <v/>
      </c>
      <c r="J33">
        <f>IF(I33&lt;&gt;"",I33*H33,"")</f>
        <v/>
      </c>
      <c r="K33" t="n">
        <v>7587539.92</v>
      </c>
      <c r="L33" t="n">
        <v>75.8753992</v>
      </c>
      <c r="M33" t="n">
        <v>100000</v>
      </c>
      <c r="N33" t="n">
        <v>7587539.92</v>
      </c>
      <c r="U33" t="n">
        <v>0</v>
      </c>
      <c r="Y33" t="inlineStr">
        <is>
          <t>2020.HK</t>
        </is>
      </c>
      <c r="Z33">
        <f>IF(Y33="","",IFERROR(INDEX('估值日行情'!$C$3:$C$61,MATCH(Y33,'估值日行情'!$A$3:$A$61,0)),""))</f>
        <v/>
      </c>
      <c r="AA33">
        <f>IF(D33="深港",IFERROR('FX_RATES_TO_CNY_HIST'!$B$3,""),1)</f>
        <v/>
      </c>
      <c r="AB33">
        <f>IF(Z33&lt;&gt;"",Z33*AA33,"")</f>
        <v/>
      </c>
      <c r="AC33">
        <f>SUMIFS($H$2:H33,$D$2:D33,D33,$E$2:E33,E33,$G$2:G33,"买入")-SUMIFS($H$2:H33,$D$2:D33,D33,$E$2:E33,E33,$G$2:G33,"卖出")</f>
        <v/>
      </c>
      <c r="AD33">
        <f>I33</f>
        <v/>
      </c>
      <c r="AE33">
        <f>IF(AC33&gt;0,AC33*Z33-AC33*AD33,0)</f>
        <v/>
      </c>
      <c r="AF33">
        <f>IF(AC33&gt;0,IF(D33="深港",AE33*AA33,AE33),0)</f>
        <v/>
      </c>
      <c r="AG33">
        <f>H33</f>
        <v/>
      </c>
      <c r="AH33">
        <f>K33</f>
        <v/>
      </c>
      <c r="AI33">
        <f>L33</f>
        <v/>
      </c>
      <c r="AJ33" t="n">
        <v>0</v>
      </c>
      <c r="AK33" t="inlineStr"/>
      <c r="AL33" t="inlineStr"/>
    </row>
    <row r="34">
      <c r="A34" t="inlineStr">
        <is>
          <t>期初</t>
        </is>
      </c>
      <c r="D34" t="inlineStr">
        <is>
          <t>深港</t>
        </is>
      </c>
      <c r="E34" t="n">
        <v>2318</v>
      </c>
      <c r="F34" t="inlineStr">
        <is>
          <t>中国平安</t>
        </is>
      </c>
      <c r="G34" t="inlineStr">
        <is>
          <t>买入</t>
        </is>
      </c>
      <c r="H34" t="n">
        <v>120000</v>
      </c>
      <c r="I34">
        <f>IF('FX_RATES_TO_CNY_HIST'!$B$5&gt;0,L34/'FX_RATES_TO_CNY_HIST'!$B$5,"")</f>
        <v/>
      </c>
      <c r="J34">
        <f>IF(I34&lt;&gt;"",I34*H34,"")</f>
        <v/>
      </c>
      <c r="K34" t="n">
        <v>5090446.5</v>
      </c>
      <c r="L34" t="n">
        <v>42.4203875</v>
      </c>
      <c r="M34" t="n">
        <v>120000</v>
      </c>
      <c r="N34" t="n">
        <v>5090446.5</v>
      </c>
      <c r="U34" t="n">
        <v>0</v>
      </c>
      <c r="Y34" t="inlineStr">
        <is>
          <t>2318.HK</t>
        </is>
      </c>
      <c r="Z34">
        <f>IF(Y34="","",IFERROR(INDEX('估值日行情'!$C$3:$C$61,MATCH(Y34,'估值日行情'!$A$3:$A$61,0)),""))</f>
        <v/>
      </c>
      <c r="AA34">
        <f>IF(D34="深港",IFERROR('FX_RATES_TO_CNY_HIST'!$B$3,""),1)</f>
        <v/>
      </c>
      <c r="AB34">
        <f>IF(Z34&lt;&gt;"",Z34*AA34,"")</f>
        <v/>
      </c>
      <c r="AC34">
        <f>SUMIFS($H$2:H34,$D$2:D34,D34,$E$2:E34,E34,$G$2:G34,"买入")-SUMIFS($H$2:H34,$D$2:D34,D34,$E$2:E34,E34,$G$2:G34,"卖出")</f>
        <v/>
      </c>
      <c r="AD34">
        <f>I34</f>
        <v/>
      </c>
      <c r="AE34">
        <f>IF(AC34&gt;0,AC34*Z34-AC34*AD34,0)</f>
        <v/>
      </c>
      <c r="AF34">
        <f>IF(AC34&gt;0,IF(D34="深港",AE34*AA34,AE34),0)</f>
        <v/>
      </c>
      <c r="AG34">
        <f>H34</f>
        <v/>
      </c>
      <c r="AH34">
        <f>K34</f>
        <v/>
      </c>
      <c r="AI34">
        <f>L34</f>
        <v/>
      </c>
      <c r="AJ34" t="n">
        <v>0</v>
      </c>
      <c r="AK34" t="inlineStr"/>
      <c r="AL34" t="inlineStr"/>
    </row>
    <row r="35">
      <c r="A35" t="inlineStr">
        <is>
          <t>期初</t>
        </is>
      </c>
      <c r="D35" t="inlineStr">
        <is>
          <t>深港</t>
        </is>
      </c>
      <c r="E35" t="n">
        <v>2319</v>
      </c>
      <c r="F35" t="inlineStr">
        <is>
          <t>蒙牛乳业</t>
        </is>
      </c>
      <c r="G35" t="inlineStr">
        <is>
          <t>买入</t>
        </is>
      </c>
      <c r="H35" t="n">
        <v>10000</v>
      </c>
      <c r="I35">
        <f>IF('FX_RATES_TO_CNY_HIST'!$B$5&gt;0,L35/'FX_RATES_TO_CNY_HIST'!$B$5,"")</f>
        <v/>
      </c>
      <c r="J35">
        <f>IF(I35&lt;&gt;"",I35*H35,"")</f>
        <v/>
      </c>
      <c r="K35" t="n">
        <v>167025.5</v>
      </c>
      <c r="L35" t="n">
        <v>16.70255</v>
      </c>
      <c r="M35" t="n">
        <v>10000</v>
      </c>
      <c r="N35" t="n">
        <v>167025.5</v>
      </c>
      <c r="U35" t="n">
        <v>0</v>
      </c>
      <c r="Y35" t="inlineStr">
        <is>
          <t>2319.HK</t>
        </is>
      </c>
      <c r="Z35">
        <f>IF(Y35="","",IFERROR(INDEX('估值日行情'!$C$3:$C$61,MATCH(Y35,'估值日行情'!$A$3:$A$61,0)),""))</f>
        <v/>
      </c>
      <c r="AA35">
        <f>IF(D35="深港",IFERROR('FX_RATES_TO_CNY_HIST'!$B$3,""),1)</f>
        <v/>
      </c>
      <c r="AB35">
        <f>IF(Z35&lt;&gt;"",Z35*AA35,"")</f>
        <v/>
      </c>
      <c r="AC35">
        <f>SUMIFS($H$2:H35,$D$2:D35,D35,$E$2:E35,E35,$G$2:G35,"买入")-SUMIFS($H$2:H35,$D$2:D35,D35,$E$2:E35,E35,$G$2:G35,"卖出")</f>
        <v/>
      </c>
      <c r="AD35">
        <f>I35</f>
        <v/>
      </c>
      <c r="AE35">
        <f>IF(AC35&gt;0,AC35*Z35-AC35*AD35,0)</f>
        <v/>
      </c>
      <c r="AF35">
        <f>IF(AC35&gt;0,IF(D35="深港",AE35*AA35,AE35),0)</f>
        <v/>
      </c>
      <c r="AG35">
        <f>H35</f>
        <v/>
      </c>
      <c r="AH35">
        <f>K35</f>
        <v/>
      </c>
      <c r="AI35">
        <f>L35</f>
        <v/>
      </c>
      <c r="AJ35" t="n">
        <v>0</v>
      </c>
      <c r="AK35" t="inlineStr"/>
      <c r="AL35" t="inlineStr"/>
    </row>
    <row r="36">
      <c r="A36" t="inlineStr">
        <is>
          <t>期初</t>
        </is>
      </c>
      <c r="D36" t="inlineStr">
        <is>
          <t>深港</t>
        </is>
      </c>
      <c r="E36" t="n">
        <v>2607</v>
      </c>
      <c r="F36" t="inlineStr">
        <is>
          <t>上海医药</t>
        </is>
      </c>
      <c r="G36" t="inlineStr">
        <is>
          <t>买入</t>
        </is>
      </c>
      <c r="H36" t="n">
        <v>100000</v>
      </c>
      <c r="I36">
        <f>IF('FX_RATES_TO_CNY_HIST'!$B$5&gt;0,L36/'FX_RATES_TO_CNY_HIST'!$B$5,"")</f>
        <v/>
      </c>
      <c r="J36">
        <f>IF(I36&lt;&gt;"",I36*H36,"")</f>
        <v/>
      </c>
      <c r="K36" t="n">
        <v>1153391.73</v>
      </c>
      <c r="L36" t="n">
        <v>11.5339173</v>
      </c>
      <c r="M36" t="n">
        <v>100000</v>
      </c>
      <c r="N36" t="n">
        <v>1153391.73</v>
      </c>
      <c r="U36" t="n">
        <v>0</v>
      </c>
      <c r="Y36" t="inlineStr">
        <is>
          <t>2607.HK</t>
        </is>
      </c>
      <c r="Z36">
        <f>IF(Y36="","",IFERROR(INDEX('估值日行情'!$C$3:$C$61,MATCH(Y36,'估值日行情'!$A$3:$A$61,0)),""))</f>
        <v/>
      </c>
      <c r="AA36">
        <f>IF(D36="深港",IFERROR('FX_RATES_TO_CNY_HIST'!$B$3,""),1)</f>
        <v/>
      </c>
      <c r="AB36">
        <f>IF(Z36&lt;&gt;"",Z36*AA36,"")</f>
        <v/>
      </c>
      <c r="AC36">
        <f>SUMIFS($H$2:H36,$D$2:D36,D36,$E$2:E36,E36,$G$2:G36,"买入")-SUMIFS($H$2:H36,$D$2:D36,D36,$E$2:E36,E36,$G$2:G36,"卖出")</f>
        <v/>
      </c>
      <c r="AD36">
        <f>I36</f>
        <v/>
      </c>
      <c r="AE36">
        <f>IF(AC36&gt;0,AC36*Z36-AC36*AD36,0)</f>
        <v/>
      </c>
      <c r="AF36">
        <f>IF(AC36&gt;0,IF(D36="深港",AE36*AA36,AE36),0)</f>
        <v/>
      </c>
      <c r="AG36">
        <f>H36</f>
        <v/>
      </c>
      <c r="AH36">
        <f>K36</f>
        <v/>
      </c>
      <c r="AI36">
        <f>L36</f>
        <v/>
      </c>
      <c r="AJ36" t="n">
        <v>0</v>
      </c>
      <c r="AK36" t="inlineStr"/>
      <c r="AL36" t="inlineStr"/>
    </row>
    <row r="37">
      <c r="A37" t="inlineStr">
        <is>
          <t>期初</t>
        </is>
      </c>
      <c r="D37" t="inlineStr">
        <is>
          <t>深港</t>
        </is>
      </c>
      <c r="E37" t="n">
        <v>3328</v>
      </c>
      <c r="F37" t="inlineStr">
        <is>
          <t>交通银行</t>
        </is>
      </c>
      <c r="G37" t="inlineStr">
        <is>
          <t>买入</t>
        </is>
      </c>
      <c r="H37" t="n">
        <v>1400000</v>
      </c>
      <c r="I37">
        <f>IF('FX_RATES_TO_CNY_HIST'!$B$5&gt;0,L37/'FX_RATES_TO_CNY_HIST'!$B$5,"")</f>
        <v/>
      </c>
      <c r="J37">
        <f>IF(I37&lt;&gt;"",I37*H37,"")</f>
        <v/>
      </c>
      <c r="K37" t="n">
        <v>8994109.699999999</v>
      </c>
      <c r="L37" t="n">
        <v>6.424364071428571</v>
      </c>
      <c r="M37" t="n">
        <v>1400000</v>
      </c>
      <c r="N37" t="n">
        <v>8994109.699999999</v>
      </c>
      <c r="U37" t="n">
        <v>0</v>
      </c>
      <c r="Y37" t="inlineStr">
        <is>
          <t>3328.HK</t>
        </is>
      </c>
      <c r="Z37">
        <f>IF(Y37="","",IFERROR(INDEX('估值日行情'!$C$3:$C$61,MATCH(Y37,'估值日行情'!$A$3:$A$61,0)),""))</f>
        <v/>
      </c>
      <c r="AA37">
        <f>IF(D37="深港",IFERROR('FX_RATES_TO_CNY_HIST'!$B$3,""),1)</f>
        <v/>
      </c>
      <c r="AB37">
        <f>IF(Z37&lt;&gt;"",Z37*AA37,"")</f>
        <v/>
      </c>
      <c r="AC37">
        <f>SUMIFS($H$2:H37,$D$2:D37,D37,$E$2:E37,E37,$G$2:G37,"买入")-SUMIFS($H$2:H37,$D$2:D37,D37,$E$2:E37,E37,$G$2:G37,"卖出")</f>
        <v/>
      </c>
      <c r="AD37">
        <f>I37</f>
        <v/>
      </c>
      <c r="AE37">
        <f>IF(AC37&gt;0,AC37*Z37-AC37*AD37,0)</f>
        <v/>
      </c>
      <c r="AF37">
        <f>IF(AC37&gt;0,IF(D37="深港",AE37*AA37,AE37),0)</f>
        <v/>
      </c>
      <c r="AG37">
        <f>H37</f>
        <v/>
      </c>
      <c r="AH37">
        <f>K37</f>
        <v/>
      </c>
      <c r="AI37">
        <f>L37</f>
        <v/>
      </c>
      <c r="AJ37" t="n">
        <v>0</v>
      </c>
      <c r="AK37" t="inlineStr"/>
      <c r="AL37" t="inlineStr"/>
    </row>
    <row r="38">
      <c r="A38" t="inlineStr">
        <is>
          <t>期初</t>
        </is>
      </c>
      <c r="D38" t="inlineStr">
        <is>
          <t>深港</t>
        </is>
      </c>
      <c r="E38" t="n">
        <v>3933</v>
      </c>
      <c r="F38" t="inlineStr">
        <is>
          <t>联邦制药</t>
        </is>
      </c>
      <c r="G38" t="inlineStr">
        <is>
          <t>买入</t>
        </is>
      </c>
      <c r="H38" t="n">
        <v>400000</v>
      </c>
      <c r="I38">
        <f>IF('FX_RATES_TO_CNY_HIST'!$B$5&gt;0,L38/'FX_RATES_TO_CNY_HIST'!$B$5,"")</f>
        <v/>
      </c>
      <c r="J38">
        <f>IF(I38&lt;&gt;"",I38*H38,"")</f>
        <v/>
      </c>
      <c r="K38" t="n">
        <v>4614077.63</v>
      </c>
      <c r="L38" t="n">
        <v>11.535194075</v>
      </c>
      <c r="M38" t="n">
        <v>400000</v>
      </c>
      <c r="N38" t="n">
        <v>4614077.63</v>
      </c>
      <c r="U38" t="n">
        <v>0</v>
      </c>
      <c r="Y38" t="inlineStr">
        <is>
          <t>3933.HK</t>
        </is>
      </c>
      <c r="Z38">
        <f>IF(Y38="","",IFERROR(INDEX('估值日行情'!$C$3:$C$61,MATCH(Y38,'估值日行情'!$A$3:$A$61,0)),""))</f>
        <v/>
      </c>
      <c r="AA38">
        <f>IF(D38="深港",IFERROR('FX_RATES_TO_CNY_HIST'!$B$3,""),1)</f>
        <v/>
      </c>
      <c r="AB38">
        <f>IF(Z38&lt;&gt;"",Z38*AA38,"")</f>
        <v/>
      </c>
      <c r="AC38">
        <f>SUMIFS($H$2:H38,$D$2:D38,D38,$E$2:E38,E38,$G$2:G38,"买入")-SUMIFS($H$2:H38,$D$2:D38,D38,$E$2:E38,E38,$G$2:G38,"卖出")</f>
        <v/>
      </c>
      <c r="AD38">
        <f>I38</f>
        <v/>
      </c>
      <c r="AE38">
        <f>IF(AC38&gt;0,AC38*Z38-AC38*AD38,0)</f>
        <v/>
      </c>
      <c r="AF38">
        <f>IF(AC38&gt;0,IF(D38="深港",AE38*AA38,AE38),0)</f>
        <v/>
      </c>
      <c r="AG38">
        <f>H38</f>
        <v/>
      </c>
      <c r="AH38">
        <f>K38</f>
        <v/>
      </c>
      <c r="AI38">
        <f>L38</f>
        <v/>
      </c>
      <c r="AJ38" t="n">
        <v>0</v>
      </c>
      <c r="AK38" t="inlineStr"/>
      <c r="AL38" t="inlineStr"/>
    </row>
    <row r="39">
      <c r="A39" t="inlineStr">
        <is>
          <t>期初</t>
        </is>
      </c>
      <c r="D39" t="inlineStr">
        <is>
          <t>深港</t>
        </is>
      </c>
      <c r="E39" t="n">
        <v>3988</v>
      </c>
      <c r="F39" t="inlineStr">
        <is>
          <t>中国银行</t>
        </is>
      </c>
      <c r="G39" t="inlineStr">
        <is>
          <t>买入</t>
        </is>
      </c>
      <c r="H39" t="n">
        <v>2100000</v>
      </c>
      <c r="I39">
        <f>IF('FX_RATES_TO_CNY_HIST'!$B$5&gt;0,L39/'FX_RATES_TO_CNY_HIST'!$B$5,"")</f>
        <v/>
      </c>
      <c r="J39">
        <f>IF(I39&lt;&gt;"",I39*H39,"")</f>
        <v/>
      </c>
      <c r="K39" t="n">
        <v>8936072.810000001</v>
      </c>
      <c r="L39" t="n">
        <v>4.255272766666667</v>
      </c>
      <c r="M39" t="n">
        <v>2100000</v>
      </c>
      <c r="N39" t="n">
        <v>8936072.810000001</v>
      </c>
      <c r="U39" t="n">
        <v>0</v>
      </c>
      <c r="Y39" t="inlineStr">
        <is>
          <t>3988.HK</t>
        </is>
      </c>
      <c r="Z39">
        <f>IF(Y39="","",IFERROR(INDEX('估值日行情'!$C$3:$C$61,MATCH(Y39,'估值日行情'!$A$3:$A$61,0)),""))</f>
        <v/>
      </c>
      <c r="AA39">
        <f>IF(D39="深港",IFERROR('FX_RATES_TO_CNY_HIST'!$B$3,""),1)</f>
        <v/>
      </c>
      <c r="AB39">
        <f>IF(Z39&lt;&gt;"",Z39*AA39,"")</f>
        <v/>
      </c>
      <c r="AC39">
        <f>SUMIFS($H$2:H39,$D$2:D39,D39,$E$2:E39,E39,$G$2:G39,"买入")-SUMIFS($H$2:H39,$D$2:D39,D39,$E$2:E39,E39,$G$2:G39,"卖出")</f>
        <v/>
      </c>
      <c r="AD39">
        <f>I39</f>
        <v/>
      </c>
      <c r="AE39">
        <f>IF(AC39&gt;0,AC39*Z39-AC39*AD39,0)</f>
        <v/>
      </c>
      <c r="AF39">
        <f>IF(AC39&gt;0,IF(D39="深港",AE39*AA39,AE39),0)</f>
        <v/>
      </c>
      <c r="AG39">
        <f>H39</f>
        <v/>
      </c>
      <c r="AH39">
        <f>K39</f>
        <v/>
      </c>
      <c r="AI39">
        <f>L39</f>
        <v/>
      </c>
      <c r="AJ39" t="n">
        <v>0</v>
      </c>
      <c r="AK39" t="inlineStr"/>
      <c r="AL39" t="inlineStr"/>
    </row>
    <row r="40">
      <c r="A40" t="inlineStr">
        <is>
          <t>期初</t>
        </is>
      </c>
      <c r="D40" t="inlineStr">
        <is>
          <t>深港</t>
        </is>
      </c>
      <c r="E40" t="n">
        <v>6690</v>
      </c>
      <c r="F40" t="inlineStr">
        <is>
          <t>海尔智家</t>
        </is>
      </c>
      <c r="G40" t="inlineStr">
        <is>
          <t>买入</t>
        </is>
      </c>
      <c r="H40" t="n">
        <v>200000</v>
      </c>
      <c r="I40">
        <f>IF('FX_RATES_TO_CNY_HIST'!$B$5&gt;0,L40/'FX_RATES_TO_CNY_HIST'!$B$5,"")</f>
        <v/>
      </c>
      <c r="J40">
        <f>IF(I40&lt;&gt;"",I40*H40,"")</f>
        <v/>
      </c>
      <c r="K40" t="n">
        <v>4534033.28</v>
      </c>
      <c r="L40" t="n">
        <v>22.6701664</v>
      </c>
      <c r="M40" t="n">
        <v>200000</v>
      </c>
      <c r="N40" t="n">
        <v>4534033.28</v>
      </c>
      <c r="U40" t="n">
        <v>0</v>
      </c>
      <c r="Y40" t="inlineStr">
        <is>
          <t>6690.HK</t>
        </is>
      </c>
      <c r="Z40">
        <f>IF(Y40="","",IFERROR(INDEX('估值日行情'!$C$3:$C$61,MATCH(Y40,'估值日行情'!$A$3:$A$61,0)),""))</f>
        <v/>
      </c>
      <c r="AA40">
        <f>IF(D40="深港",IFERROR('FX_RATES_TO_CNY_HIST'!$B$3,""),1)</f>
        <v/>
      </c>
      <c r="AB40">
        <f>IF(Z40&lt;&gt;"",Z40*AA40,"")</f>
        <v/>
      </c>
      <c r="AC40">
        <f>SUMIFS($H$2:H40,$D$2:D40,D40,$E$2:E40,E40,$G$2:G40,"买入")-SUMIFS($H$2:H40,$D$2:D40,D40,$E$2:E40,E40,$G$2:G40,"卖出")</f>
        <v/>
      </c>
      <c r="AD40">
        <f>I40</f>
        <v/>
      </c>
      <c r="AE40">
        <f>IF(AC40&gt;0,AC40*Z40-AC40*AD40,0)</f>
        <v/>
      </c>
      <c r="AF40">
        <f>IF(AC40&gt;0,IF(D40="深港",AE40*AA40,AE40),0)</f>
        <v/>
      </c>
      <c r="AG40">
        <f>H40</f>
        <v/>
      </c>
      <c r="AH40">
        <f>K40</f>
        <v/>
      </c>
      <c r="AI40">
        <f>L40</f>
        <v/>
      </c>
      <c r="AJ40" t="n">
        <v>0</v>
      </c>
      <c r="AK40" t="inlineStr"/>
      <c r="AL40" t="inlineStr"/>
    </row>
    <row r="41">
      <c r="A41" t="inlineStr">
        <is>
          <t>期初</t>
        </is>
      </c>
      <c r="D41" t="inlineStr">
        <is>
          <t>深港</t>
        </is>
      </c>
      <c r="E41" t="n">
        <v>6862</v>
      </c>
      <c r="F41" t="inlineStr">
        <is>
          <t>海底捞</t>
        </is>
      </c>
      <c r="G41" t="inlineStr">
        <is>
          <t>买入</t>
        </is>
      </c>
      <c r="H41" t="n">
        <v>400000</v>
      </c>
      <c r="I41">
        <f>IF('FX_RATES_TO_CNY_HIST'!$B$5&gt;0,L41/'FX_RATES_TO_CNY_HIST'!$B$5,"")</f>
        <v/>
      </c>
      <c r="J41">
        <f>IF(I41&lt;&gt;"",I41*H41,"")</f>
        <v/>
      </c>
      <c r="K41" t="n">
        <v>5365768.8</v>
      </c>
      <c r="L41" t="n">
        <v>13.414422</v>
      </c>
      <c r="M41" t="n">
        <v>400000</v>
      </c>
      <c r="N41" t="n">
        <v>5365768.8</v>
      </c>
      <c r="U41" t="n">
        <v>0</v>
      </c>
      <c r="Y41" t="inlineStr">
        <is>
          <t>6862.HK</t>
        </is>
      </c>
      <c r="Z41">
        <f>IF(Y41="","",IFERROR(INDEX('估值日行情'!$C$3:$C$61,MATCH(Y41,'估值日行情'!$A$3:$A$61,0)),""))</f>
        <v/>
      </c>
      <c r="AA41">
        <f>IF(D41="深港",IFERROR('FX_RATES_TO_CNY_HIST'!$B$3,""),1)</f>
        <v/>
      </c>
      <c r="AB41">
        <f>IF(Z41&lt;&gt;"",Z41*AA41,"")</f>
        <v/>
      </c>
      <c r="AC41">
        <f>SUMIFS($H$2:H41,$D$2:D41,D41,$E$2:E41,E41,$G$2:G41,"买入")-SUMIFS($H$2:H41,$D$2:D41,D41,$E$2:E41,E41,$G$2:G41,"卖出")</f>
        <v/>
      </c>
      <c r="AD41">
        <f>I41</f>
        <v/>
      </c>
      <c r="AE41">
        <f>IF(AC41&gt;0,AC41*Z41-AC41*AD41,0)</f>
        <v/>
      </c>
      <c r="AF41">
        <f>IF(AC41&gt;0,IF(D41="深港",AE41*AA41,AE41),0)</f>
        <v/>
      </c>
      <c r="AG41">
        <f>H41</f>
        <v/>
      </c>
      <c r="AH41">
        <f>K41</f>
        <v/>
      </c>
      <c r="AI41">
        <f>L41</f>
        <v/>
      </c>
      <c r="AJ41" t="n">
        <v>0</v>
      </c>
      <c r="AK41" t="inlineStr"/>
      <c r="AL41" t="inlineStr"/>
    </row>
    <row r="42">
      <c r="A42">
        <f>IF('交易流水'!A2&lt;&gt;"","流水","")</f>
        <v/>
      </c>
      <c r="B42">
        <f>'交易流水'!B2</f>
        <v/>
      </c>
      <c r="C42">
        <f>'交易流水'!X2</f>
        <v/>
      </c>
      <c r="D42">
        <f>IF(ISNUMBER(SEARCH("深港",C42)),"深港",IF(ISNUMBER(SEARCH("场内",C42)),"场内","其他"))</f>
        <v/>
      </c>
      <c r="E42">
        <f>'交易流水'!F2</f>
        <v/>
      </c>
      <c r="F42">
        <f>'交易流水'!G2</f>
        <v/>
      </c>
      <c r="G42">
        <f>'交易流水'!H2</f>
        <v/>
      </c>
      <c r="H42">
        <f>'交易流水'!K2</f>
        <v/>
      </c>
      <c r="I42">
        <f>'交易流水'!P2</f>
        <v/>
      </c>
      <c r="J42">
        <f>'交易流水'!L2</f>
        <v/>
      </c>
      <c r="K42">
        <f>'交易流水'!AR2</f>
        <v/>
      </c>
      <c r="L42">
        <f>IF(H42&gt;0,K42/H42,"")</f>
        <v/>
      </c>
      <c r="M42">
        <f>IF(G42="买入",H42,0)</f>
        <v/>
      </c>
      <c r="N42">
        <f>IF(G42="买入",K42,0)</f>
        <v/>
      </c>
      <c r="O42">
        <f>IF(G42="卖出",H42,0)</f>
        <v/>
      </c>
      <c r="P42">
        <f>IF(G42="卖出",K42,0)</f>
        <v/>
      </c>
      <c r="Q42">
        <f>SUMIFS($H$2:H41,$A$2:A41,"流水",$D$2:D41,D42,$E$2:E41,E42,$G$2:G41,"买入")</f>
        <v/>
      </c>
      <c r="R42">
        <f>SUMIFS($K$2:K41,$A$2:A41,"流水",$D$2:D41,D42,$E$2:E41,E42,$G$2:G41,"买入")</f>
        <v/>
      </c>
      <c r="S42">
        <f>IF(Q42&gt;0,R42/Q42,"")</f>
        <v/>
      </c>
      <c r="T42">
        <f>IF(G42="卖出",IF(S42="","",(L42-S42)*H42),0)</f>
        <v/>
      </c>
      <c r="U42" t="n">
        <v>0</v>
      </c>
      <c r="V42">
        <f>IF(AND(J42&gt;0,D42="深港"),K42/J42,"")</f>
        <v/>
      </c>
      <c r="W42">
        <f>IF(G42="卖出","(L42-S42)×H42 = ("&amp;TEXT(L42,"0.######")&amp;"-"&amp;TEXT(S42,"0.######")&amp;")×"&amp;H42,"")</f>
        <v/>
      </c>
      <c r="Y42">
        <f>IF(E42="","",IF(D42="深港",TEXT(--E42,"0000")&amp;".HK",IF(--E42&gt;=600000,TEXT(--E42,"000000")&amp;".SH",TEXT(--E42,"000000")&amp;".SZ")))</f>
        <v/>
      </c>
      <c r="Z42">
        <f>IF(Y42="","",IFERROR(INDEX('估值日行情'!$C$3:$C$61,MATCH(Y42,'估值日行情'!$A$3:$A$61,0)),""))</f>
        <v/>
      </c>
      <c r="AA42">
        <f>IF(D42="深港",IFERROR('FX_RATES_TO_CNY_HIST'!$B$3,""),1)</f>
        <v/>
      </c>
      <c r="AB42">
        <f>IF(Z42&lt;&gt;"",Z42*AA42,"")</f>
        <v/>
      </c>
      <c r="AC42">
        <f>SUMIFS($H$2:H42,$D$2:D42,D42,$E$2:E42,E42,$G$2:G42,"买入")-SUMIFS($H$2:H42,$D$2:D42,D42,$E$2:E42,E42,$G$2:G42,"卖出")</f>
        <v/>
      </c>
      <c r="AD42">
        <f>IF(D42="深港",IF(Q42&gt;0,SUMIFS($J$2:J41,$D$2:D41,D42,$E$2:E41,E42,$G$2:G41,"买入")/SUMIFS($H$2:H41,$D$2:D41,D42,$E$2:E41,E42,$G$2:G41,"买入"),""),S42)</f>
        <v/>
      </c>
      <c r="AE42">
        <f>IF(AC42&gt;0,AC42*Z42-AC42*AD42,0)</f>
        <v/>
      </c>
      <c r="AF42">
        <f>IF(AC42&gt;0,IF(D42="深港",AE42*AA42,AE42),0)</f>
        <v/>
      </c>
      <c r="AG42">
        <f>SUMIFS($H$2:H41,$D$2:D41,D42,$E$2:E41,E42,$G$2:G41,"买入")</f>
        <v/>
      </c>
      <c r="AH42">
        <f>SUMIFS($K$2:K41,$D$2:D41,D42,$E$2:E41,E42,$G$2:G41,"买入")</f>
        <v/>
      </c>
      <c r="AI42">
        <f>IF(AG42&gt;0,AH42/AG42,"")</f>
        <v/>
      </c>
      <c r="AJ42">
        <f>IF(G42="卖出",IF(AI42="","",(L42-AI42)*H42),0)</f>
        <v/>
      </c>
      <c r="AK42">
        <f>IF(G42="卖出",AJ42-T42,"")</f>
        <v/>
      </c>
      <c r="AL42">
        <f>IF(G42="卖出","(L42-AI42)×H42 = ("&amp;TEXT(L42,"0.######")&amp;"-"&amp;TEXT(AI42,"0.######")&amp;")×"&amp;H42,"")</f>
        <v/>
      </c>
    </row>
    <row r="43">
      <c r="A43">
        <f>IF('交易流水'!A3&lt;&gt;"","流水","")</f>
        <v/>
      </c>
      <c r="B43">
        <f>'交易流水'!B3</f>
        <v/>
      </c>
      <c r="C43">
        <f>'交易流水'!X3</f>
        <v/>
      </c>
      <c r="D43">
        <f>IF(ISNUMBER(SEARCH("深港",C43)),"深港",IF(ISNUMBER(SEARCH("场内",C43)),"场内","其他"))</f>
        <v/>
      </c>
      <c r="E43">
        <f>'交易流水'!F3</f>
        <v/>
      </c>
      <c r="F43">
        <f>'交易流水'!G3</f>
        <v/>
      </c>
      <c r="G43">
        <f>'交易流水'!H3</f>
        <v/>
      </c>
      <c r="H43">
        <f>'交易流水'!K3</f>
        <v/>
      </c>
      <c r="I43">
        <f>'交易流水'!P3</f>
        <v/>
      </c>
      <c r="J43">
        <f>'交易流水'!L3</f>
        <v/>
      </c>
      <c r="K43">
        <f>'交易流水'!AR3</f>
        <v/>
      </c>
      <c r="L43">
        <f>IF(H43&gt;0,K43/H43,"")</f>
        <v/>
      </c>
      <c r="M43">
        <f>IF(G43="买入",H43,0)</f>
        <v/>
      </c>
      <c r="N43">
        <f>IF(G43="买入",K43,0)</f>
        <v/>
      </c>
      <c r="O43">
        <f>IF(G43="卖出",H43,0)</f>
        <v/>
      </c>
      <c r="P43">
        <f>IF(G43="卖出",K43,0)</f>
        <v/>
      </c>
      <c r="Q43">
        <f>SUMIFS($H$2:H42,$A$2:A42,"流水",$D$2:D42,D43,$E$2:E42,E43,$G$2:G42,"买入")</f>
        <v/>
      </c>
      <c r="R43">
        <f>SUMIFS($K$2:K42,$A$2:A42,"流水",$D$2:D42,D43,$E$2:E42,E43,$G$2:G42,"买入")</f>
        <v/>
      </c>
      <c r="S43">
        <f>IF(Q43&gt;0,R43/Q43,"")</f>
        <v/>
      </c>
      <c r="T43">
        <f>IF(G43="卖出",IF(S43="","",(L43-S43)*H43),0)</f>
        <v/>
      </c>
      <c r="U43" t="n">
        <v>173632.71</v>
      </c>
      <c r="V43">
        <f>IF(AND(J43&gt;0,D43="深港"),K43/J43,"")</f>
        <v/>
      </c>
      <c r="W43">
        <f>IF(G43="卖出","(L43-S43)×H43 = ("&amp;TEXT(L43,"0.######")&amp;"-"&amp;TEXT(S43,"0.######")&amp;")×"&amp;H43,"")</f>
        <v/>
      </c>
      <c r="X43" t="inlineStr">
        <is>
          <t>(L43-L10)×200000=(16.337645-15.469481)×200000=173632.71 → 173632.71</t>
        </is>
      </c>
      <c r="Y43">
        <f>IF(E43="","",IF(D43="深港",TEXT(--E43,"0000")&amp;".HK",IF(--E43&gt;=600000,TEXT(--E43,"000000")&amp;".SH",TEXT(--E43,"000000")&amp;".SZ")))</f>
        <v/>
      </c>
      <c r="Z43">
        <f>IF(Y43="","",IFERROR(INDEX('估值日行情'!$C$3:$C$61,MATCH(Y43,'估值日行情'!$A$3:$A$61,0)),""))</f>
        <v/>
      </c>
      <c r="AA43">
        <f>IF(D43="深港",IFERROR('FX_RATES_TO_CNY_HIST'!$B$3,""),1)</f>
        <v/>
      </c>
      <c r="AB43">
        <f>IF(Z43&lt;&gt;"",Z43*AA43,"")</f>
        <v/>
      </c>
      <c r="AC43">
        <f>SUMIFS($H$2:H43,$D$2:D43,D43,$E$2:E43,E43,$G$2:G43,"买入")-SUMIFS($H$2:H43,$D$2:D43,D43,$E$2:E43,E43,$G$2:G43,"卖出")</f>
        <v/>
      </c>
      <c r="AD43">
        <f>IF(D43="深港",IF(Q43&gt;0,SUMIFS($J$2:J42,$D$2:D42,D43,$E$2:E42,E43,$G$2:G42,"买入")/SUMIFS($H$2:H42,$D$2:D42,D43,$E$2:E42,E43,$G$2:G42,"买入"),""),S43)</f>
        <v/>
      </c>
      <c r="AE43">
        <f>IF(AC43&gt;0,AC43*Z43-AC43*AD43,0)</f>
        <v/>
      </c>
      <c r="AF43">
        <f>IF(AC43&gt;0,IF(D43="深港",AE43*AA43,AE43),0)</f>
        <v/>
      </c>
      <c r="AG43">
        <f>SUMIFS($H$2:H42,$D$2:D42,D43,$E$2:E42,E43,$G$2:G42,"买入")</f>
        <v/>
      </c>
      <c r="AH43">
        <f>SUMIFS($K$2:K42,$D$2:D42,D43,$E$2:E42,E43,$G$2:G42,"买入")</f>
        <v/>
      </c>
      <c r="AI43">
        <f>IF(AG43&gt;0,AH43/AG43,"")</f>
        <v/>
      </c>
      <c r="AJ43">
        <f>IF(G43="卖出",IF(AI43="","",(L43-AI43)*H43),0)</f>
        <v/>
      </c>
      <c r="AK43">
        <f>IF(G43="卖出",AJ43-T43,"")</f>
        <v/>
      </c>
      <c r="AL43">
        <f>IF(G43="卖出","(L43-AI43)×H43 = ("&amp;TEXT(L43,"0.######")&amp;"-"&amp;TEXT(AI43,"0.######")&amp;")×"&amp;H43,"")</f>
        <v/>
      </c>
    </row>
    <row r="44">
      <c r="A44">
        <f>IF('交易流水'!A4&lt;&gt;"","流水","")</f>
        <v/>
      </c>
      <c r="B44">
        <f>'交易流水'!B4</f>
        <v/>
      </c>
      <c r="C44">
        <f>'交易流水'!X4</f>
        <v/>
      </c>
      <c r="D44">
        <f>IF(ISNUMBER(SEARCH("深港",C44)),"深港",IF(ISNUMBER(SEARCH("场内",C44)),"场内","其他"))</f>
        <v/>
      </c>
      <c r="E44">
        <f>'交易流水'!F4</f>
        <v/>
      </c>
      <c r="F44">
        <f>'交易流水'!G4</f>
        <v/>
      </c>
      <c r="G44">
        <f>'交易流水'!H4</f>
        <v/>
      </c>
      <c r="H44">
        <f>'交易流水'!K4</f>
        <v/>
      </c>
      <c r="I44">
        <f>'交易流水'!P4</f>
        <v/>
      </c>
      <c r="J44">
        <f>'交易流水'!L4</f>
        <v/>
      </c>
      <c r="K44">
        <f>'交易流水'!AR4</f>
        <v/>
      </c>
      <c r="L44">
        <f>IF(H44&gt;0,K44/H44,"")</f>
        <v/>
      </c>
      <c r="M44">
        <f>IF(G44="买入",H44,0)</f>
        <v/>
      </c>
      <c r="N44">
        <f>IF(G44="买入",K44,0)</f>
        <v/>
      </c>
      <c r="O44">
        <f>IF(G44="卖出",H44,0)</f>
        <v/>
      </c>
      <c r="P44">
        <f>IF(G44="卖出",K44,0)</f>
        <v/>
      </c>
      <c r="Q44">
        <f>SUMIFS($H$2:H43,$A$2:A43,"流水",$D$2:D43,D44,$E$2:E43,E44,$G$2:G43,"买入")</f>
        <v/>
      </c>
      <c r="R44">
        <f>SUMIFS($K$2:K43,$A$2:A43,"流水",$D$2:D43,D44,$E$2:E43,E44,$G$2:G43,"买入")</f>
        <v/>
      </c>
      <c r="S44">
        <f>IF(Q44&gt;0,R44/Q44,"")</f>
        <v/>
      </c>
      <c r="T44">
        <f>IF(G44="卖出",IF(S44="","",(L44-S44)*H44),0)</f>
        <v/>
      </c>
      <c r="U44" t="n">
        <v>192067.38</v>
      </c>
      <c r="V44">
        <f>IF(AND(J44&gt;0,D44="深港"),K44/J44,"")</f>
        <v/>
      </c>
      <c r="W44">
        <f>IF(G44="卖出","(L44-S44)×H44 = ("&amp;TEXT(L44,"0.######")&amp;"-"&amp;TEXT(S44,"0.######")&amp;")×"&amp;H44,"")</f>
        <v/>
      </c>
      <c r="X44" t="inlineStr">
        <is>
          <t>(L44-L34)×10000=(61.627125-42.420387)×10000=192067.38 → 192067.38</t>
        </is>
      </c>
      <c r="Y44">
        <f>IF(E44="","",IF(D44="深港",TEXT(--E44,"0000")&amp;".HK",IF(--E44&gt;=600000,TEXT(--E44,"000000")&amp;".SH",TEXT(--E44,"000000")&amp;".SZ")))</f>
        <v/>
      </c>
      <c r="Z44">
        <f>IF(Y44="","",IFERROR(INDEX('估值日行情'!$C$3:$C$61,MATCH(Y44,'估值日行情'!$A$3:$A$61,0)),""))</f>
        <v/>
      </c>
      <c r="AA44">
        <f>IF(D44="深港",IFERROR('FX_RATES_TO_CNY_HIST'!$B$3,""),1)</f>
        <v/>
      </c>
      <c r="AB44">
        <f>IF(Z44&lt;&gt;"",Z44*AA44,"")</f>
        <v/>
      </c>
      <c r="AC44">
        <f>SUMIFS($H$2:H44,$D$2:D44,D44,$E$2:E44,E44,$G$2:G44,"买入")-SUMIFS($H$2:H44,$D$2:D44,D44,$E$2:E44,E44,$G$2:G44,"卖出")</f>
        <v/>
      </c>
      <c r="AD44">
        <f>IF(D44="深港",IF(Q44&gt;0,SUMIFS($J$2:J43,$D$2:D43,D44,$E$2:E43,E44,$G$2:G43,"买入")/SUMIFS($H$2:H43,$D$2:D43,D44,$E$2:E43,E44,$G$2:G43,"买入"),""),S44)</f>
        <v/>
      </c>
      <c r="AE44">
        <f>IF(AC44&gt;0,AC44*Z44-AC44*AD44,0)</f>
        <v/>
      </c>
      <c r="AF44">
        <f>IF(AC44&gt;0,IF(D44="深港",AE44*AA44,AE44),0)</f>
        <v/>
      </c>
      <c r="AG44">
        <f>SUMIFS($H$2:H43,$D$2:D43,D44,$E$2:E43,E44,$G$2:G43,"买入")</f>
        <v/>
      </c>
      <c r="AH44">
        <f>SUMIFS($K$2:K43,$D$2:D43,D44,$E$2:E43,E44,$G$2:G43,"买入")</f>
        <v/>
      </c>
      <c r="AI44">
        <f>IF(AG44&gt;0,AH44/AG44,"")</f>
        <v/>
      </c>
      <c r="AJ44">
        <f>IF(G44="卖出",IF(AI44="","",(L44-AI44)*H44),0)</f>
        <v/>
      </c>
      <c r="AK44">
        <f>IF(G44="卖出",AJ44-T44,"")</f>
        <v/>
      </c>
      <c r="AL44">
        <f>IF(G44="卖出","(L44-AI44)×H44 = ("&amp;TEXT(L44,"0.######")&amp;"-"&amp;TEXT(AI44,"0.######")&amp;")×"&amp;H44,"")</f>
        <v/>
      </c>
    </row>
    <row r="45">
      <c r="A45">
        <f>IF('交易流水'!A5&lt;&gt;"","流水","")</f>
        <v/>
      </c>
      <c r="B45">
        <f>'交易流水'!B5</f>
        <v/>
      </c>
      <c r="C45">
        <f>'交易流水'!X5</f>
        <v/>
      </c>
      <c r="D45">
        <f>IF(ISNUMBER(SEARCH("深港",C45)),"深港",IF(ISNUMBER(SEARCH("场内",C45)),"场内","其他"))</f>
        <v/>
      </c>
      <c r="E45">
        <f>'交易流水'!F5</f>
        <v/>
      </c>
      <c r="F45">
        <f>'交易流水'!G5</f>
        <v/>
      </c>
      <c r="G45">
        <f>'交易流水'!H5</f>
        <v/>
      </c>
      <c r="H45">
        <f>'交易流水'!K5</f>
        <v/>
      </c>
      <c r="I45">
        <f>'交易流水'!P5</f>
        <v/>
      </c>
      <c r="J45">
        <f>'交易流水'!L5</f>
        <v/>
      </c>
      <c r="K45">
        <f>'交易流水'!AR5</f>
        <v/>
      </c>
      <c r="L45">
        <f>IF(H45&gt;0,K45/H45,"")</f>
        <v/>
      </c>
      <c r="M45">
        <f>IF(G45="买入",H45,0)</f>
        <v/>
      </c>
      <c r="N45">
        <f>IF(G45="买入",K45,0)</f>
        <v/>
      </c>
      <c r="O45">
        <f>IF(G45="卖出",H45,0)</f>
        <v/>
      </c>
      <c r="P45">
        <f>IF(G45="卖出",K45,0)</f>
        <v/>
      </c>
      <c r="Q45">
        <f>SUMIFS($H$2:H44,$A$2:A44,"流水",$D$2:D44,D45,$E$2:E44,E45,$G$2:G44,"买入")</f>
        <v/>
      </c>
      <c r="R45">
        <f>SUMIFS($K$2:K44,$A$2:A44,"流水",$D$2:D44,D45,$E$2:E44,E45,$G$2:G44,"买入")</f>
        <v/>
      </c>
      <c r="S45">
        <f>IF(Q45&gt;0,R45/Q45,"")</f>
        <v/>
      </c>
      <c r="T45">
        <f>IF(G45="卖出",IF(S45="","",(L45-S45)*H45),0)</f>
        <v/>
      </c>
      <c r="U45" t="n">
        <v>-535649.9</v>
      </c>
      <c r="V45">
        <f>IF(AND(J45&gt;0,D45="深港"),K45/J45,"")</f>
        <v/>
      </c>
      <c r="W45">
        <f>IF(G45="卖出","(L45-S45)×H45 = ("&amp;TEXT(L45,"0.######")&amp;"-"&amp;TEXT(S45,"0.######")&amp;")×"&amp;H45,"")</f>
        <v/>
      </c>
      <c r="X45" t="inlineStr">
        <is>
          <t>(L45-L15)×20000=(103.015950-129.798445)×20000=-535649.90 → -535649.9</t>
        </is>
      </c>
      <c r="Y45">
        <f>IF(E45="","",IF(D45="深港",TEXT(--E45,"0000")&amp;".HK",IF(--E45&gt;=600000,TEXT(--E45,"000000")&amp;".SH",TEXT(--E45,"000000")&amp;".SZ")))</f>
        <v/>
      </c>
      <c r="Z45">
        <f>IF(Y45="","",IFERROR(INDEX('估值日行情'!$C$3:$C$61,MATCH(Y45,'估值日行情'!$A$3:$A$61,0)),""))</f>
        <v/>
      </c>
      <c r="AA45">
        <f>IF(D45="深港",IFERROR('FX_RATES_TO_CNY_HIST'!$B$3,""),1)</f>
        <v/>
      </c>
      <c r="AB45">
        <f>IF(Z45&lt;&gt;"",Z45*AA45,"")</f>
        <v/>
      </c>
      <c r="AC45">
        <f>SUMIFS($H$2:H45,$D$2:D45,D45,$E$2:E45,E45,$G$2:G45,"买入")-SUMIFS($H$2:H45,$D$2:D45,D45,$E$2:E45,E45,$G$2:G45,"卖出")</f>
        <v/>
      </c>
      <c r="AD45">
        <f>IF(D45="深港",IF(Q45&gt;0,SUMIFS($J$2:J44,$D$2:D44,D45,$E$2:E44,E45,$G$2:G44,"买入")/SUMIFS($H$2:H44,$D$2:D44,D45,$E$2:E44,E45,$G$2:G44,"买入"),""),S45)</f>
        <v/>
      </c>
      <c r="AE45">
        <f>IF(AC45&gt;0,AC45*Z45-AC45*AD45,0)</f>
        <v/>
      </c>
      <c r="AF45">
        <f>IF(AC45&gt;0,IF(D45="深港",AE45*AA45,AE45),0)</f>
        <v/>
      </c>
      <c r="AG45">
        <f>SUMIFS($H$2:H44,$D$2:D44,D45,$E$2:E44,E45,$G$2:G44,"买入")</f>
        <v/>
      </c>
      <c r="AH45">
        <f>SUMIFS($K$2:K44,$D$2:D44,D45,$E$2:E44,E45,$G$2:G44,"买入")</f>
        <v/>
      </c>
      <c r="AI45">
        <f>IF(AG45&gt;0,AH45/AG45,"")</f>
        <v/>
      </c>
      <c r="AJ45">
        <f>IF(G45="卖出",IF(AI45="","",(L45-AI45)*H45),0)</f>
        <v/>
      </c>
      <c r="AK45">
        <f>IF(G45="卖出",AJ45-T45,"")</f>
        <v/>
      </c>
      <c r="AL45">
        <f>IF(G45="卖出","(L45-AI45)×H45 = ("&amp;TEXT(L45,"0.######")&amp;"-"&amp;TEXT(AI45,"0.######")&amp;")×"&amp;H45,"")</f>
        <v/>
      </c>
    </row>
    <row r="46">
      <c r="A46">
        <f>IF('交易流水'!A6&lt;&gt;"","流水","")</f>
        <v/>
      </c>
      <c r="B46">
        <f>'交易流水'!B6</f>
        <v/>
      </c>
      <c r="C46">
        <f>'交易流水'!X6</f>
        <v/>
      </c>
      <c r="D46">
        <f>IF(ISNUMBER(SEARCH("深港",C46)),"深港",IF(ISNUMBER(SEARCH("场内",C46)),"场内","其他"))</f>
        <v/>
      </c>
      <c r="E46">
        <f>'交易流水'!F6</f>
        <v/>
      </c>
      <c r="F46">
        <f>'交易流水'!G6</f>
        <v/>
      </c>
      <c r="G46">
        <f>'交易流水'!H6</f>
        <v/>
      </c>
      <c r="H46">
        <f>'交易流水'!K6</f>
        <v/>
      </c>
      <c r="I46">
        <f>'交易流水'!P6</f>
        <v/>
      </c>
      <c r="J46">
        <f>'交易流水'!L6</f>
        <v/>
      </c>
      <c r="K46">
        <f>'交易流水'!AR6</f>
        <v/>
      </c>
      <c r="L46">
        <f>IF(H46&gt;0,K46/H46,"")</f>
        <v/>
      </c>
      <c r="M46">
        <f>IF(G46="买入",H46,0)</f>
        <v/>
      </c>
      <c r="N46">
        <f>IF(G46="买入",K46,0)</f>
        <v/>
      </c>
      <c r="O46">
        <f>IF(G46="卖出",H46,0)</f>
        <v/>
      </c>
      <c r="P46">
        <f>IF(G46="卖出",K46,0)</f>
        <v/>
      </c>
      <c r="Q46">
        <f>SUMIFS($H$2:H45,$A$2:A45,"流水",$D$2:D45,D46,$E$2:E45,E46,$G$2:G45,"买入")</f>
        <v/>
      </c>
      <c r="R46">
        <f>SUMIFS($K$2:K45,$A$2:A45,"流水",$D$2:D45,D46,$E$2:E45,E46,$G$2:G45,"买入")</f>
        <v/>
      </c>
      <c r="S46">
        <f>IF(Q46&gt;0,R46/Q46,"")</f>
        <v/>
      </c>
      <c r="T46">
        <f>IF(G46="卖出",IF(S46="","",(L46-S46)*H46),0)</f>
        <v/>
      </c>
      <c r="U46" t="n">
        <v>-308959.9</v>
      </c>
      <c r="V46">
        <f>IF(AND(J46&gt;0,D46="深港"),K46/J46,"")</f>
        <v/>
      </c>
      <c r="W46">
        <f>IF(G46="卖出","(L46-S46)×H46 = ("&amp;TEXT(L46,"0.######")&amp;"-"&amp;TEXT(S46,"0.######")&amp;")×"&amp;H46,"")</f>
        <v/>
      </c>
      <c r="X46" t="inlineStr">
        <is>
          <t>(L46-L11)×60000=(38.816667-43.965998)×60000=-308959.90 → -308959.9</t>
        </is>
      </c>
      <c r="Y46">
        <f>IF(E46="","",IF(D46="深港",TEXT(--E46,"0000")&amp;".HK",IF(--E46&gt;=600000,TEXT(--E46,"000000")&amp;".SH",TEXT(--E46,"000000")&amp;".SZ")))</f>
        <v/>
      </c>
      <c r="Z46">
        <f>IF(Y46="","",IFERROR(INDEX('估值日行情'!$C$3:$C$61,MATCH(Y46,'估值日行情'!$A$3:$A$61,0)),""))</f>
        <v/>
      </c>
      <c r="AA46">
        <f>IF(D46="深港",IFERROR('FX_RATES_TO_CNY_HIST'!$B$3,""),1)</f>
        <v/>
      </c>
      <c r="AB46">
        <f>IF(Z46&lt;&gt;"",Z46*AA46,"")</f>
        <v/>
      </c>
      <c r="AC46">
        <f>SUMIFS($H$2:H46,$D$2:D46,D46,$E$2:E46,E46,$G$2:G46,"买入")-SUMIFS($H$2:H46,$D$2:D46,D46,$E$2:E46,E46,$G$2:G46,"卖出")</f>
        <v/>
      </c>
      <c r="AD46">
        <f>IF(D46="深港",IF(Q46&gt;0,SUMIFS($J$2:J45,$D$2:D45,D46,$E$2:E45,E46,$G$2:G45,"买入")/SUMIFS($H$2:H45,$D$2:D45,D46,$E$2:E45,E46,$G$2:G45,"买入"),""),S46)</f>
        <v/>
      </c>
      <c r="AE46">
        <f>IF(AC46&gt;0,AC46*Z46-AC46*AD46,0)</f>
        <v/>
      </c>
      <c r="AF46">
        <f>IF(AC46&gt;0,IF(D46="深港",AE46*AA46,AE46),0)</f>
        <v/>
      </c>
      <c r="AG46">
        <f>SUMIFS($H$2:H45,$D$2:D45,D46,$E$2:E45,E46,$G$2:G45,"买入")</f>
        <v/>
      </c>
      <c r="AH46">
        <f>SUMIFS($K$2:K45,$D$2:D45,D46,$E$2:E45,E46,$G$2:G45,"买入")</f>
        <v/>
      </c>
      <c r="AI46">
        <f>IF(AG46&gt;0,AH46/AG46,"")</f>
        <v/>
      </c>
      <c r="AJ46">
        <f>IF(G46="卖出",IF(AI46="","",(L46-AI46)*H46),0)</f>
        <v/>
      </c>
      <c r="AK46">
        <f>IF(G46="卖出",AJ46-T46,"")</f>
        <v/>
      </c>
      <c r="AL46">
        <f>IF(G46="卖出","(L46-AI46)×H46 = ("&amp;TEXT(L46,"0.######")&amp;"-"&amp;TEXT(AI46,"0.######")&amp;")×"&amp;H46,"")</f>
        <v/>
      </c>
    </row>
    <row r="47">
      <c r="A47">
        <f>IF('交易流水'!A7&lt;&gt;"","流水","")</f>
        <v/>
      </c>
      <c r="B47">
        <f>'交易流水'!B7</f>
        <v/>
      </c>
      <c r="C47">
        <f>'交易流水'!X7</f>
        <v/>
      </c>
      <c r="D47">
        <f>IF(ISNUMBER(SEARCH("深港",C47)),"深港",IF(ISNUMBER(SEARCH("场内",C47)),"场内","其他"))</f>
        <v/>
      </c>
      <c r="E47">
        <f>'交易流水'!F7</f>
        <v/>
      </c>
      <c r="F47">
        <f>'交易流水'!G7</f>
        <v/>
      </c>
      <c r="G47">
        <f>'交易流水'!H7</f>
        <v/>
      </c>
      <c r="H47">
        <f>'交易流水'!K7</f>
        <v/>
      </c>
      <c r="I47">
        <f>'交易流水'!P7</f>
        <v/>
      </c>
      <c r="J47">
        <f>'交易流水'!L7</f>
        <v/>
      </c>
      <c r="K47">
        <f>'交易流水'!AR7</f>
        <v/>
      </c>
      <c r="L47">
        <f>IF(H47&gt;0,K47/H47,"")</f>
        <v/>
      </c>
      <c r="M47">
        <f>IF(G47="买入",H47,0)</f>
        <v/>
      </c>
      <c r="N47">
        <f>IF(G47="买入",K47,0)</f>
        <v/>
      </c>
      <c r="O47">
        <f>IF(G47="卖出",H47,0)</f>
        <v/>
      </c>
      <c r="P47">
        <f>IF(G47="卖出",K47,0)</f>
        <v/>
      </c>
      <c r="Q47">
        <f>SUMIFS($H$2:H46,$A$2:A46,"流水",$D$2:D46,D47,$E$2:E46,E47,$G$2:G46,"买入")</f>
        <v/>
      </c>
      <c r="R47">
        <f>SUMIFS($K$2:K46,$A$2:A46,"流水",$D$2:D46,D47,$E$2:E46,E47,$G$2:G46,"买入")</f>
        <v/>
      </c>
      <c r="S47">
        <f>IF(Q47&gt;0,R47/Q47,"")</f>
        <v/>
      </c>
      <c r="T47">
        <f>IF(G47="卖出",IF(S47="","",(L47-S47)*H47),0)</f>
        <v/>
      </c>
      <c r="U47" t="n">
        <v>-418217.67</v>
      </c>
      <c r="V47">
        <f>IF(AND(J47&gt;0,D47="深港"),K47/J47,"")</f>
        <v/>
      </c>
      <c r="W47">
        <f>IF(G47="卖出","(L47-S47)×H47 = ("&amp;TEXT(L47,"0.######")&amp;"-"&amp;TEXT(S47,"0.######")&amp;")×"&amp;H47,"")</f>
        <v/>
      </c>
      <c r="X47" t="inlineStr">
        <is>
          <t>(L47-L12)×60000=(34.046300-41.016594)×60000=-418217.67 → -418217.67</t>
        </is>
      </c>
      <c r="Y47">
        <f>IF(E47="","",IF(D47="深港",TEXT(--E47,"0000")&amp;".HK",IF(--E47&gt;=600000,TEXT(--E47,"000000")&amp;".SH",TEXT(--E47,"000000")&amp;".SZ")))</f>
        <v/>
      </c>
      <c r="Z47">
        <f>IF(Y47="","",IFERROR(INDEX('估值日行情'!$C$3:$C$61,MATCH(Y47,'估值日行情'!$A$3:$A$61,0)),""))</f>
        <v/>
      </c>
      <c r="AA47">
        <f>IF(D47="深港",IFERROR('FX_RATES_TO_CNY_HIST'!$B$3,""),1)</f>
        <v/>
      </c>
      <c r="AB47">
        <f>IF(Z47&lt;&gt;"",Z47*AA47,"")</f>
        <v/>
      </c>
      <c r="AC47">
        <f>SUMIFS($H$2:H47,$D$2:D47,D47,$E$2:E47,E47,$G$2:G47,"买入")-SUMIFS($H$2:H47,$D$2:D47,D47,$E$2:E47,E47,$G$2:G47,"卖出")</f>
        <v/>
      </c>
      <c r="AD47">
        <f>IF(D47="深港",IF(Q47&gt;0,SUMIFS($J$2:J46,$D$2:D46,D47,$E$2:E46,E47,$G$2:G46,"买入")/SUMIFS($H$2:H46,$D$2:D46,D47,$E$2:E46,E47,$G$2:G46,"买入"),""),S47)</f>
        <v/>
      </c>
      <c r="AE47">
        <f>IF(AC47&gt;0,AC47*Z47-AC47*AD47,0)</f>
        <v/>
      </c>
      <c r="AF47">
        <f>IF(AC47&gt;0,IF(D47="深港",AE47*AA47,AE47),0)</f>
        <v/>
      </c>
      <c r="AG47">
        <f>SUMIFS($H$2:H46,$D$2:D46,D47,$E$2:E46,E47,$G$2:G46,"买入")</f>
        <v/>
      </c>
      <c r="AH47">
        <f>SUMIFS($K$2:K46,$D$2:D46,D47,$E$2:E46,E47,$G$2:G46,"买入")</f>
        <v/>
      </c>
      <c r="AI47">
        <f>IF(AG47&gt;0,AH47/AG47,"")</f>
        <v/>
      </c>
      <c r="AJ47">
        <f>IF(G47="卖出",IF(AI47="","",(L47-AI47)*H47),0)</f>
        <v/>
      </c>
      <c r="AK47">
        <f>IF(G47="卖出",AJ47-T47,"")</f>
        <v/>
      </c>
      <c r="AL47">
        <f>IF(G47="卖出","(L47-AI47)×H47 = ("&amp;TEXT(L47,"0.######")&amp;"-"&amp;TEXT(AI47,"0.######")&amp;")×"&amp;H47,"")</f>
        <v/>
      </c>
    </row>
    <row r="48">
      <c r="A48">
        <f>IF('交易流水'!A8&lt;&gt;"","流水","")</f>
        <v/>
      </c>
      <c r="B48">
        <f>'交易流水'!B8</f>
        <v/>
      </c>
      <c r="C48">
        <f>'交易流水'!X8</f>
        <v/>
      </c>
      <c r="D48">
        <f>IF(ISNUMBER(SEARCH("深港",C48)),"深港",IF(ISNUMBER(SEARCH("场内",C48)),"场内","其他"))</f>
        <v/>
      </c>
      <c r="E48">
        <f>'交易流水'!F8</f>
        <v/>
      </c>
      <c r="F48">
        <f>'交易流水'!G8</f>
        <v/>
      </c>
      <c r="G48">
        <f>'交易流水'!H8</f>
        <v/>
      </c>
      <c r="H48">
        <f>'交易流水'!K8</f>
        <v/>
      </c>
      <c r="I48">
        <f>'交易流水'!P8</f>
        <v/>
      </c>
      <c r="J48">
        <f>'交易流水'!L8</f>
        <v/>
      </c>
      <c r="K48">
        <f>'交易流水'!AR8</f>
        <v/>
      </c>
      <c r="L48">
        <f>IF(H48&gt;0,K48/H48,"")</f>
        <v/>
      </c>
      <c r="M48">
        <f>IF(G48="买入",H48,0)</f>
        <v/>
      </c>
      <c r="N48">
        <f>IF(G48="买入",K48,0)</f>
        <v/>
      </c>
      <c r="O48">
        <f>IF(G48="卖出",H48,0)</f>
        <v/>
      </c>
      <c r="P48">
        <f>IF(G48="卖出",K48,0)</f>
        <v/>
      </c>
      <c r="Q48">
        <f>SUMIFS($H$2:H47,$A$2:A47,"流水",$D$2:D47,D48,$E$2:E47,E48,$G$2:G47,"买入")</f>
        <v/>
      </c>
      <c r="R48">
        <f>SUMIFS($K$2:K47,$A$2:A47,"流水",$D$2:D47,D48,$E$2:E47,E48,$G$2:G47,"买入")</f>
        <v/>
      </c>
      <c r="S48">
        <f>IF(Q48&gt;0,R48/Q48,"")</f>
        <v/>
      </c>
      <c r="T48">
        <f>IF(G48="卖出",IF(S48="","",(L48-S48)*H48),0)</f>
        <v/>
      </c>
      <c r="U48" t="n">
        <v>0</v>
      </c>
      <c r="V48">
        <f>IF(AND(J48&gt;0,D48="深港"),K48/J48,"")</f>
        <v/>
      </c>
      <c r="W48">
        <f>IF(G48="卖出","(L48-S48)×H48 = ("&amp;TEXT(L48,"0.######")&amp;"-"&amp;TEXT(S48,"0.######")&amp;")×"&amp;H48,"")</f>
        <v/>
      </c>
      <c r="Y48">
        <f>IF(E48="","",IF(D48="深港",TEXT(--E48,"0000")&amp;".HK",IF(--E48&gt;=600000,TEXT(--E48,"000000")&amp;".SH",TEXT(--E48,"000000")&amp;".SZ")))</f>
        <v/>
      </c>
      <c r="Z48">
        <f>IF(Y48="","",IFERROR(INDEX('估值日行情'!$C$3:$C$61,MATCH(Y48,'估值日行情'!$A$3:$A$61,0)),""))</f>
        <v/>
      </c>
      <c r="AA48">
        <f>IF(D48="深港",IFERROR('FX_RATES_TO_CNY_HIST'!$B$3,""),1)</f>
        <v/>
      </c>
      <c r="AB48">
        <f>IF(Z48&lt;&gt;"",Z48*AA48,"")</f>
        <v/>
      </c>
      <c r="AC48">
        <f>SUMIFS($H$2:H48,$D$2:D48,D48,$E$2:E48,E48,$G$2:G48,"买入")-SUMIFS($H$2:H48,$D$2:D48,D48,$E$2:E48,E48,$G$2:G48,"卖出")</f>
        <v/>
      </c>
      <c r="AD48">
        <f>IF(D48="深港",IF(Q48&gt;0,SUMIFS($J$2:J47,$D$2:D47,D48,$E$2:E47,E48,$G$2:G47,"买入")/SUMIFS($H$2:H47,$D$2:D47,D48,$E$2:E47,E48,$G$2:G47,"买入"),""),S48)</f>
        <v/>
      </c>
      <c r="AE48">
        <f>IF(AC48&gt;0,AC48*Z48-AC48*AD48,0)</f>
        <v/>
      </c>
      <c r="AF48">
        <f>IF(AC48&gt;0,IF(D48="深港",AE48*AA48,AE48),0)</f>
        <v/>
      </c>
      <c r="AG48">
        <f>SUMIFS($H$2:H47,$D$2:D47,D48,$E$2:E47,E48,$G$2:G47,"买入")</f>
        <v/>
      </c>
      <c r="AH48">
        <f>SUMIFS($K$2:K47,$D$2:D47,D48,$E$2:E47,E48,$G$2:G47,"买入")</f>
        <v/>
      </c>
      <c r="AI48">
        <f>IF(AG48&gt;0,AH48/AG48,"")</f>
        <v/>
      </c>
      <c r="AJ48">
        <f>IF(G48="卖出",IF(AI48="","",(L48-AI48)*H48),0)</f>
        <v/>
      </c>
      <c r="AK48">
        <f>IF(G48="卖出",AJ48-T48,"")</f>
        <v/>
      </c>
      <c r="AL48">
        <f>IF(G48="卖出","(L48-AI48)×H48 = ("&amp;TEXT(L48,"0.######")&amp;"-"&amp;TEXT(AI48,"0.######")&amp;")×"&amp;H48,"")</f>
        <v/>
      </c>
    </row>
    <row r="49">
      <c r="A49">
        <f>IF('交易流水'!A9&lt;&gt;"","流水","")</f>
        <v/>
      </c>
      <c r="B49">
        <f>'交易流水'!B9</f>
        <v/>
      </c>
      <c r="C49">
        <f>'交易流水'!X9</f>
        <v/>
      </c>
      <c r="D49">
        <f>IF(ISNUMBER(SEARCH("深港",C49)),"深港",IF(ISNUMBER(SEARCH("场内",C49)),"场内","其他"))</f>
        <v/>
      </c>
      <c r="E49">
        <f>'交易流水'!F9</f>
        <v/>
      </c>
      <c r="F49">
        <f>'交易流水'!G9</f>
        <v/>
      </c>
      <c r="G49">
        <f>'交易流水'!H9</f>
        <v/>
      </c>
      <c r="H49">
        <f>'交易流水'!K9</f>
        <v/>
      </c>
      <c r="I49">
        <f>'交易流水'!P9</f>
        <v/>
      </c>
      <c r="J49">
        <f>'交易流水'!L9</f>
        <v/>
      </c>
      <c r="K49">
        <f>'交易流水'!AR9</f>
        <v/>
      </c>
      <c r="L49">
        <f>IF(H49&gt;0,K49/H49,"")</f>
        <v/>
      </c>
      <c r="M49">
        <f>IF(G49="买入",H49,0)</f>
        <v/>
      </c>
      <c r="N49">
        <f>IF(G49="买入",K49,0)</f>
        <v/>
      </c>
      <c r="O49">
        <f>IF(G49="卖出",H49,0)</f>
        <v/>
      </c>
      <c r="P49">
        <f>IF(G49="卖出",K49,0)</f>
        <v/>
      </c>
      <c r="Q49">
        <f>SUMIFS($H$2:H48,$A$2:A48,"流水",$D$2:D48,D49,$E$2:E48,E49,$G$2:G48,"买入")</f>
        <v/>
      </c>
      <c r="R49">
        <f>SUMIFS($K$2:K48,$A$2:A48,"流水",$D$2:D48,D49,$E$2:E48,E49,$G$2:G48,"买入")</f>
        <v/>
      </c>
      <c r="S49">
        <f>IF(Q49&gt;0,R49/Q49,"")</f>
        <v/>
      </c>
      <c r="T49">
        <f>IF(G49="卖出",IF(S49="","",(L49-S49)*H49),0)</f>
        <v/>
      </c>
      <c r="U49" t="n">
        <v>0</v>
      </c>
      <c r="V49">
        <f>IF(AND(J49&gt;0,D49="深港"),K49/J49,"")</f>
        <v/>
      </c>
      <c r="W49">
        <f>IF(G49="卖出","(L49-S49)×H49 = ("&amp;TEXT(L49,"0.######")&amp;"-"&amp;TEXT(S49,"0.######")&amp;")×"&amp;H49,"")</f>
        <v/>
      </c>
      <c r="Y49">
        <f>IF(E49="","",IF(D49="深港",TEXT(--E49,"0000")&amp;".HK",IF(--E49&gt;=600000,TEXT(--E49,"000000")&amp;".SH",TEXT(--E49,"000000")&amp;".SZ")))</f>
        <v/>
      </c>
      <c r="Z49">
        <f>IF(Y49="","",IFERROR(INDEX('估值日行情'!$C$3:$C$61,MATCH(Y49,'估值日行情'!$A$3:$A$61,0)),""))</f>
        <v/>
      </c>
      <c r="AA49">
        <f>IF(D49="深港",IFERROR('FX_RATES_TO_CNY_HIST'!$B$3,""),1)</f>
        <v/>
      </c>
      <c r="AB49">
        <f>IF(Z49&lt;&gt;"",Z49*AA49,"")</f>
        <v/>
      </c>
      <c r="AC49">
        <f>SUMIFS($H$2:H49,$D$2:D49,D49,$E$2:E49,E49,$G$2:G49,"买入")-SUMIFS($H$2:H49,$D$2:D49,D49,$E$2:E49,E49,$G$2:G49,"卖出")</f>
        <v/>
      </c>
      <c r="AD49">
        <f>IF(D49="深港",IF(Q49&gt;0,SUMIFS($J$2:J48,$D$2:D48,D49,$E$2:E48,E49,$G$2:G48,"买入")/SUMIFS($H$2:H48,$D$2:D48,D49,$E$2:E48,E49,$G$2:G48,"买入"),""),S49)</f>
        <v/>
      </c>
      <c r="AE49">
        <f>IF(AC49&gt;0,AC49*Z49-AC49*AD49,0)</f>
        <v/>
      </c>
      <c r="AF49">
        <f>IF(AC49&gt;0,IF(D49="深港",AE49*AA49,AE49),0)</f>
        <v/>
      </c>
      <c r="AG49">
        <f>SUMIFS($H$2:H48,$D$2:D48,D49,$E$2:E48,E49,$G$2:G48,"买入")</f>
        <v/>
      </c>
      <c r="AH49">
        <f>SUMIFS($K$2:K48,$D$2:D48,D49,$E$2:E48,E49,$G$2:G48,"买入")</f>
        <v/>
      </c>
      <c r="AI49">
        <f>IF(AG49&gt;0,AH49/AG49,"")</f>
        <v/>
      </c>
      <c r="AJ49">
        <f>IF(G49="卖出",IF(AI49="","",(L49-AI49)*H49),0)</f>
        <v/>
      </c>
      <c r="AK49">
        <f>IF(G49="卖出",AJ49-T49,"")</f>
        <v/>
      </c>
      <c r="AL49">
        <f>IF(G49="卖出","(L49-AI49)×H49 = ("&amp;TEXT(L49,"0.######")&amp;"-"&amp;TEXT(AI49,"0.######")&amp;")×"&amp;H49,"")</f>
        <v/>
      </c>
    </row>
    <row r="50">
      <c r="A50">
        <f>IF('交易流水'!A10&lt;&gt;"","流水","")</f>
        <v/>
      </c>
      <c r="B50">
        <f>'交易流水'!B10</f>
        <v/>
      </c>
      <c r="C50">
        <f>'交易流水'!X10</f>
        <v/>
      </c>
      <c r="D50">
        <f>IF(ISNUMBER(SEARCH("深港",C50)),"深港",IF(ISNUMBER(SEARCH("场内",C50)),"场内","其他"))</f>
        <v/>
      </c>
      <c r="E50">
        <f>'交易流水'!F10</f>
        <v/>
      </c>
      <c r="F50">
        <f>'交易流水'!G10</f>
        <v/>
      </c>
      <c r="G50">
        <f>'交易流水'!H10</f>
        <v/>
      </c>
      <c r="H50">
        <f>'交易流水'!K10</f>
        <v/>
      </c>
      <c r="I50">
        <f>'交易流水'!P10</f>
        <v/>
      </c>
      <c r="J50">
        <f>'交易流水'!L10</f>
        <v/>
      </c>
      <c r="K50">
        <f>'交易流水'!AR10</f>
        <v/>
      </c>
      <c r="L50">
        <f>IF(H50&gt;0,K50/H50,"")</f>
        <v/>
      </c>
      <c r="M50">
        <f>IF(G50="买入",H50,0)</f>
        <v/>
      </c>
      <c r="N50">
        <f>IF(G50="买入",K50,0)</f>
        <v/>
      </c>
      <c r="O50">
        <f>IF(G50="卖出",H50,0)</f>
        <v/>
      </c>
      <c r="P50">
        <f>IF(G50="卖出",K50,0)</f>
        <v/>
      </c>
      <c r="Q50">
        <f>SUMIFS($H$2:H49,$A$2:A49,"流水",$D$2:D49,D50,$E$2:E49,E50,$G$2:G49,"买入")</f>
        <v/>
      </c>
      <c r="R50">
        <f>SUMIFS($K$2:K49,$A$2:A49,"流水",$D$2:D49,D50,$E$2:E49,E50,$G$2:G49,"买入")</f>
        <v/>
      </c>
      <c r="S50">
        <f>IF(Q50&gt;0,R50/Q50,"")</f>
        <v/>
      </c>
      <c r="T50">
        <f>IF(G50="卖出",IF(S50="","",(L50-S50)*H50),0)</f>
        <v/>
      </c>
      <c r="U50" t="n">
        <v>-13560.9</v>
      </c>
      <c r="V50">
        <f>IF(AND(J50&gt;0,D50="深港"),K50/J50,"")</f>
        <v/>
      </c>
      <c r="W50">
        <f>IF(G50="卖出","(L50-S50)×H50 = ("&amp;TEXT(L50,"0.######")&amp;"-"&amp;TEXT(S50,"0.######")&amp;")×"&amp;H50,"")</f>
        <v/>
      </c>
      <c r="X50" t="inlineStr">
        <is>
          <t>(L50-L3)×100=(1347.500000-1483.109000)×100=-13560.90 → -13560.9</t>
        </is>
      </c>
      <c r="Y50">
        <f>IF(E50="","",IF(D50="深港",TEXT(--E50,"0000")&amp;".HK",IF(--E50&gt;=600000,TEXT(--E50,"000000")&amp;".SH",TEXT(--E50,"000000")&amp;".SZ")))</f>
        <v/>
      </c>
      <c r="Z50">
        <f>IF(Y50="","",IFERROR(INDEX('估值日行情'!$C$3:$C$61,MATCH(Y50,'估值日行情'!$A$3:$A$61,0)),""))</f>
        <v/>
      </c>
      <c r="AA50">
        <f>IF(D50="深港",IFERROR('FX_RATES_TO_CNY_HIST'!$B$3,""),1)</f>
        <v/>
      </c>
      <c r="AB50">
        <f>IF(Z50&lt;&gt;"",Z50*AA50,"")</f>
        <v/>
      </c>
      <c r="AC50">
        <f>SUMIFS($H$2:H50,$D$2:D50,D50,$E$2:E50,E50,$G$2:G50,"买入")-SUMIFS($H$2:H50,$D$2:D50,D50,$E$2:E50,E50,$G$2:G50,"卖出")</f>
        <v/>
      </c>
      <c r="AD50">
        <f>IF(D50="深港",IF(Q50&gt;0,SUMIFS($J$2:J49,$D$2:D49,D50,$E$2:E49,E50,$G$2:G49,"买入")/SUMIFS($H$2:H49,$D$2:D49,D50,$E$2:E49,E50,$G$2:G49,"买入"),""),S50)</f>
        <v/>
      </c>
      <c r="AE50">
        <f>IF(AC50&gt;0,AC50*Z50-AC50*AD50,0)</f>
        <v/>
      </c>
      <c r="AF50">
        <f>IF(AC50&gt;0,IF(D50="深港",AE50*AA50,AE50),0)</f>
        <v/>
      </c>
      <c r="AG50">
        <f>SUMIFS($H$2:H49,$D$2:D49,D50,$E$2:E49,E50,$G$2:G49,"买入")</f>
        <v/>
      </c>
      <c r="AH50">
        <f>SUMIFS($K$2:K49,$D$2:D49,D50,$E$2:E49,E50,$G$2:G49,"买入")</f>
        <v/>
      </c>
      <c r="AI50">
        <f>IF(AG50&gt;0,AH50/AG50,"")</f>
        <v/>
      </c>
      <c r="AJ50">
        <f>IF(G50="卖出",IF(AI50="","",(L50-AI50)*H50),0)</f>
        <v/>
      </c>
      <c r="AK50">
        <f>IF(G50="卖出",AJ50-T50,"")</f>
        <v/>
      </c>
      <c r="AL50">
        <f>IF(G50="卖出","(L50-AI50)×H50 = ("&amp;TEXT(L50,"0.######")&amp;"-"&amp;TEXT(AI50,"0.######")&amp;")×"&amp;H50,"")</f>
        <v/>
      </c>
    </row>
    <row r="51">
      <c r="A51">
        <f>IF('交易流水'!A11&lt;&gt;"","流水","")</f>
        <v/>
      </c>
      <c r="B51">
        <f>'交易流水'!B11</f>
        <v/>
      </c>
      <c r="C51">
        <f>'交易流水'!X11</f>
        <v/>
      </c>
      <c r="D51">
        <f>IF(ISNUMBER(SEARCH("深港",C51)),"深港",IF(ISNUMBER(SEARCH("场内",C51)),"场内","其他"))</f>
        <v/>
      </c>
      <c r="E51">
        <f>'交易流水'!F11</f>
        <v/>
      </c>
      <c r="F51">
        <f>'交易流水'!G11</f>
        <v/>
      </c>
      <c r="G51">
        <f>'交易流水'!H11</f>
        <v/>
      </c>
      <c r="H51">
        <f>'交易流水'!K11</f>
        <v/>
      </c>
      <c r="I51">
        <f>'交易流水'!P11</f>
        <v/>
      </c>
      <c r="J51">
        <f>'交易流水'!L11</f>
        <v/>
      </c>
      <c r="K51">
        <f>'交易流水'!AR11</f>
        <v/>
      </c>
      <c r="L51">
        <f>IF(H51&gt;0,K51/H51,"")</f>
        <v/>
      </c>
      <c r="M51">
        <f>IF(G51="买入",H51,0)</f>
        <v/>
      </c>
      <c r="N51">
        <f>IF(G51="买入",K51,0)</f>
        <v/>
      </c>
      <c r="O51">
        <f>IF(G51="卖出",H51,0)</f>
        <v/>
      </c>
      <c r="P51">
        <f>IF(G51="卖出",K51,0)</f>
        <v/>
      </c>
      <c r="Q51">
        <f>SUMIFS($H$2:H50,$A$2:A50,"流水",$D$2:D50,D51,$E$2:E50,E51,$G$2:G50,"买入")</f>
        <v/>
      </c>
      <c r="R51">
        <f>SUMIFS($K$2:K50,$A$2:A50,"流水",$D$2:D50,D51,$E$2:E50,E51,$G$2:G50,"买入")</f>
        <v/>
      </c>
      <c r="S51">
        <f>IF(Q51&gt;0,R51/Q51,"")</f>
        <v/>
      </c>
      <c r="T51">
        <f>IF(G51="卖出",IF(S51="","",(L51-S51)*H51),0)</f>
        <v/>
      </c>
      <c r="U51" t="n">
        <v>0</v>
      </c>
      <c r="V51">
        <f>IF(AND(J51&gt;0,D51="深港"),K51/J51,"")</f>
        <v/>
      </c>
      <c r="W51">
        <f>IF(G51="卖出","(L51-S51)×H51 = ("&amp;TEXT(L51,"0.######")&amp;"-"&amp;TEXT(S51,"0.######")&amp;")×"&amp;H51,"")</f>
        <v/>
      </c>
      <c r="Y51">
        <f>IF(E51="","",IF(D51="深港",TEXT(--E51,"0000")&amp;".HK",IF(--E51&gt;=600000,TEXT(--E51,"000000")&amp;".SH",TEXT(--E51,"000000")&amp;".SZ")))</f>
        <v/>
      </c>
      <c r="Z51">
        <f>IF(Y51="","",IFERROR(INDEX('估值日行情'!$C$3:$C$61,MATCH(Y51,'估值日行情'!$A$3:$A$61,0)),""))</f>
        <v/>
      </c>
      <c r="AA51">
        <f>IF(D51="深港",IFERROR('FX_RATES_TO_CNY_HIST'!$B$3,""),1)</f>
        <v/>
      </c>
      <c r="AB51">
        <f>IF(Z51&lt;&gt;"",Z51*AA51,"")</f>
        <v/>
      </c>
      <c r="AC51">
        <f>SUMIFS($H$2:H51,$D$2:D51,D51,$E$2:E51,E51,$G$2:G51,"买入")-SUMIFS($H$2:H51,$D$2:D51,D51,$E$2:E51,E51,$G$2:G51,"卖出")</f>
        <v/>
      </c>
      <c r="AD51">
        <f>IF(D51="深港",IF(Q51&gt;0,SUMIFS($J$2:J50,$D$2:D50,D51,$E$2:E50,E51,$G$2:G50,"买入")/SUMIFS($H$2:H50,$D$2:D50,D51,$E$2:E50,E51,$G$2:G50,"买入"),""),S51)</f>
        <v/>
      </c>
      <c r="AE51">
        <f>IF(AC51&gt;0,AC51*Z51-AC51*AD51,0)</f>
        <v/>
      </c>
      <c r="AF51">
        <f>IF(AC51&gt;0,IF(D51="深港",AE51*AA51,AE51),0)</f>
        <v/>
      </c>
      <c r="AG51">
        <f>SUMIFS($H$2:H50,$D$2:D50,D51,$E$2:E50,E51,$G$2:G50,"买入")</f>
        <v/>
      </c>
      <c r="AH51">
        <f>SUMIFS($K$2:K50,$D$2:D50,D51,$E$2:E50,E51,$G$2:G50,"买入")</f>
        <v/>
      </c>
      <c r="AI51">
        <f>IF(AG51&gt;0,AH51/AG51,"")</f>
        <v/>
      </c>
      <c r="AJ51">
        <f>IF(G51="卖出",IF(AI51="","",(L51-AI51)*H51),0)</f>
        <v/>
      </c>
      <c r="AK51">
        <f>IF(G51="卖出",AJ51-T51,"")</f>
        <v/>
      </c>
      <c r="AL51">
        <f>IF(G51="卖出","(L51-AI51)×H51 = ("&amp;TEXT(L51,"0.######")&amp;"-"&amp;TEXT(AI51,"0.######")&amp;")×"&amp;H51,"")</f>
        <v/>
      </c>
    </row>
    <row r="52">
      <c r="A52">
        <f>IF('交易流水'!A12&lt;&gt;"","流水","")</f>
        <v/>
      </c>
      <c r="B52">
        <f>'交易流水'!B12</f>
        <v/>
      </c>
      <c r="C52">
        <f>'交易流水'!X12</f>
        <v/>
      </c>
      <c r="D52">
        <f>IF(ISNUMBER(SEARCH("深港",C52)),"深港",IF(ISNUMBER(SEARCH("场内",C52)),"场内","其他"))</f>
        <v/>
      </c>
      <c r="E52">
        <f>'交易流水'!F12</f>
        <v/>
      </c>
      <c r="F52">
        <f>'交易流水'!G12</f>
        <v/>
      </c>
      <c r="G52">
        <f>'交易流水'!H12</f>
        <v/>
      </c>
      <c r="H52">
        <f>'交易流水'!K12</f>
        <v/>
      </c>
      <c r="I52">
        <f>'交易流水'!P12</f>
        <v/>
      </c>
      <c r="J52">
        <f>'交易流水'!L12</f>
        <v/>
      </c>
      <c r="K52">
        <f>'交易流水'!AR12</f>
        <v/>
      </c>
      <c r="L52">
        <f>IF(H52&gt;0,K52/H52,"")</f>
        <v/>
      </c>
      <c r="M52">
        <f>IF(G52="买入",H52,0)</f>
        <v/>
      </c>
      <c r="N52">
        <f>IF(G52="买入",K52,0)</f>
        <v/>
      </c>
      <c r="O52">
        <f>IF(G52="卖出",H52,0)</f>
        <v/>
      </c>
      <c r="P52">
        <f>IF(G52="卖出",K52,0)</f>
        <v/>
      </c>
      <c r="Q52">
        <f>SUMIFS($H$2:H51,$A$2:A51,"流水",$D$2:D51,D52,$E$2:E51,E52,$G$2:G51,"买入")</f>
        <v/>
      </c>
      <c r="R52">
        <f>SUMIFS($K$2:K51,$A$2:A51,"流水",$D$2:D51,D52,$E$2:E51,E52,$G$2:G51,"买入")</f>
        <v/>
      </c>
      <c r="S52">
        <f>IF(Q52&gt;0,R52/Q52,"")</f>
        <v/>
      </c>
      <c r="T52">
        <f>IF(G52="卖出",IF(S52="","",(L52-S52)*H52),0)</f>
        <v/>
      </c>
      <c r="U52" t="n">
        <v>-76819.67999999999</v>
      </c>
      <c r="V52">
        <f>IF(AND(J52&gt;0,D52="深港"),K52/J52,"")</f>
        <v/>
      </c>
      <c r="W52">
        <f>IF(G52="卖出","(L52-S52)×H52 = ("&amp;TEXT(L52,"0.######")&amp;"-"&amp;TEXT(S52,"0.######")&amp;")×"&amp;H52,"")</f>
        <v/>
      </c>
      <c r="X52" t="inlineStr">
        <is>
          <t>(L52-L36)×100000=(10.765721-11.533917)×100000=-76819.68 → -76819.68</t>
        </is>
      </c>
      <c r="Y52">
        <f>IF(E52="","",IF(D52="深港",TEXT(--E52,"0000")&amp;".HK",IF(--E52&gt;=600000,TEXT(--E52,"000000")&amp;".SH",TEXT(--E52,"000000")&amp;".SZ")))</f>
        <v/>
      </c>
      <c r="Z52">
        <f>IF(Y52="","",IFERROR(INDEX('估值日行情'!$C$3:$C$61,MATCH(Y52,'估值日行情'!$A$3:$A$61,0)),""))</f>
        <v/>
      </c>
      <c r="AA52">
        <f>IF(D52="深港",IFERROR('FX_RATES_TO_CNY_HIST'!$B$3,""),1)</f>
        <v/>
      </c>
      <c r="AB52">
        <f>IF(Z52&lt;&gt;"",Z52*AA52,"")</f>
        <v/>
      </c>
      <c r="AC52">
        <f>SUMIFS($H$2:H52,$D$2:D52,D52,$E$2:E52,E52,$G$2:G52,"买入")-SUMIFS($H$2:H52,$D$2:D52,D52,$E$2:E52,E52,$G$2:G52,"卖出")</f>
        <v/>
      </c>
      <c r="AD52">
        <f>IF(D52="深港",IF(Q52&gt;0,SUMIFS($J$2:J51,$D$2:D51,D52,$E$2:E51,E52,$G$2:G51,"买入")/SUMIFS($H$2:H51,$D$2:D51,D52,$E$2:E51,E52,$G$2:G51,"买入"),""),S52)</f>
        <v/>
      </c>
      <c r="AE52">
        <f>IF(AC52&gt;0,AC52*Z52-AC52*AD52,0)</f>
        <v/>
      </c>
      <c r="AF52">
        <f>IF(AC52&gt;0,IF(D52="深港",AE52*AA52,AE52),0)</f>
        <v/>
      </c>
      <c r="AG52">
        <f>SUMIFS($H$2:H51,$D$2:D51,D52,$E$2:E51,E52,$G$2:G51,"买入")</f>
        <v/>
      </c>
      <c r="AH52">
        <f>SUMIFS($K$2:K51,$D$2:D51,D52,$E$2:E51,E52,$G$2:G51,"买入")</f>
        <v/>
      </c>
      <c r="AI52">
        <f>IF(AG52&gt;0,AH52/AG52,"")</f>
        <v/>
      </c>
      <c r="AJ52">
        <f>IF(G52="卖出",IF(AI52="","",(L52-AI52)*H52),0)</f>
        <v/>
      </c>
      <c r="AK52">
        <f>IF(G52="卖出",AJ52-T52,"")</f>
        <v/>
      </c>
      <c r="AL52">
        <f>IF(G52="卖出","(L52-AI52)×H52 = ("&amp;TEXT(L52,"0.######")&amp;"-"&amp;TEXT(AI52,"0.######")&amp;")×"&amp;H52,"")</f>
        <v/>
      </c>
    </row>
    <row r="53">
      <c r="A53">
        <f>IF('交易流水'!A13&lt;&gt;"","流水","")</f>
        <v/>
      </c>
      <c r="B53">
        <f>'交易流水'!B13</f>
        <v/>
      </c>
      <c r="C53">
        <f>'交易流水'!X13</f>
        <v/>
      </c>
      <c r="D53">
        <f>IF(ISNUMBER(SEARCH("深港",C53)),"深港",IF(ISNUMBER(SEARCH("场内",C53)),"场内","其他"))</f>
        <v/>
      </c>
      <c r="E53">
        <f>'交易流水'!F13</f>
        <v/>
      </c>
      <c r="F53">
        <f>'交易流水'!G13</f>
        <v/>
      </c>
      <c r="G53">
        <f>'交易流水'!H13</f>
        <v/>
      </c>
      <c r="H53">
        <f>'交易流水'!K13</f>
        <v/>
      </c>
      <c r="I53">
        <f>'交易流水'!P13</f>
        <v/>
      </c>
      <c r="J53">
        <f>'交易流水'!L13</f>
        <v/>
      </c>
      <c r="K53">
        <f>'交易流水'!AR13</f>
        <v/>
      </c>
      <c r="L53">
        <f>IF(H53&gt;0,K53/H53,"")</f>
        <v/>
      </c>
      <c r="M53">
        <f>IF(G53="买入",H53,0)</f>
        <v/>
      </c>
      <c r="N53">
        <f>IF(G53="买入",K53,0)</f>
        <v/>
      </c>
      <c r="O53">
        <f>IF(G53="卖出",H53,0)</f>
        <v/>
      </c>
      <c r="P53">
        <f>IF(G53="卖出",K53,0)</f>
        <v/>
      </c>
      <c r="Q53">
        <f>SUMIFS($H$2:H52,$A$2:A52,"流水",$D$2:D52,D53,$E$2:E52,E53,$G$2:G52,"买入")</f>
        <v/>
      </c>
      <c r="R53">
        <f>SUMIFS($K$2:K52,$A$2:A52,"流水",$D$2:D52,D53,$E$2:E52,E53,$G$2:G52,"买入")</f>
        <v/>
      </c>
      <c r="S53">
        <f>IF(Q53&gt;0,R53/Q53,"")</f>
        <v/>
      </c>
      <c r="T53">
        <f>IF(G53="卖出",IF(S53="","",(L53-S53)*H53),0)</f>
        <v/>
      </c>
      <c r="U53" t="n">
        <v>190830.13</v>
      </c>
      <c r="V53">
        <f>IF(AND(J53&gt;0,D53="深港"),K53/J53,"")</f>
        <v/>
      </c>
      <c r="W53">
        <f>IF(G53="卖出","(L53-S53)×H53 = ("&amp;TEXT(L53,"0.######")&amp;"-"&amp;TEXT(S53,"0.######")&amp;")×"&amp;H53,"")</f>
        <v/>
      </c>
      <c r="X53" t="inlineStr">
        <is>
          <t>(L53-L34)×10000=(61.503400-42.420387)×10000=190830.13 → 190830.13</t>
        </is>
      </c>
      <c r="Y53">
        <f>IF(E53="","",IF(D53="深港",TEXT(--E53,"0000")&amp;".HK",IF(--E53&gt;=600000,TEXT(--E53,"000000")&amp;".SH",TEXT(--E53,"000000")&amp;".SZ")))</f>
        <v/>
      </c>
      <c r="Z53">
        <f>IF(Y53="","",IFERROR(INDEX('估值日行情'!$C$3:$C$61,MATCH(Y53,'估值日行情'!$A$3:$A$61,0)),""))</f>
        <v/>
      </c>
      <c r="AA53">
        <f>IF(D53="深港",IFERROR('FX_RATES_TO_CNY_HIST'!$B$3,""),1)</f>
        <v/>
      </c>
      <c r="AB53">
        <f>IF(Z53&lt;&gt;"",Z53*AA53,"")</f>
        <v/>
      </c>
      <c r="AC53">
        <f>SUMIFS($H$2:H53,$D$2:D53,D53,$E$2:E53,E53,$G$2:G53,"买入")-SUMIFS($H$2:H53,$D$2:D53,D53,$E$2:E53,E53,$G$2:G53,"卖出")</f>
        <v/>
      </c>
      <c r="AD53">
        <f>IF(D53="深港",IF(Q53&gt;0,SUMIFS($J$2:J52,$D$2:D52,D53,$E$2:E52,E53,$G$2:G52,"买入")/SUMIFS($H$2:H52,$D$2:D52,D53,$E$2:E52,E53,$G$2:G52,"买入"),""),S53)</f>
        <v/>
      </c>
      <c r="AE53">
        <f>IF(AC53&gt;0,AC53*Z53-AC53*AD53,0)</f>
        <v/>
      </c>
      <c r="AF53">
        <f>IF(AC53&gt;0,IF(D53="深港",AE53*AA53,AE53),0)</f>
        <v/>
      </c>
      <c r="AG53">
        <f>SUMIFS($H$2:H52,$D$2:D52,D53,$E$2:E52,E53,$G$2:G52,"买入")</f>
        <v/>
      </c>
      <c r="AH53">
        <f>SUMIFS($K$2:K52,$D$2:D52,D53,$E$2:E52,E53,$G$2:G52,"买入")</f>
        <v/>
      </c>
      <c r="AI53">
        <f>IF(AG53&gt;0,AH53/AG53,"")</f>
        <v/>
      </c>
      <c r="AJ53">
        <f>IF(G53="卖出",IF(AI53="","",(L53-AI53)*H53),0)</f>
        <v/>
      </c>
      <c r="AK53">
        <f>IF(G53="卖出",AJ53-T53,"")</f>
        <v/>
      </c>
      <c r="AL53">
        <f>IF(G53="卖出","(L53-AI53)×H53 = ("&amp;TEXT(L53,"0.######")&amp;"-"&amp;TEXT(AI53,"0.######")&amp;")×"&amp;H53,"")</f>
        <v/>
      </c>
    </row>
    <row r="54">
      <c r="A54">
        <f>IF('交易流水'!A14&lt;&gt;"","流水","")</f>
        <v/>
      </c>
      <c r="B54">
        <f>'交易流水'!B14</f>
        <v/>
      </c>
      <c r="C54">
        <f>'交易流水'!X14</f>
        <v/>
      </c>
      <c r="D54">
        <f>IF(ISNUMBER(SEARCH("深港",C54)),"深港",IF(ISNUMBER(SEARCH("场内",C54)),"场内","其他"))</f>
        <v/>
      </c>
      <c r="E54">
        <f>'交易流水'!F14</f>
        <v/>
      </c>
      <c r="F54">
        <f>'交易流水'!G14</f>
        <v/>
      </c>
      <c r="G54">
        <f>'交易流水'!H14</f>
        <v/>
      </c>
      <c r="H54">
        <f>'交易流水'!K14</f>
        <v/>
      </c>
      <c r="I54">
        <f>'交易流水'!P14</f>
        <v/>
      </c>
      <c r="J54">
        <f>'交易流水'!L14</f>
        <v/>
      </c>
      <c r="K54">
        <f>'交易流水'!AR14</f>
        <v/>
      </c>
      <c r="L54">
        <f>IF(H54&gt;0,K54/H54,"")</f>
        <v/>
      </c>
      <c r="M54">
        <f>IF(G54="买入",H54,0)</f>
        <v/>
      </c>
      <c r="N54">
        <f>IF(G54="买入",K54,0)</f>
        <v/>
      </c>
      <c r="O54">
        <f>IF(G54="卖出",H54,0)</f>
        <v/>
      </c>
      <c r="P54">
        <f>IF(G54="卖出",K54,0)</f>
        <v/>
      </c>
      <c r="Q54">
        <f>SUMIFS($H$2:H53,$A$2:A53,"流水",$D$2:D53,D54,$E$2:E53,E54,$G$2:G53,"买入")</f>
        <v/>
      </c>
      <c r="R54">
        <f>SUMIFS($K$2:K53,$A$2:A53,"流水",$D$2:D53,D54,$E$2:E53,E54,$G$2:G53,"买入")</f>
        <v/>
      </c>
      <c r="S54">
        <f>IF(Q54&gt;0,R54/Q54,"")</f>
        <v/>
      </c>
      <c r="T54">
        <f>IF(G54="卖出",IF(S54="","",(L54-S54)*H54),0)</f>
        <v/>
      </c>
      <c r="U54" t="n">
        <v>0</v>
      </c>
      <c r="V54">
        <f>IF(AND(J54&gt;0,D54="深港"),K54/J54,"")</f>
        <v/>
      </c>
      <c r="W54">
        <f>IF(G54="卖出","(L54-S54)×H54 = ("&amp;TEXT(L54,"0.######")&amp;"-"&amp;TEXT(S54,"0.######")&amp;")×"&amp;H54,"")</f>
        <v/>
      </c>
      <c r="Y54">
        <f>IF(E54="","",IF(D54="深港",TEXT(--E54,"0000")&amp;".HK",IF(--E54&gt;=600000,TEXT(--E54,"000000")&amp;".SH",TEXT(--E54,"000000")&amp;".SZ")))</f>
        <v/>
      </c>
      <c r="Z54">
        <f>IF(Y54="","",IFERROR(INDEX('估值日行情'!$C$3:$C$61,MATCH(Y54,'估值日行情'!$A$3:$A$61,0)),""))</f>
        <v/>
      </c>
      <c r="AA54">
        <f>IF(D54="深港",IFERROR('FX_RATES_TO_CNY_HIST'!$B$3,""),1)</f>
        <v/>
      </c>
      <c r="AB54">
        <f>IF(Z54&lt;&gt;"",Z54*AA54,"")</f>
        <v/>
      </c>
      <c r="AC54">
        <f>SUMIFS($H$2:H54,$D$2:D54,D54,$E$2:E54,E54,$G$2:G54,"买入")-SUMIFS($H$2:H54,$D$2:D54,D54,$E$2:E54,E54,$G$2:G54,"卖出")</f>
        <v/>
      </c>
      <c r="AD54">
        <f>IF(D54="深港",IF(Q54&gt;0,SUMIFS($J$2:J53,$D$2:D53,D54,$E$2:E53,E54,$G$2:G53,"买入")/SUMIFS($H$2:H53,$D$2:D53,D54,$E$2:E53,E54,$G$2:G53,"买入"),""),S54)</f>
        <v/>
      </c>
      <c r="AE54">
        <f>IF(AC54&gt;0,AC54*Z54-AC54*AD54,0)</f>
        <v/>
      </c>
      <c r="AF54">
        <f>IF(AC54&gt;0,IF(D54="深港",AE54*AA54,AE54),0)</f>
        <v/>
      </c>
      <c r="AG54">
        <f>SUMIFS($H$2:H53,$D$2:D53,D54,$E$2:E53,E54,$G$2:G53,"买入")</f>
        <v/>
      </c>
      <c r="AH54">
        <f>SUMIFS($K$2:K53,$D$2:D53,D54,$E$2:E53,E54,$G$2:G53,"买入")</f>
        <v/>
      </c>
      <c r="AI54">
        <f>IF(AG54&gt;0,AH54/AG54,"")</f>
        <v/>
      </c>
      <c r="AJ54">
        <f>IF(G54="卖出",IF(AI54="","",(L54-AI54)*H54),0)</f>
        <v/>
      </c>
      <c r="AK54">
        <f>IF(G54="卖出",AJ54-T54,"")</f>
        <v/>
      </c>
      <c r="AL54">
        <f>IF(G54="卖出","(L54-AI54)×H54 = ("&amp;TEXT(L54,"0.######")&amp;"-"&amp;TEXT(AI54,"0.######")&amp;")×"&amp;H54,"")</f>
        <v/>
      </c>
    </row>
    <row r="55">
      <c r="A55">
        <f>IF('交易流水'!A15&lt;&gt;"","流水","")</f>
        <v/>
      </c>
      <c r="B55">
        <f>'交易流水'!B15</f>
        <v/>
      </c>
      <c r="C55">
        <f>'交易流水'!X15</f>
        <v/>
      </c>
      <c r="D55">
        <f>IF(ISNUMBER(SEARCH("深港",C55)),"深港",IF(ISNUMBER(SEARCH("场内",C55)),"场内","其他"))</f>
        <v/>
      </c>
      <c r="E55">
        <f>'交易流水'!F15</f>
        <v/>
      </c>
      <c r="F55">
        <f>'交易流水'!G15</f>
        <v/>
      </c>
      <c r="G55">
        <f>'交易流水'!H15</f>
        <v/>
      </c>
      <c r="H55">
        <f>'交易流水'!K15</f>
        <v/>
      </c>
      <c r="I55">
        <f>'交易流水'!P15</f>
        <v/>
      </c>
      <c r="J55">
        <f>'交易流水'!L15</f>
        <v/>
      </c>
      <c r="K55">
        <f>'交易流水'!AR15</f>
        <v/>
      </c>
      <c r="L55">
        <f>IF(H55&gt;0,K55/H55,"")</f>
        <v/>
      </c>
      <c r="M55">
        <f>IF(G55="买入",H55,0)</f>
        <v/>
      </c>
      <c r="N55">
        <f>IF(G55="买入",K55,0)</f>
        <v/>
      </c>
      <c r="O55">
        <f>IF(G55="卖出",H55,0)</f>
        <v/>
      </c>
      <c r="P55">
        <f>IF(G55="卖出",K55,0)</f>
        <v/>
      </c>
      <c r="Q55">
        <f>SUMIFS($H$2:H54,$A$2:A54,"流水",$D$2:D54,D55,$E$2:E54,E55,$G$2:G54,"买入")</f>
        <v/>
      </c>
      <c r="R55">
        <f>SUMIFS($K$2:K54,$A$2:A54,"流水",$D$2:D54,D55,$E$2:E54,E55,$G$2:G54,"买入")</f>
        <v/>
      </c>
      <c r="S55">
        <f>IF(Q55&gt;0,R55/Q55,"")</f>
        <v/>
      </c>
      <c r="T55">
        <f>IF(G55="卖出",IF(S55="","",(L55-S55)*H55),0)</f>
        <v/>
      </c>
      <c r="U55" t="n">
        <v>0</v>
      </c>
      <c r="V55">
        <f>IF(AND(J55&gt;0,D55="深港"),K55/J55,"")</f>
        <v/>
      </c>
      <c r="W55">
        <f>IF(G55="卖出","(L55-S55)×H55 = ("&amp;TEXT(L55,"0.######")&amp;"-"&amp;TEXT(S55,"0.######")&amp;")×"&amp;H55,"")</f>
        <v/>
      </c>
      <c r="Y55">
        <f>IF(E55="","",IF(D55="深港",TEXT(--E55,"0000")&amp;".HK",IF(--E55&gt;=600000,TEXT(--E55,"000000")&amp;".SH",TEXT(--E55,"000000")&amp;".SZ")))</f>
        <v/>
      </c>
      <c r="Z55">
        <f>IF(Y55="","",IFERROR(INDEX('估值日行情'!$C$3:$C$61,MATCH(Y55,'估值日行情'!$A$3:$A$61,0)),""))</f>
        <v/>
      </c>
      <c r="AA55">
        <f>IF(D55="深港",IFERROR('FX_RATES_TO_CNY_HIST'!$B$3,""),1)</f>
        <v/>
      </c>
      <c r="AB55">
        <f>IF(Z55&lt;&gt;"",Z55*AA55,"")</f>
        <v/>
      </c>
      <c r="AC55">
        <f>SUMIFS($H$2:H55,$D$2:D55,D55,$E$2:E55,E55,$G$2:G55,"买入")-SUMIFS($H$2:H55,$D$2:D55,D55,$E$2:E55,E55,$G$2:G55,"卖出")</f>
        <v/>
      </c>
      <c r="AD55">
        <f>IF(D55="深港",IF(Q55&gt;0,SUMIFS($J$2:J54,$D$2:D54,D55,$E$2:E54,E55,$G$2:G54,"买入")/SUMIFS($H$2:H54,$D$2:D54,D55,$E$2:E54,E55,$G$2:G54,"买入"),""),S55)</f>
        <v/>
      </c>
      <c r="AE55">
        <f>IF(AC55&gt;0,AC55*Z55-AC55*AD55,0)</f>
        <v/>
      </c>
      <c r="AF55">
        <f>IF(AC55&gt;0,IF(D55="深港",AE55*AA55,AE55),0)</f>
        <v/>
      </c>
      <c r="AG55">
        <f>SUMIFS($H$2:H54,$D$2:D54,D55,$E$2:E54,E55,$G$2:G54,"买入")</f>
        <v/>
      </c>
      <c r="AH55">
        <f>SUMIFS($K$2:K54,$D$2:D54,D55,$E$2:E54,E55,$G$2:G54,"买入")</f>
        <v/>
      </c>
      <c r="AI55">
        <f>IF(AG55&gt;0,AH55/AG55,"")</f>
        <v/>
      </c>
      <c r="AJ55">
        <f>IF(G55="卖出",IF(AI55="","",(L55-AI55)*H55),0)</f>
        <v/>
      </c>
      <c r="AK55">
        <f>IF(G55="卖出",AJ55-T55,"")</f>
        <v/>
      </c>
      <c r="AL55">
        <f>IF(G55="卖出","(L55-AI55)×H55 = ("&amp;TEXT(L55,"0.######")&amp;"-"&amp;TEXT(AI55,"0.######")&amp;")×"&amp;H55,"")</f>
        <v/>
      </c>
    </row>
    <row r="56">
      <c r="A56">
        <f>IF('交易流水'!A16&lt;&gt;"","流水","")</f>
        <v/>
      </c>
      <c r="B56">
        <f>'交易流水'!B16</f>
        <v/>
      </c>
      <c r="C56">
        <f>'交易流水'!X16</f>
        <v/>
      </c>
      <c r="D56">
        <f>IF(ISNUMBER(SEARCH("深港",C56)),"深港",IF(ISNUMBER(SEARCH("场内",C56)),"场内","其他"))</f>
        <v/>
      </c>
      <c r="E56">
        <f>'交易流水'!F16</f>
        <v/>
      </c>
      <c r="F56">
        <f>'交易流水'!G16</f>
        <v/>
      </c>
      <c r="G56">
        <f>'交易流水'!H16</f>
        <v/>
      </c>
      <c r="H56">
        <f>'交易流水'!K16</f>
        <v/>
      </c>
      <c r="I56">
        <f>'交易流水'!P16</f>
        <v/>
      </c>
      <c r="J56">
        <f>'交易流水'!L16</f>
        <v/>
      </c>
      <c r="K56">
        <f>'交易流水'!AR16</f>
        <v/>
      </c>
      <c r="L56">
        <f>IF(H56&gt;0,K56/H56,"")</f>
        <v/>
      </c>
      <c r="M56">
        <f>IF(G56="买入",H56,0)</f>
        <v/>
      </c>
      <c r="N56">
        <f>IF(G56="买入",K56,0)</f>
        <v/>
      </c>
      <c r="O56">
        <f>IF(G56="卖出",H56,0)</f>
        <v/>
      </c>
      <c r="P56">
        <f>IF(G56="卖出",K56,0)</f>
        <v/>
      </c>
      <c r="Q56">
        <f>SUMIFS($H$2:H55,$A$2:A55,"流水",$D$2:D55,D56,$E$2:E55,E56,$G$2:G55,"买入")</f>
        <v/>
      </c>
      <c r="R56">
        <f>SUMIFS($K$2:K55,$A$2:A55,"流水",$D$2:D55,D56,$E$2:E55,E56,$G$2:G55,"买入")</f>
        <v/>
      </c>
      <c r="S56">
        <f>IF(Q56&gt;0,R56/Q56,"")</f>
        <v/>
      </c>
      <c r="T56">
        <f>IF(G56="卖出",IF(S56="","",(L56-S56)*H56),0)</f>
        <v/>
      </c>
      <c r="U56" t="n">
        <v>0</v>
      </c>
      <c r="V56">
        <f>IF(AND(J56&gt;0,D56="深港"),K56/J56,"")</f>
        <v/>
      </c>
      <c r="W56">
        <f>IF(G56="卖出","(L56-S56)×H56 = ("&amp;TEXT(L56,"0.######")&amp;"-"&amp;TEXT(S56,"0.######")&amp;")×"&amp;H56,"")</f>
        <v/>
      </c>
      <c r="Y56">
        <f>IF(E56="","",IF(D56="深港",TEXT(--E56,"0000")&amp;".HK",IF(--E56&gt;=600000,TEXT(--E56,"000000")&amp;".SH",TEXT(--E56,"000000")&amp;".SZ")))</f>
        <v/>
      </c>
      <c r="Z56">
        <f>IF(Y56="","",IFERROR(INDEX('估值日行情'!$C$3:$C$61,MATCH(Y56,'估值日行情'!$A$3:$A$61,0)),""))</f>
        <v/>
      </c>
      <c r="AA56">
        <f>IF(D56="深港",IFERROR('FX_RATES_TO_CNY_HIST'!$B$3,""),1)</f>
        <v/>
      </c>
      <c r="AB56">
        <f>IF(Z56&lt;&gt;"",Z56*AA56,"")</f>
        <v/>
      </c>
      <c r="AC56">
        <f>SUMIFS($H$2:H56,$D$2:D56,D56,$E$2:E56,E56,$G$2:G56,"买入")-SUMIFS($H$2:H56,$D$2:D56,D56,$E$2:E56,E56,$G$2:G56,"卖出")</f>
        <v/>
      </c>
      <c r="AD56">
        <f>IF(D56="深港",IF(Q56&gt;0,SUMIFS($J$2:J55,$D$2:D55,D56,$E$2:E55,E56,$G$2:G55,"买入")/SUMIFS($H$2:H55,$D$2:D55,D56,$E$2:E55,E56,$G$2:G55,"买入"),""),S56)</f>
        <v/>
      </c>
      <c r="AE56">
        <f>IF(AC56&gt;0,AC56*Z56-AC56*AD56,0)</f>
        <v/>
      </c>
      <c r="AF56">
        <f>IF(AC56&gt;0,IF(D56="深港",AE56*AA56,AE56),0)</f>
        <v/>
      </c>
      <c r="AG56">
        <f>SUMIFS($H$2:H55,$D$2:D55,D56,$E$2:E55,E56,$G$2:G55,"买入")</f>
        <v/>
      </c>
      <c r="AH56">
        <f>SUMIFS($K$2:K55,$D$2:D55,D56,$E$2:E55,E56,$G$2:G55,"买入")</f>
        <v/>
      </c>
      <c r="AI56">
        <f>IF(AG56&gt;0,AH56/AG56,"")</f>
        <v/>
      </c>
      <c r="AJ56">
        <f>IF(G56="卖出",IF(AI56="","",(L56-AI56)*H56),0)</f>
        <v/>
      </c>
      <c r="AK56">
        <f>IF(G56="卖出",AJ56-T56,"")</f>
        <v/>
      </c>
      <c r="AL56">
        <f>IF(G56="卖出","(L56-AI56)×H56 = ("&amp;TEXT(L56,"0.######")&amp;"-"&amp;TEXT(AI56,"0.######")&amp;")×"&amp;H56,"")</f>
        <v/>
      </c>
    </row>
    <row r="57">
      <c r="A57">
        <f>IF('交易流水'!A17&lt;&gt;"","流水","")</f>
        <v/>
      </c>
      <c r="B57">
        <f>'交易流水'!B17</f>
        <v/>
      </c>
      <c r="C57">
        <f>'交易流水'!X17</f>
        <v/>
      </c>
      <c r="D57">
        <f>IF(ISNUMBER(SEARCH("深港",C57)),"深港",IF(ISNUMBER(SEARCH("场内",C57)),"场内","其他"))</f>
        <v/>
      </c>
      <c r="E57">
        <f>'交易流水'!F17</f>
        <v/>
      </c>
      <c r="F57">
        <f>'交易流水'!G17</f>
        <v/>
      </c>
      <c r="G57">
        <f>'交易流水'!H17</f>
        <v/>
      </c>
      <c r="H57">
        <f>'交易流水'!K17</f>
        <v/>
      </c>
      <c r="I57">
        <f>'交易流水'!P17</f>
        <v/>
      </c>
      <c r="J57">
        <f>'交易流水'!L17</f>
        <v/>
      </c>
      <c r="K57">
        <f>'交易流水'!AR17</f>
        <v/>
      </c>
      <c r="L57">
        <f>IF(H57&gt;0,K57/H57,"")</f>
        <v/>
      </c>
      <c r="M57">
        <f>IF(G57="买入",H57,0)</f>
        <v/>
      </c>
      <c r="N57">
        <f>IF(G57="买入",K57,0)</f>
        <v/>
      </c>
      <c r="O57">
        <f>IF(G57="卖出",H57,0)</f>
        <v/>
      </c>
      <c r="P57">
        <f>IF(G57="卖出",K57,0)</f>
        <v/>
      </c>
      <c r="Q57">
        <f>SUMIFS($H$2:H56,$A$2:A56,"流水",$D$2:D56,D57,$E$2:E56,E57,$G$2:G56,"买入")</f>
        <v/>
      </c>
      <c r="R57">
        <f>SUMIFS($K$2:K56,$A$2:A56,"流水",$D$2:D56,D57,$E$2:E56,E57,$G$2:G56,"买入")</f>
        <v/>
      </c>
      <c r="S57">
        <f>IF(Q57&gt;0,R57/Q57,"")</f>
        <v/>
      </c>
      <c r="T57">
        <f>IF(G57="卖出",IF(S57="","",(L57-S57)*H57),0)</f>
        <v/>
      </c>
      <c r="U57" t="n">
        <v>0</v>
      </c>
      <c r="V57">
        <f>IF(AND(J57&gt;0,D57="深港"),K57/J57,"")</f>
        <v/>
      </c>
      <c r="W57">
        <f>IF(G57="卖出","(L57-S57)×H57 = ("&amp;TEXT(L57,"0.######")&amp;"-"&amp;TEXT(S57,"0.######")&amp;")×"&amp;H57,"")</f>
        <v/>
      </c>
      <c r="Y57">
        <f>IF(E57="","",IF(D57="深港",TEXT(--E57,"0000")&amp;".HK",IF(--E57&gt;=600000,TEXT(--E57,"000000")&amp;".SH",TEXT(--E57,"000000")&amp;".SZ")))</f>
        <v/>
      </c>
      <c r="Z57">
        <f>IF(Y57="","",IFERROR(INDEX('估值日行情'!$C$3:$C$61,MATCH(Y57,'估值日行情'!$A$3:$A$61,0)),""))</f>
        <v/>
      </c>
      <c r="AA57">
        <f>IF(D57="深港",IFERROR('FX_RATES_TO_CNY_HIST'!$B$3,""),1)</f>
        <v/>
      </c>
      <c r="AB57">
        <f>IF(Z57&lt;&gt;"",Z57*AA57,"")</f>
        <v/>
      </c>
      <c r="AC57">
        <f>SUMIFS($H$2:H57,$D$2:D57,D57,$E$2:E57,E57,$G$2:G57,"买入")-SUMIFS($H$2:H57,$D$2:D57,D57,$E$2:E57,E57,$G$2:G57,"卖出")</f>
        <v/>
      </c>
      <c r="AD57">
        <f>IF(D57="深港",IF(Q57&gt;0,SUMIFS($J$2:J56,$D$2:D56,D57,$E$2:E56,E57,$G$2:G56,"买入")/SUMIFS($H$2:H56,$D$2:D56,D57,$E$2:E56,E57,$G$2:G56,"买入"),""),S57)</f>
        <v/>
      </c>
      <c r="AE57">
        <f>IF(AC57&gt;0,AC57*Z57-AC57*AD57,0)</f>
        <v/>
      </c>
      <c r="AF57">
        <f>IF(AC57&gt;0,IF(D57="深港",AE57*AA57,AE57),0)</f>
        <v/>
      </c>
      <c r="AG57">
        <f>SUMIFS($H$2:H56,$D$2:D56,D57,$E$2:E56,E57,$G$2:G56,"买入")</f>
        <v/>
      </c>
      <c r="AH57">
        <f>SUMIFS($K$2:K56,$D$2:D56,D57,$E$2:E56,E57,$G$2:G56,"买入")</f>
        <v/>
      </c>
      <c r="AI57">
        <f>IF(AG57&gt;0,AH57/AG57,"")</f>
        <v/>
      </c>
      <c r="AJ57">
        <f>IF(G57="卖出",IF(AI57="","",(L57-AI57)*H57),0)</f>
        <v/>
      </c>
      <c r="AK57">
        <f>IF(G57="卖出",AJ57-T57,"")</f>
        <v/>
      </c>
      <c r="AL57">
        <f>IF(G57="卖出","(L57-AI57)×H57 = ("&amp;TEXT(L57,"0.######")&amp;"-"&amp;TEXT(AI57,"0.######")&amp;")×"&amp;H57,"")</f>
        <v/>
      </c>
    </row>
    <row r="58">
      <c r="A58">
        <f>IF('交易流水'!A18&lt;&gt;"","流水","")</f>
        <v/>
      </c>
      <c r="B58">
        <f>'交易流水'!B18</f>
        <v/>
      </c>
      <c r="C58">
        <f>'交易流水'!X18</f>
        <v/>
      </c>
      <c r="D58">
        <f>IF(ISNUMBER(SEARCH("深港",C58)),"深港",IF(ISNUMBER(SEARCH("场内",C58)),"场内","其他"))</f>
        <v/>
      </c>
      <c r="E58">
        <f>'交易流水'!F18</f>
        <v/>
      </c>
      <c r="F58">
        <f>'交易流水'!G18</f>
        <v/>
      </c>
      <c r="G58">
        <f>'交易流水'!H18</f>
        <v/>
      </c>
      <c r="H58">
        <f>'交易流水'!K18</f>
        <v/>
      </c>
      <c r="I58">
        <f>'交易流水'!P18</f>
        <v/>
      </c>
      <c r="J58">
        <f>'交易流水'!L18</f>
        <v/>
      </c>
      <c r="K58">
        <f>'交易流水'!AR18</f>
        <v/>
      </c>
      <c r="L58">
        <f>IF(H58&gt;0,K58/H58,"")</f>
        <v/>
      </c>
      <c r="M58">
        <f>IF(G58="买入",H58,0)</f>
        <v/>
      </c>
      <c r="N58">
        <f>IF(G58="买入",K58,0)</f>
        <v/>
      </c>
      <c r="O58">
        <f>IF(G58="卖出",H58,0)</f>
        <v/>
      </c>
      <c r="P58">
        <f>IF(G58="卖出",K58,0)</f>
        <v/>
      </c>
      <c r="Q58">
        <f>SUMIFS($H$2:H57,$A$2:A57,"流水",$D$2:D57,D58,$E$2:E57,E58,$G$2:G57,"买入")</f>
        <v/>
      </c>
      <c r="R58">
        <f>SUMIFS($K$2:K57,$A$2:A57,"流水",$D$2:D57,D58,$E$2:E57,E58,$G$2:G57,"买入")</f>
        <v/>
      </c>
      <c r="S58">
        <f>IF(Q58&gt;0,R58/Q58,"")</f>
        <v/>
      </c>
      <c r="T58">
        <f>IF(G58="卖出",IF(S58="","",(L58-S58)*H58),0)</f>
        <v/>
      </c>
      <c r="U58" t="n">
        <v>0</v>
      </c>
      <c r="V58">
        <f>IF(AND(J58&gt;0,D58="深港"),K58/J58,"")</f>
        <v/>
      </c>
      <c r="W58">
        <f>IF(G58="卖出","(L58-S58)×H58 = ("&amp;TEXT(L58,"0.######")&amp;"-"&amp;TEXT(S58,"0.######")&amp;")×"&amp;H58,"")</f>
        <v/>
      </c>
      <c r="Y58">
        <f>IF(E58="","",IF(D58="深港",TEXT(--E58,"0000")&amp;".HK",IF(--E58&gt;=600000,TEXT(--E58,"000000")&amp;".SH",TEXT(--E58,"000000")&amp;".SZ")))</f>
        <v/>
      </c>
      <c r="Z58">
        <f>IF(Y58="","",IFERROR(INDEX('估值日行情'!$C$3:$C$61,MATCH(Y58,'估值日行情'!$A$3:$A$61,0)),""))</f>
        <v/>
      </c>
      <c r="AA58">
        <f>IF(D58="深港",IFERROR('FX_RATES_TO_CNY_HIST'!$B$3,""),1)</f>
        <v/>
      </c>
      <c r="AB58">
        <f>IF(Z58&lt;&gt;"",Z58*AA58,"")</f>
        <v/>
      </c>
      <c r="AC58">
        <f>SUMIFS($H$2:H58,$D$2:D58,D58,$E$2:E58,E58,$G$2:G58,"买入")-SUMIFS($H$2:H58,$D$2:D58,D58,$E$2:E58,E58,$G$2:G58,"卖出")</f>
        <v/>
      </c>
      <c r="AD58">
        <f>IF(D58="深港",IF(Q58&gt;0,SUMIFS($J$2:J57,$D$2:D57,D58,$E$2:E57,E58,$G$2:G57,"买入")/SUMIFS($H$2:H57,$D$2:D57,D58,$E$2:E57,E58,$G$2:G57,"买入"),""),S58)</f>
        <v/>
      </c>
      <c r="AE58">
        <f>IF(AC58&gt;0,AC58*Z58-AC58*AD58,0)</f>
        <v/>
      </c>
      <c r="AF58">
        <f>IF(AC58&gt;0,IF(D58="深港",AE58*AA58,AE58),0)</f>
        <v/>
      </c>
      <c r="AG58">
        <f>SUMIFS($H$2:H57,$D$2:D57,D58,$E$2:E57,E58,$G$2:G57,"买入")</f>
        <v/>
      </c>
      <c r="AH58">
        <f>SUMIFS($K$2:K57,$D$2:D57,D58,$E$2:E57,E58,$G$2:G57,"买入")</f>
        <v/>
      </c>
      <c r="AI58">
        <f>IF(AG58&gt;0,AH58/AG58,"")</f>
        <v/>
      </c>
      <c r="AJ58">
        <f>IF(G58="卖出",IF(AI58="","",(L58-AI58)*H58),0)</f>
        <v/>
      </c>
      <c r="AK58">
        <f>IF(G58="卖出",AJ58-T58,"")</f>
        <v/>
      </c>
      <c r="AL58">
        <f>IF(G58="卖出","(L58-AI58)×H58 = ("&amp;TEXT(L58,"0.######")&amp;"-"&amp;TEXT(AI58,"0.######")&amp;")×"&amp;H58,"")</f>
        <v/>
      </c>
    </row>
    <row r="59">
      <c r="A59">
        <f>IF('交易流水'!A19&lt;&gt;"","流水","")</f>
        <v/>
      </c>
      <c r="B59">
        <f>'交易流水'!B19</f>
        <v/>
      </c>
      <c r="C59">
        <f>'交易流水'!X19</f>
        <v/>
      </c>
      <c r="D59">
        <f>IF(ISNUMBER(SEARCH("深港",C59)),"深港",IF(ISNUMBER(SEARCH("场内",C59)),"场内","其他"))</f>
        <v/>
      </c>
      <c r="E59">
        <f>'交易流水'!F19</f>
        <v/>
      </c>
      <c r="F59">
        <f>'交易流水'!G19</f>
        <v/>
      </c>
      <c r="G59">
        <f>'交易流水'!H19</f>
        <v/>
      </c>
      <c r="H59">
        <f>'交易流水'!K19</f>
        <v/>
      </c>
      <c r="I59">
        <f>'交易流水'!P19</f>
        <v/>
      </c>
      <c r="J59">
        <f>'交易流水'!L19</f>
        <v/>
      </c>
      <c r="K59">
        <f>'交易流水'!AR19</f>
        <v/>
      </c>
      <c r="L59">
        <f>IF(H59&gt;0,K59/H59,"")</f>
        <v/>
      </c>
      <c r="M59">
        <f>IF(G59="买入",H59,0)</f>
        <v/>
      </c>
      <c r="N59">
        <f>IF(G59="买入",K59,0)</f>
        <v/>
      </c>
      <c r="O59">
        <f>IF(G59="卖出",H59,0)</f>
        <v/>
      </c>
      <c r="P59">
        <f>IF(G59="卖出",K59,0)</f>
        <v/>
      </c>
      <c r="Q59">
        <f>SUMIFS($H$2:H58,$A$2:A58,"流水",$D$2:D58,D59,$E$2:E58,E59,$G$2:G58,"买入")</f>
        <v/>
      </c>
      <c r="R59">
        <f>SUMIFS($K$2:K58,$A$2:A58,"流水",$D$2:D58,D59,$E$2:E58,E59,$G$2:G58,"买入")</f>
        <v/>
      </c>
      <c r="S59">
        <f>IF(Q59&gt;0,R59/Q59,"")</f>
        <v/>
      </c>
      <c r="T59">
        <f>IF(G59="卖出",IF(S59="","",(L59-S59)*H59),0)</f>
        <v/>
      </c>
      <c r="U59" t="n">
        <v>39709.55</v>
      </c>
      <c r="V59">
        <f>IF(AND(J59&gt;0,D59="深港"),K59/J59,"")</f>
        <v/>
      </c>
      <c r="W59">
        <f>IF(G59="卖出","(L59-S59)×H59 = ("&amp;TEXT(L59,"0.######")&amp;"-"&amp;TEXT(S59,"0.######")&amp;")×"&amp;H59,"")</f>
        <v/>
      </c>
      <c r="X59" t="inlineStr">
        <is>
          <t>(L59-L5)×300000=(11.240000-11.107635)×300000=39709.55 → 39709.55</t>
        </is>
      </c>
      <c r="Y59">
        <f>IF(E59="","",IF(D59="深港",TEXT(--E59,"0000")&amp;".HK",IF(--E59&gt;=600000,TEXT(--E59,"000000")&amp;".SH",TEXT(--E59,"000000")&amp;".SZ")))</f>
        <v/>
      </c>
      <c r="Z59">
        <f>IF(Y59="","",IFERROR(INDEX('估值日行情'!$C$3:$C$61,MATCH(Y59,'估值日行情'!$A$3:$A$61,0)),""))</f>
        <v/>
      </c>
      <c r="AA59">
        <f>IF(D59="深港",IFERROR('FX_RATES_TO_CNY_HIST'!$B$3,""),1)</f>
        <v/>
      </c>
      <c r="AB59">
        <f>IF(Z59&lt;&gt;"",Z59*AA59,"")</f>
        <v/>
      </c>
      <c r="AC59">
        <f>SUMIFS($H$2:H59,$D$2:D59,D59,$E$2:E59,E59,$G$2:G59,"买入")-SUMIFS($H$2:H59,$D$2:D59,D59,$E$2:E59,E59,$G$2:G59,"卖出")</f>
        <v/>
      </c>
      <c r="AD59">
        <f>IF(D59="深港",IF(Q59&gt;0,SUMIFS($J$2:J58,$D$2:D58,D59,$E$2:E58,E59,$G$2:G58,"买入")/SUMIFS($H$2:H58,$D$2:D58,D59,$E$2:E58,E59,$G$2:G58,"买入"),""),S59)</f>
        <v/>
      </c>
      <c r="AE59">
        <f>IF(AC59&gt;0,AC59*Z59-AC59*AD59,0)</f>
        <v/>
      </c>
      <c r="AF59">
        <f>IF(AC59&gt;0,IF(D59="深港",AE59*AA59,AE59),0)</f>
        <v/>
      </c>
      <c r="AG59">
        <f>SUMIFS($H$2:H58,$D$2:D58,D59,$E$2:E58,E59,$G$2:G58,"买入")</f>
        <v/>
      </c>
      <c r="AH59">
        <f>SUMIFS($K$2:K58,$D$2:D58,D59,$E$2:E58,E59,$G$2:G58,"买入")</f>
        <v/>
      </c>
      <c r="AI59">
        <f>IF(AG59&gt;0,AH59/AG59,"")</f>
        <v/>
      </c>
      <c r="AJ59">
        <f>IF(G59="卖出",IF(AI59="","",(L59-AI59)*H59),0)</f>
        <v/>
      </c>
      <c r="AK59">
        <f>IF(G59="卖出",AJ59-T59,"")</f>
        <v/>
      </c>
      <c r="AL59">
        <f>IF(G59="卖出","(L59-AI59)×H59 = ("&amp;TEXT(L59,"0.######")&amp;"-"&amp;TEXT(AI59,"0.######")&amp;")×"&amp;H59,"")</f>
        <v/>
      </c>
    </row>
    <row r="60">
      <c r="A60">
        <f>IF('交易流水'!A20&lt;&gt;"","流水","")</f>
        <v/>
      </c>
      <c r="B60">
        <f>'交易流水'!B20</f>
        <v/>
      </c>
      <c r="C60">
        <f>'交易流水'!X20</f>
        <v/>
      </c>
      <c r="D60">
        <f>IF(ISNUMBER(SEARCH("深港",C60)),"深港",IF(ISNUMBER(SEARCH("场内",C60)),"场内","其他"))</f>
        <v/>
      </c>
      <c r="E60">
        <f>'交易流水'!F20</f>
        <v/>
      </c>
      <c r="F60">
        <f>'交易流水'!G20</f>
        <v/>
      </c>
      <c r="G60">
        <f>'交易流水'!H20</f>
        <v/>
      </c>
      <c r="H60">
        <f>'交易流水'!K20</f>
        <v/>
      </c>
      <c r="I60">
        <f>'交易流水'!P20</f>
        <v/>
      </c>
      <c r="J60">
        <f>'交易流水'!L20</f>
        <v/>
      </c>
      <c r="K60">
        <f>'交易流水'!AR20</f>
        <v/>
      </c>
      <c r="L60">
        <f>IF(H60&gt;0,K60/H60,"")</f>
        <v/>
      </c>
      <c r="M60">
        <f>IF(G60="买入",H60,0)</f>
        <v/>
      </c>
      <c r="N60">
        <f>IF(G60="买入",K60,0)</f>
        <v/>
      </c>
      <c r="O60">
        <f>IF(G60="卖出",H60,0)</f>
        <v/>
      </c>
      <c r="P60">
        <f>IF(G60="卖出",K60,0)</f>
        <v/>
      </c>
      <c r="Q60">
        <f>SUMIFS($H$2:H59,$A$2:A59,"流水",$D$2:D59,D60,$E$2:E59,E60,$G$2:G59,"买入")</f>
        <v/>
      </c>
      <c r="R60">
        <f>SUMIFS($K$2:K59,$A$2:A59,"流水",$D$2:D59,D60,$E$2:E59,E60,$G$2:G59,"买入")</f>
        <v/>
      </c>
      <c r="S60">
        <f>IF(Q60&gt;0,R60/Q60,"")</f>
        <v/>
      </c>
      <c r="T60">
        <f>IF(G60="卖出",IF(S60="","",(L60-S60)*H60),0)</f>
        <v/>
      </c>
      <c r="U60" t="n">
        <v>0</v>
      </c>
      <c r="V60">
        <f>IF(AND(J60&gt;0,D60="深港"),K60/J60,"")</f>
        <v/>
      </c>
      <c r="W60">
        <f>IF(G60="卖出","(L60-S60)×H60 = ("&amp;TEXT(L60,"0.######")&amp;"-"&amp;TEXT(S60,"0.######")&amp;")×"&amp;H60,"")</f>
        <v/>
      </c>
      <c r="Y60">
        <f>IF(E60="","",IF(D60="深港",TEXT(--E60,"0000")&amp;".HK",IF(--E60&gt;=600000,TEXT(--E60,"000000")&amp;".SH",TEXT(--E60,"000000")&amp;".SZ")))</f>
        <v/>
      </c>
      <c r="Z60">
        <f>IF(Y60="","",IFERROR(INDEX('估值日行情'!$C$3:$C$61,MATCH(Y60,'估值日行情'!$A$3:$A$61,0)),""))</f>
        <v/>
      </c>
      <c r="AA60">
        <f>IF(D60="深港",IFERROR('FX_RATES_TO_CNY_HIST'!$B$3,""),1)</f>
        <v/>
      </c>
      <c r="AB60">
        <f>IF(Z60&lt;&gt;"",Z60*AA60,"")</f>
        <v/>
      </c>
      <c r="AC60">
        <f>SUMIFS($H$2:H60,$D$2:D60,D60,$E$2:E60,E60,$G$2:G60,"买入")-SUMIFS($H$2:H60,$D$2:D60,D60,$E$2:E60,E60,$G$2:G60,"卖出")</f>
        <v/>
      </c>
      <c r="AD60">
        <f>IF(D60="深港",IF(Q60&gt;0,SUMIFS($J$2:J59,$D$2:D59,D60,$E$2:E59,E60,$G$2:G59,"买入")/SUMIFS($H$2:H59,$D$2:D59,D60,$E$2:E59,E60,$G$2:G59,"买入"),""),S60)</f>
        <v/>
      </c>
      <c r="AE60">
        <f>IF(AC60&gt;0,AC60*Z60-AC60*AD60,0)</f>
        <v/>
      </c>
      <c r="AF60">
        <f>IF(AC60&gt;0,IF(D60="深港",AE60*AA60,AE60),0)</f>
        <v/>
      </c>
      <c r="AG60">
        <f>SUMIFS($H$2:H59,$D$2:D59,D60,$E$2:E59,E60,$G$2:G59,"买入")</f>
        <v/>
      </c>
      <c r="AH60">
        <f>SUMIFS($K$2:K59,$D$2:D59,D60,$E$2:E59,E60,$G$2:G59,"买入")</f>
        <v/>
      </c>
      <c r="AI60">
        <f>IF(AG60&gt;0,AH60/AG60,"")</f>
        <v/>
      </c>
      <c r="AJ60">
        <f>IF(G60="卖出",IF(AI60="","",(L60-AI60)*H60),0)</f>
        <v/>
      </c>
      <c r="AK60">
        <f>IF(G60="卖出",AJ60-T60,"")</f>
        <v/>
      </c>
      <c r="AL60">
        <f>IF(G60="卖出","(L60-AI60)×H60 = ("&amp;TEXT(L60,"0.######")&amp;"-"&amp;TEXT(AI60,"0.######")&amp;")×"&amp;H60,"")</f>
        <v/>
      </c>
    </row>
    <row r="61">
      <c r="A61">
        <f>IF('交易流水'!A21&lt;&gt;"","流水","")</f>
        <v/>
      </c>
      <c r="B61">
        <f>'交易流水'!B21</f>
        <v/>
      </c>
      <c r="C61">
        <f>'交易流水'!X21</f>
        <v/>
      </c>
      <c r="D61">
        <f>IF(ISNUMBER(SEARCH("深港",C61)),"深港",IF(ISNUMBER(SEARCH("场内",C61)),"场内","其他"))</f>
        <v/>
      </c>
      <c r="E61">
        <f>'交易流水'!F21</f>
        <v/>
      </c>
      <c r="F61">
        <f>'交易流水'!G21</f>
        <v/>
      </c>
      <c r="G61">
        <f>'交易流水'!H21</f>
        <v/>
      </c>
      <c r="H61">
        <f>'交易流水'!K21</f>
        <v/>
      </c>
      <c r="I61">
        <f>'交易流水'!P21</f>
        <v/>
      </c>
      <c r="J61">
        <f>'交易流水'!L21</f>
        <v/>
      </c>
      <c r="K61">
        <f>'交易流水'!AR21</f>
        <v/>
      </c>
      <c r="L61">
        <f>IF(H61&gt;0,K61/H61,"")</f>
        <v/>
      </c>
      <c r="M61">
        <f>IF(G61="买入",H61,0)</f>
        <v/>
      </c>
      <c r="N61">
        <f>IF(G61="买入",K61,0)</f>
        <v/>
      </c>
      <c r="O61">
        <f>IF(G61="卖出",H61,0)</f>
        <v/>
      </c>
      <c r="P61">
        <f>IF(G61="卖出",K61,0)</f>
        <v/>
      </c>
      <c r="Q61">
        <f>SUMIFS($H$2:H60,$A$2:A60,"流水",$D$2:D60,D61,$E$2:E60,E61,$G$2:G60,"买入")</f>
        <v/>
      </c>
      <c r="R61">
        <f>SUMIFS($K$2:K60,$A$2:A60,"流水",$D$2:D60,D61,$E$2:E60,E61,$G$2:G60,"买入")</f>
        <v/>
      </c>
      <c r="S61">
        <f>IF(Q61&gt;0,R61/Q61,"")</f>
        <v/>
      </c>
      <c r="T61">
        <f>IF(G61="卖出",IF(S61="","",(L61-S61)*H61),0)</f>
        <v/>
      </c>
      <c r="U61" t="n">
        <v>-11238.73</v>
      </c>
      <c r="V61">
        <f>IF(AND(J61&gt;0,D61="深港"),K61/J61,"")</f>
        <v/>
      </c>
      <c r="W61">
        <f>IF(G61="卖出","(L61-S61)×H61 = ("&amp;TEXT(L61,"0.######")&amp;"-"&amp;TEXT(S61,"0.######")&amp;")×"&amp;H61,"")</f>
        <v/>
      </c>
      <c r="X61" t="inlineStr">
        <is>
          <t>(L61-L35)×10000=(15.578677-16.702550)×10000=-11238.73 → -11238.73</t>
        </is>
      </c>
      <c r="Y61">
        <f>IF(E61="","",IF(D61="深港",TEXT(--E61,"0000")&amp;".HK",IF(--E61&gt;=600000,TEXT(--E61,"000000")&amp;".SH",TEXT(--E61,"000000")&amp;".SZ")))</f>
        <v/>
      </c>
      <c r="Z61">
        <f>IF(Y61="","",IFERROR(INDEX('估值日行情'!$C$3:$C$61,MATCH(Y61,'估值日行情'!$A$3:$A$61,0)),""))</f>
        <v/>
      </c>
      <c r="AA61">
        <f>IF(D61="深港",IFERROR('FX_RATES_TO_CNY_HIST'!$B$3,""),1)</f>
        <v/>
      </c>
      <c r="AB61">
        <f>IF(Z61&lt;&gt;"",Z61*AA61,"")</f>
        <v/>
      </c>
      <c r="AC61">
        <f>SUMIFS($H$2:H61,$D$2:D61,D61,$E$2:E61,E61,$G$2:G61,"买入")-SUMIFS($H$2:H61,$D$2:D61,D61,$E$2:E61,E61,$G$2:G61,"卖出")</f>
        <v/>
      </c>
      <c r="AD61">
        <f>IF(D61="深港",IF(Q61&gt;0,SUMIFS($J$2:J60,$D$2:D60,D61,$E$2:E60,E61,$G$2:G60,"买入")/SUMIFS($H$2:H60,$D$2:D60,D61,$E$2:E60,E61,$G$2:G60,"买入"),""),S61)</f>
        <v/>
      </c>
      <c r="AE61">
        <f>IF(AC61&gt;0,AC61*Z61-AC61*AD61,0)</f>
        <v/>
      </c>
      <c r="AF61">
        <f>IF(AC61&gt;0,IF(D61="深港",AE61*AA61,AE61),0)</f>
        <v/>
      </c>
      <c r="AG61">
        <f>SUMIFS($H$2:H60,$D$2:D60,D61,$E$2:E60,E61,$G$2:G60,"买入")</f>
        <v/>
      </c>
      <c r="AH61">
        <f>SUMIFS($K$2:K60,$D$2:D60,D61,$E$2:E60,E61,$G$2:G60,"买入")</f>
        <v/>
      </c>
      <c r="AI61">
        <f>IF(AG61&gt;0,AH61/AG61,"")</f>
        <v/>
      </c>
      <c r="AJ61">
        <f>IF(G61="卖出",IF(AI61="","",(L61-AI61)*H61),0)</f>
        <v/>
      </c>
      <c r="AK61">
        <f>IF(G61="卖出",AJ61-T61,"")</f>
        <v/>
      </c>
      <c r="AL61">
        <f>IF(G61="卖出","(L61-AI61)×H61 = ("&amp;TEXT(L61,"0.######")&amp;"-"&amp;TEXT(AI61,"0.######")&amp;")×"&amp;H61,"")</f>
        <v/>
      </c>
    </row>
    <row r="62">
      <c r="A62">
        <f>IF('交易流水'!A22&lt;&gt;"","流水","")</f>
        <v/>
      </c>
      <c r="B62">
        <f>'交易流水'!B22</f>
        <v/>
      </c>
      <c r="C62">
        <f>'交易流水'!X22</f>
        <v/>
      </c>
      <c r="D62">
        <f>IF(ISNUMBER(SEARCH("深港",C62)),"深港",IF(ISNUMBER(SEARCH("场内",C62)),"场内","其他"))</f>
        <v/>
      </c>
      <c r="E62">
        <f>'交易流水'!F22</f>
        <v/>
      </c>
      <c r="F62">
        <f>'交易流水'!G22</f>
        <v/>
      </c>
      <c r="G62">
        <f>'交易流水'!H22</f>
        <v/>
      </c>
      <c r="H62">
        <f>'交易流水'!K22</f>
        <v/>
      </c>
      <c r="I62">
        <f>'交易流水'!P22</f>
        <v/>
      </c>
      <c r="J62">
        <f>'交易流水'!L22</f>
        <v/>
      </c>
      <c r="K62">
        <f>'交易流水'!AR22</f>
        <v/>
      </c>
      <c r="L62">
        <f>IF(H62&gt;0,K62/H62,"")</f>
        <v/>
      </c>
      <c r="M62">
        <f>IF(G62="买入",H62,0)</f>
        <v/>
      </c>
      <c r="N62">
        <f>IF(G62="买入",K62,0)</f>
        <v/>
      </c>
      <c r="O62">
        <f>IF(G62="卖出",H62,0)</f>
        <v/>
      </c>
      <c r="P62">
        <f>IF(G62="卖出",K62,0)</f>
        <v/>
      </c>
      <c r="Q62">
        <f>SUMIFS($H$2:H61,$A$2:A61,"流水",$D$2:D61,D62,$E$2:E61,E62,$G$2:G61,"买入")</f>
        <v/>
      </c>
      <c r="R62">
        <f>SUMIFS($K$2:K61,$A$2:A61,"流水",$D$2:D61,D62,$E$2:E61,E62,$G$2:G61,"买入")</f>
        <v/>
      </c>
      <c r="S62">
        <f>IF(Q62&gt;0,R62/Q62,"")</f>
        <v/>
      </c>
      <c r="T62">
        <f>IF(G62="卖出",IF(S62="","",(L62-S62)*H62),0)</f>
        <v/>
      </c>
      <c r="U62" t="n">
        <v>-8970.860000000001</v>
      </c>
      <c r="V62">
        <f>IF(AND(J62&gt;0,D62="深港"),K62/J62,"")</f>
        <v/>
      </c>
      <c r="W62">
        <f>IF(G62="卖出","(L62-S62)×H62 = ("&amp;TEXT(L62,"0.######")&amp;"-"&amp;TEXT(S62,"0.######")&amp;")×"&amp;H62,"")</f>
        <v/>
      </c>
      <c r="X62" t="inlineStr">
        <is>
          <t>(L62-L39)×100000=(4.165564-4.255273)×100000=-8970.86 → -8970.86</t>
        </is>
      </c>
      <c r="Y62">
        <f>IF(E62="","",IF(D62="深港",TEXT(--E62,"0000")&amp;".HK",IF(--E62&gt;=600000,TEXT(--E62,"000000")&amp;".SH",TEXT(--E62,"000000")&amp;".SZ")))</f>
        <v/>
      </c>
      <c r="Z62">
        <f>IF(Y62="","",IFERROR(INDEX('估值日行情'!$C$3:$C$61,MATCH(Y62,'估值日行情'!$A$3:$A$61,0)),""))</f>
        <v/>
      </c>
      <c r="AA62">
        <f>IF(D62="深港",IFERROR('FX_RATES_TO_CNY_HIST'!$B$3,""),1)</f>
        <v/>
      </c>
      <c r="AB62">
        <f>IF(Z62&lt;&gt;"",Z62*AA62,"")</f>
        <v/>
      </c>
      <c r="AC62">
        <f>SUMIFS($H$2:H62,$D$2:D62,D62,$E$2:E62,E62,$G$2:G62,"买入")-SUMIFS($H$2:H62,$D$2:D62,D62,$E$2:E62,E62,$G$2:G62,"卖出")</f>
        <v/>
      </c>
      <c r="AD62">
        <f>IF(D62="深港",IF(Q62&gt;0,SUMIFS($J$2:J61,$D$2:D61,D62,$E$2:E61,E62,$G$2:G61,"买入")/SUMIFS($H$2:H61,$D$2:D61,D62,$E$2:E61,E62,$G$2:G61,"买入"),""),S62)</f>
        <v/>
      </c>
      <c r="AE62">
        <f>IF(AC62&gt;0,AC62*Z62-AC62*AD62,0)</f>
        <v/>
      </c>
      <c r="AF62">
        <f>IF(AC62&gt;0,IF(D62="深港",AE62*AA62,AE62),0)</f>
        <v/>
      </c>
      <c r="AG62">
        <f>SUMIFS($H$2:H61,$D$2:D61,D62,$E$2:E61,E62,$G$2:G61,"买入")</f>
        <v/>
      </c>
      <c r="AH62">
        <f>SUMIFS($K$2:K61,$D$2:D61,D62,$E$2:E61,E62,$G$2:G61,"买入")</f>
        <v/>
      </c>
      <c r="AI62">
        <f>IF(AG62&gt;0,AH62/AG62,"")</f>
        <v/>
      </c>
      <c r="AJ62">
        <f>IF(G62="卖出",IF(AI62="","",(L62-AI62)*H62),0)</f>
        <v/>
      </c>
      <c r="AK62">
        <f>IF(G62="卖出",AJ62-T62,"")</f>
        <v/>
      </c>
      <c r="AL62">
        <f>IF(G62="卖出","(L62-AI62)×H62 = ("&amp;TEXT(L62,"0.######")&amp;"-"&amp;TEXT(AI62,"0.######")&amp;")×"&amp;H62,"")</f>
        <v/>
      </c>
    </row>
    <row r="63">
      <c r="A63">
        <f>IF('交易流水'!A23&lt;&gt;"","流水","")</f>
        <v/>
      </c>
      <c r="B63">
        <f>'交易流水'!B23</f>
        <v/>
      </c>
      <c r="C63">
        <f>'交易流水'!X23</f>
        <v/>
      </c>
      <c r="D63">
        <f>IF(ISNUMBER(SEARCH("深港",C63)),"深港",IF(ISNUMBER(SEARCH("场内",C63)),"场内","其他"))</f>
        <v/>
      </c>
      <c r="E63">
        <f>'交易流水'!F23</f>
        <v/>
      </c>
      <c r="F63">
        <f>'交易流水'!G23</f>
        <v/>
      </c>
      <c r="G63">
        <f>'交易流水'!H23</f>
        <v/>
      </c>
      <c r="H63">
        <f>'交易流水'!K23</f>
        <v/>
      </c>
      <c r="I63">
        <f>'交易流水'!P23</f>
        <v/>
      </c>
      <c r="J63">
        <f>'交易流水'!L23</f>
        <v/>
      </c>
      <c r="K63">
        <f>'交易流水'!AR23</f>
        <v/>
      </c>
      <c r="L63">
        <f>IF(H63&gt;0,K63/H63,"")</f>
        <v/>
      </c>
      <c r="M63">
        <f>IF(G63="买入",H63,0)</f>
        <v/>
      </c>
      <c r="N63">
        <f>IF(G63="买入",K63,0)</f>
        <v/>
      </c>
      <c r="O63">
        <f>IF(G63="卖出",H63,0)</f>
        <v/>
      </c>
      <c r="P63">
        <f>IF(G63="卖出",K63,0)</f>
        <v/>
      </c>
      <c r="Q63">
        <f>SUMIFS($H$2:H62,$A$2:A62,"流水",$D$2:D62,D63,$E$2:E62,E63,$G$2:G62,"买入")</f>
        <v/>
      </c>
      <c r="R63">
        <f>SUMIFS($K$2:K62,$A$2:A62,"流水",$D$2:D62,D63,$E$2:E62,E63,$G$2:G62,"买入")</f>
        <v/>
      </c>
      <c r="S63">
        <f>IF(Q63&gt;0,R63/Q63,"")</f>
        <v/>
      </c>
      <c r="T63">
        <f>IF(G63="卖出",IF(S63="","",(L63-S63)*H63),0)</f>
        <v/>
      </c>
      <c r="U63" t="n">
        <v>-81063.86</v>
      </c>
      <c r="V63">
        <f>IF(AND(J63&gt;0,D63="深港"),K63/J63,"")</f>
        <v/>
      </c>
      <c r="W63">
        <f>IF(G63="卖出","(L63-S63)×H63 = ("&amp;TEXT(L63,"0.######")&amp;"-"&amp;TEXT(S63,"0.######")&amp;")×"&amp;H63,"")</f>
        <v/>
      </c>
      <c r="X63" t="inlineStr">
        <is>
          <t>(L63-L4)×9000=(170.313333-179.320429)×9000=-81063.86 → -81063.86</t>
        </is>
      </c>
      <c r="Y63">
        <f>IF(E63="","",IF(D63="深港",TEXT(--E63,"0000")&amp;".HK",IF(--E63&gt;=600000,TEXT(--E63,"000000")&amp;".SH",TEXT(--E63,"000000")&amp;".SZ")))</f>
        <v/>
      </c>
      <c r="Z63">
        <f>IF(Y63="","",IFERROR(INDEX('估值日行情'!$C$3:$C$61,MATCH(Y63,'估值日行情'!$A$3:$A$61,0)),""))</f>
        <v/>
      </c>
      <c r="AA63">
        <f>IF(D63="深港",IFERROR('FX_RATES_TO_CNY_HIST'!$B$3,""),1)</f>
        <v/>
      </c>
      <c r="AB63">
        <f>IF(Z63&lt;&gt;"",Z63*AA63,"")</f>
        <v/>
      </c>
      <c r="AC63">
        <f>SUMIFS($H$2:H63,$D$2:D63,D63,$E$2:E63,E63,$G$2:G63,"买入")-SUMIFS($H$2:H63,$D$2:D63,D63,$E$2:E63,E63,$G$2:G63,"卖出")</f>
        <v/>
      </c>
      <c r="AD63">
        <f>IF(D63="深港",IF(Q63&gt;0,SUMIFS($J$2:J62,$D$2:D62,D63,$E$2:E62,E63,$G$2:G62,"买入")/SUMIFS($H$2:H62,$D$2:D62,D63,$E$2:E62,E63,$G$2:G62,"买入"),""),S63)</f>
        <v/>
      </c>
      <c r="AE63">
        <f>IF(AC63&gt;0,AC63*Z63-AC63*AD63,0)</f>
        <v/>
      </c>
      <c r="AF63">
        <f>IF(AC63&gt;0,IF(D63="深港",AE63*AA63,AE63),0)</f>
        <v/>
      </c>
      <c r="AG63">
        <f>SUMIFS($H$2:H62,$D$2:D62,D63,$E$2:E62,E63,$G$2:G62,"买入")</f>
        <v/>
      </c>
      <c r="AH63">
        <f>SUMIFS($K$2:K62,$D$2:D62,D63,$E$2:E62,E63,$G$2:G62,"买入")</f>
        <v/>
      </c>
      <c r="AI63">
        <f>IF(AG63&gt;0,AH63/AG63,"")</f>
        <v/>
      </c>
      <c r="AJ63">
        <f>IF(G63="卖出",IF(AI63="","",(L63-AI63)*H63),0)</f>
        <v/>
      </c>
      <c r="AK63">
        <f>IF(G63="卖出",AJ63-T63,"")</f>
        <v/>
      </c>
      <c r="AL63">
        <f>IF(G63="卖出","(L63-AI63)×H63 = ("&amp;TEXT(L63,"0.######")&amp;"-"&amp;TEXT(AI63,"0.######")&amp;")×"&amp;H63,"")</f>
        <v/>
      </c>
    </row>
    <row r="64">
      <c r="A64">
        <f>IF('交易流水'!A24&lt;&gt;"","流水","")</f>
        <v/>
      </c>
      <c r="B64">
        <f>'交易流水'!B24</f>
        <v/>
      </c>
      <c r="C64">
        <f>'交易流水'!X24</f>
        <v/>
      </c>
      <c r="D64">
        <f>IF(ISNUMBER(SEARCH("深港",C64)),"深港",IF(ISNUMBER(SEARCH("场内",C64)),"场内","其他"))</f>
        <v/>
      </c>
      <c r="E64">
        <f>'交易流水'!F24</f>
        <v/>
      </c>
      <c r="F64">
        <f>'交易流水'!G24</f>
        <v/>
      </c>
      <c r="G64">
        <f>'交易流水'!H24</f>
        <v/>
      </c>
      <c r="H64">
        <f>'交易流水'!K24</f>
        <v/>
      </c>
      <c r="I64">
        <f>'交易流水'!P24</f>
        <v/>
      </c>
      <c r="J64">
        <f>'交易流水'!L24</f>
        <v/>
      </c>
      <c r="K64">
        <f>'交易流水'!AR24</f>
        <v/>
      </c>
      <c r="L64">
        <f>IF(H64&gt;0,K64/H64,"")</f>
        <v/>
      </c>
      <c r="M64">
        <f>IF(G64="买入",H64,0)</f>
        <v/>
      </c>
      <c r="N64">
        <f>IF(G64="买入",K64,0)</f>
        <v/>
      </c>
      <c r="O64">
        <f>IF(G64="卖出",H64,0)</f>
        <v/>
      </c>
      <c r="P64">
        <f>IF(G64="卖出",K64,0)</f>
        <v/>
      </c>
      <c r="Q64">
        <f>SUMIFS($H$2:H63,$A$2:A63,"流水",$D$2:D63,D64,$E$2:E63,E64,$G$2:G63,"买入")</f>
        <v/>
      </c>
      <c r="R64">
        <f>SUMIFS($K$2:K63,$A$2:A63,"流水",$D$2:D63,D64,$E$2:E63,E64,$G$2:G63,"买入")</f>
        <v/>
      </c>
      <c r="S64">
        <f>IF(Q64&gt;0,R64/Q64,"")</f>
        <v/>
      </c>
      <c r="T64">
        <f>IF(G64="卖出",IF(S64="","",(L64-S64)*H64),0)</f>
        <v/>
      </c>
      <c r="U64" t="n">
        <v>0</v>
      </c>
      <c r="V64">
        <f>IF(AND(J64&gt;0,D64="深港"),K64/J64,"")</f>
        <v/>
      </c>
      <c r="W64">
        <f>IF(G64="卖出","(L64-S64)×H64 = ("&amp;TEXT(L64,"0.######")&amp;"-"&amp;TEXT(S64,"0.######")&amp;")×"&amp;H64,"")</f>
        <v/>
      </c>
      <c r="Y64">
        <f>IF(E64="","",IF(D64="深港",TEXT(--E64,"0000")&amp;".HK",IF(--E64&gt;=600000,TEXT(--E64,"000000")&amp;".SH",TEXT(--E64,"000000")&amp;".SZ")))</f>
        <v/>
      </c>
      <c r="Z64">
        <f>IF(Y64="","",IFERROR(INDEX('估值日行情'!$C$3:$C$61,MATCH(Y64,'估值日行情'!$A$3:$A$61,0)),""))</f>
        <v/>
      </c>
      <c r="AA64">
        <f>IF(D64="深港",IFERROR('FX_RATES_TO_CNY_HIST'!$B$3,""),1)</f>
        <v/>
      </c>
      <c r="AB64">
        <f>IF(Z64&lt;&gt;"",Z64*AA64,"")</f>
        <v/>
      </c>
      <c r="AC64">
        <f>SUMIFS($H$2:H64,$D$2:D64,D64,$E$2:E64,E64,$G$2:G64,"买入")-SUMIFS($H$2:H64,$D$2:D64,D64,$E$2:E64,E64,$G$2:G64,"卖出")</f>
        <v/>
      </c>
      <c r="AD64">
        <f>IF(D64="深港",IF(Q64&gt;0,SUMIFS($J$2:J63,$D$2:D63,D64,$E$2:E63,E64,$G$2:G63,"买入")/SUMIFS($H$2:H63,$D$2:D63,D64,$E$2:E63,E64,$G$2:G63,"买入"),""),S64)</f>
        <v/>
      </c>
      <c r="AE64">
        <f>IF(AC64&gt;0,AC64*Z64-AC64*AD64,0)</f>
        <v/>
      </c>
      <c r="AF64">
        <f>IF(AC64&gt;0,IF(D64="深港",AE64*AA64,AE64),0)</f>
        <v/>
      </c>
      <c r="AG64">
        <f>SUMIFS($H$2:H63,$D$2:D63,D64,$E$2:E63,E64,$G$2:G63,"买入")</f>
        <v/>
      </c>
      <c r="AH64">
        <f>SUMIFS($K$2:K63,$D$2:D63,D64,$E$2:E63,E64,$G$2:G63,"买入")</f>
        <v/>
      </c>
      <c r="AI64">
        <f>IF(AG64&gt;0,AH64/AG64,"")</f>
        <v/>
      </c>
      <c r="AJ64">
        <f>IF(G64="卖出",IF(AI64="","",(L64-AI64)*H64),0)</f>
        <v/>
      </c>
      <c r="AK64">
        <f>IF(G64="卖出",AJ64-T64,"")</f>
        <v/>
      </c>
      <c r="AL64">
        <f>IF(G64="卖出","(L64-AI64)×H64 = ("&amp;TEXT(L64,"0.######")&amp;"-"&amp;TEXT(AI64,"0.######")&amp;")×"&amp;H64,"")</f>
        <v/>
      </c>
    </row>
    <row r="65">
      <c r="A65">
        <f>IF('交易流水'!A25&lt;&gt;"","流水","")</f>
        <v/>
      </c>
      <c r="B65">
        <f>'交易流水'!B25</f>
        <v/>
      </c>
      <c r="C65">
        <f>'交易流水'!X25</f>
        <v/>
      </c>
      <c r="D65">
        <f>IF(ISNUMBER(SEARCH("深港",C65)),"深港",IF(ISNUMBER(SEARCH("场内",C65)),"场内","其他"))</f>
        <v/>
      </c>
      <c r="E65">
        <f>'交易流水'!F25</f>
        <v/>
      </c>
      <c r="F65">
        <f>'交易流水'!G25</f>
        <v/>
      </c>
      <c r="G65">
        <f>'交易流水'!H25</f>
        <v/>
      </c>
      <c r="H65">
        <f>'交易流水'!K25</f>
        <v/>
      </c>
      <c r="I65">
        <f>'交易流水'!P25</f>
        <v/>
      </c>
      <c r="J65">
        <f>'交易流水'!L25</f>
        <v/>
      </c>
      <c r="K65">
        <f>'交易流水'!AR25</f>
        <v/>
      </c>
      <c r="L65">
        <f>IF(H65&gt;0,K65/H65,"")</f>
        <v/>
      </c>
      <c r="M65">
        <f>IF(G65="买入",H65,0)</f>
        <v/>
      </c>
      <c r="N65">
        <f>IF(G65="买入",K65,0)</f>
        <v/>
      </c>
      <c r="O65">
        <f>IF(G65="卖出",H65,0)</f>
        <v/>
      </c>
      <c r="P65">
        <f>IF(G65="卖出",K65,0)</f>
        <v/>
      </c>
      <c r="Q65">
        <f>SUMIFS($H$2:H64,$A$2:A64,"流水",$D$2:D64,D65,$E$2:E64,E65,$G$2:G64,"买入")</f>
        <v/>
      </c>
      <c r="R65">
        <f>SUMIFS($K$2:K64,$A$2:A64,"流水",$D$2:D64,D65,$E$2:E64,E65,$G$2:G64,"买入")</f>
        <v/>
      </c>
      <c r="S65">
        <f>IF(Q65&gt;0,R65/Q65,"")</f>
        <v/>
      </c>
      <c r="T65">
        <f>IF(G65="卖出",IF(S65="","",(L65-S65)*H65),0)</f>
        <v/>
      </c>
      <c r="U65" t="n">
        <v>0</v>
      </c>
      <c r="V65">
        <f>IF(AND(J65&gt;0,D65="深港"),K65/J65,"")</f>
        <v/>
      </c>
      <c r="W65">
        <f>IF(G65="卖出","(L65-S65)×H65 = ("&amp;TEXT(L65,"0.######")&amp;"-"&amp;TEXT(S65,"0.######")&amp;")×"&amp;H65,"")</f>
        <v/>
      </c>
      <c r="Y65">
        <f>IF(E65="","",IF(D65="深港",TEXT(--E65,"0000")&amp;".HK",IF(--E65&gt;=600000,TEXT(--E65,"000000")&amp;".SH",TEXT(--E65,"000000")&amp;".SZ")))</f>
        <v/>
      </c>
      <c r="Z65">
        <f>IF(Y65="","",IFERROR(INDEX('估值日行情'!$C$3:$C$61,MATCH(Y65,'估值日行情'!$A$3:$A$61,0)),""))</f>
        <v/>
      </c>
      <c r="AA65">
        <f>IF(D65="深港",IFERROR('FX_RATES_TO_CNY_HIST'!$B$3,""),1)</f>
        <v/>
      </c>
      <c r="AB65">
        <f>IF(Z65&lt;&gt;"",Z65*AA65,"")</f>
        <v/>
      </c>
      <c r="AC65">
        <f>SUMIFS($H$2:H65,$D$2:D65,D65,$E$2:E65,E65,$G$2:G65,"买入")-SUMIFS($H$2:H65,$D$2:D65,D65,$E$2:E65,E65,$G$2:G65,"卖出")</f>
        <v/>
      </c>
      <c r="AD65">
        <f>IF(D65="深港",IF(Q65&gt;0,SUMIFS($J$2:J64,$D$2:D64,D65,$E$2:E64,E65,$G$2:G64,"买入")/SUMIFS($H$2:H64,$D$2:D64,D65,$E$2:E64,E65,$G$2:G64,"买入"),""),S65)</f>
        <v/>
      </c>
      <c r="AE65">
        <f>IF(AC65&gt;0,AC65*Z65-AC65*AD65,0)</f>
        <v/>
      </c>
      <c r="AF65">
        <f>IF(AC65&gt;0,IF(D65="深港",AE65*AA65,AE65),0)</f>
        <v/>
      </c>
      <c r="AG65">
        <f>SUMIFS($H$2:H64,$D$2:D64,D65,$E$2:E64,E65,$G$2:G64,"买入")</f>
        <v/>
      </c>
      <c r="AH65">
        <f>SUMIFS($K$2:K64,$D$2:D64,D65,$E$2:E64,E65,$G$2:G64,"买入")</f>
        <v/>
      </c>
      <c r="AI65">
        <f>IF(AG65&gt;0,AH65/AG65,"")</f>
        <v/>
      </c>
      <c r="AJ65">
        <f>IF(G65="卖出",IF(AI65="","",(L65-AI65)*H65),0)</f>
        <v/>
      </c>
      <c r="AK65">
        <f>IF(G65="卖出",AJ65-T65,"")</f>
        <v/>
      </c>
      <c r="AL65">
        <f>IF(G65="卖出","(L65-AI65)×H65 = ("&amp;TEXT(L65,"0.######")&amp;"-"&amp;TEXT(AI65,"0.######")&amp;")×"&amp;H65,"")</f>
        <v/>
      </c>
    </row>
    <row r="66">
      <c r="A66">
        <f>IF('交易流水'!A26&lt;&gt;"","流水","")</f>
        <v/>
      </c>
      <c r="B66">
        <f>'交易流水'!B26</f>
        <v/>
      </c>
      <c r="C66">
        <f>'交易流水'!X26</f>
        <v/>
      </c>
      <c r="D66">
        <f>IF(ISNUMBER(SEARCH("深港",C66)),"深港",IF(ISNUMBER(SEARCH("场内",C66)),"场内","其他"))</f>
        <v/>
      </c>
      <c r="E66">
        <f>'交易流水'!F26</f>
        <v/>
      </c>
      <c r="F66">
        <f>'交易流水'!G26</f>
        <v/>
      </c>
      <c r="G66">
        <f>'交易流水'!H26</f>
        <v/>
      </c>
      <c r="H66">
        <f>'交易流水'!K26</f>
        <v/>
      </c>
      <c r="I66">
        <f>'交易流水'!P26</f>
        <v/>
      </c>
      <c r="J66">
        <f>'交易流水'!L26</f>
        <v/>
      </c>
      <c r="K66">
        <f>'交易流水'!AR26</f>
        <v/>
      </c>
      <c r="L66">
        <f>IF(H66&gt;0,K66/H66,"")</f>
        <v/>
      </c>
      <c r="M66">
        <f>IF(G66="买入",H66,0)</f>
        <v/>
      </c>
      <c r="N66">
        <f>IF(G66="买入",K66,0)</f>
        <v/>
      </c>
      <c r="O66">
        <f>IF(G66="卖出",H66,0)</f>
        <v/>
      </c>
      <c r="P66">
        <f>IF(G66="卖出",K66,0)</f>
        <v/>
      </c>
      <c r="Q66">
        <f>SUMIFS($H$2:H65,$A$2:A65,"流水",$D$2:D65,D66,$E$2:E65,E66,$G$2:G65,"买入")</f>
        <v/>
      </c>
      <c r="R66">
        <f>SUMIFS($K$2:K65,$A$2:A65,"流水",$D$2:D65,D66,$E$2:E65,E66,$G$2:G65,"买入")</f>
        <v/>
      </c>
      <c r="S66">
        <f>IF(Q66&gt;0,R66/Q66,"")</f>
        <v/>
      </c>
      <c r="T66">
        <f>IF(G66="卖出",IF(S66="","",(L66-S66)*H66),0)</f>
        <v/>
      </c>
      <c r="U66" t="n">
        <v>0</v>
      </c>
      <c r="V66">
        <f>IF(AND(J66&gt;0,D66="深港"),K66/J66,"")</f>
        <v/>
      </c>
      <c r="W66">
        <f>IF(G66="卖出","(L66-S66)×H66 = ("&amp;TEXT(L66,"0.######")&amp;"-"&amp;TEXT(S66,"0.######")&amp;")×"&amp;H66,"")</f>
        <v/>
      </c>
      <c r="Y66">
        <f>IF(E66="","",IF(D66="深港",TEXT(--E66,"0000")&amp;".HK",IF(--E66&gt;=600000,TEXT(--E66,"000000")&amp;".SH",TEXT(--E66,"000000")&amp;".SZ")))</f>
        <v/>
      </c>
      <c r="Z66">
        <f>IF(Y66="","",IFERROR(INDEX('估值日行情'!$C$3:$C$61,MATCH(Y66,'估值日行情'!$A$3:$A$61,0)),""))</f>
        <v/>
      </c>
      <c r="AA66">
        <f>IF(D66="深港",IFERROR('FX_RATES_TO_CNY_HIST'!$B$3,""),1)</f>
        <v/>
      </c>
      <c r="AB66">
        <f>IF(Z66&lt;&gt;"",Z66*AA66,"")</f>
        <v/>
      </c>
      <c r="AC66">
        <f>SUMIFS($H$2:H66,$D$2:D66,D66,$E$2:E66,E66,$G$2:G66,"买入")-SUMIFS($H$2:H66,$D$2:D66,D66,$E$2:E66,E66,$G$2:G66,"卖出")</f>
        <v/>
      </c>
      <c r="AD66">
        <f>IF(D66="深港",IF(Q66&gt;0,SUMIFS($J$2:J65,$D$2:D65,D66,$E$2:E65,E66,$G$2:G65,"买入")/SUMIFS($H$2:H65,$D$2:D65,D66,$E$2:E65,E66,$G$2:G65,"买入"),""),S66)</f>
        <v/>
      </c>
      <c r="AE66">
        <f>IF(AC66&gt;0,AC66*Z66-AC66*AD66,0)</f>
        <v/>
      </c>
      <c r="AF66">
        <f>IF(AC66&gt;0,IF(D66="深港",AE66*AA66,AE66),0)</f>
        <v/>
      </c>
      <c r="AG66">
        <f>SUMIFS($H$2:H65,$D$2:D65,D66,$E$2:E65,E66,$G$2:G65,"买入")</f>
        <v/>
      </c>
      <c r="AH66">
        <f>SUMIFS($K$2:K65,$D$2:D65,D66,$E$2:E65,E66,$G$2:G65,"买入")</f>
        <v/>
      </c>
      <c r="AI66">
        <f>IF(AG66&gt;0,AH66/AG66,"")</f>
        <v/>
      </c>
      <c r="AJ66">
        <f>IF(G66="卖出",IF(AI66="","",(L66-AI66)*H66),0)</f>
        <v/>
      </c>
      <c r="AK66">
        <f>IF(G66="卖出",AJ66-T66,"")</f>
        <v/>
      </c>
      <c r="AL66">
        <f>IF(G66="卖出","(L66-AI66)×H66 = ("&amp;TEXT(L66,"0.######")&amp;"-"&amp;TEXT(AI66,"0.######")&amp;")×"&amp;H66,"")</f>
        <v/>
      </c>
    </row>
    <row r="67">
      <c r="A67">
        <f>IF('交易流水'!A27&lt;&gt;"","流水","")</f>
        <v/>
      </c>
      <c r="B67">
        <f>'交易流水'!B27</f>
        <v/>
      </c>
      <c r="C67">
        <f>'交易流水'!X27</f>
        <v/>
      </c>
      <c r="D67">
        <f>IF(ISNUMBER(SEARCH("深港",C67)),"深港",IF(ISNUMBER(SEARCH("场内",C67)),"场内","其他"))</f>
        <v/>
      </c>
      <c r="E67">
        <f>'交易流水'!F27</f>
        <v/>
      </c>
      <c r="F67">
        <f>'交易流水'!G27</f>
        <v/>
      </c>
      <c r="G67">
        <f>'交易流水'!H27</f>
        <v/>
      </c>
      <c r="H67">
        <f>'交易流水'!K27</f>
        <v/>
      </c>
      <c r="I67">
        <f>'交易流水'!P27</f>
        <v/>
      </c>
      <c r="J67">
        <f>'交易流水'!L27</f>
        <v/>
      </c>
      <c r="K67">
        <f>'交易流水'!AR27</f>
        <v/>
      </c>
      <c r="L67">
        <f>IF(H67&gt;0,K67/H67,"")</f>
        <v/>
      </c>
      <c r="M67">
        <f>IF(G67="买入",H67,0)</f>
        <v/>
      </c>
      <c r="N67">
        <f>IF(G67="买入",K67,0)</f>
        <v/>
      </c>
      <c r="O67">
        <f>IF(G67="卖出",H67,0)</f>
        <v/>
      </c>
      <c r="P67">
        <f>IF(G67="卖出",K67,0)</f>
        <v/>
      </c>
      <c r="Q67">
        <f>SUMIFS($H$2:H66,$A$2:A66,"流水",$D$2:D66,D67,$E$2:E66,E67,$G$2:G66,"买入")</f>
        <v/>
      </c>
      <c r="R67">
        <f>SUMIFS($K$2:K66,$A$2:A66,"流水",$D$2:D66,D67,$E$2:E66,E67,$G$2:G66,"买入")</f>
        <v/>
      </c>
      <c r="S67">
        <f>IF(Q67&gt;0,R67/Q67,"")</f>
        <v/>
      </c>
      <c r="T67">
        <f>IF(G67="卖出",IF(S67="","",(L67-S67)*H67),0)</f>
        <v/>
      </c>
      <c r="U67" t="n">
        <v>0</v>
      </c>
      <c r="V67">
        <f>IF(AND(J67&gt;0,D67="深港"),K67/J67,"")</f>
        <v/>
      </c>
      <c r="W67">
        <f>IF(G67="卖出","(L67-S67)×H67 = ("&amp;TEXT(L67,"0.######")&amp;"-"&amp;TEXT(S67,"0.######")&amp;")×"&amp;H67,"")</f>
        <v/>
      </c>
      <c r="Y67">
        <f>IF(E67="","",IF(D67="深港",TEXT(--E67,"0000")&amp;".HK",IF(--E67&gt;=600000,TEXT(--E67,"000000")&amp;".SH",TEXT(--E67,"000000")&amp;".SZ")))</f>
        <v/>
      </c>
      <c r="Z67">
        <f>IF(Y67="","",IFERROR(INDEX('估值日行情'!$C$3:$C$61,MATCH(Y67,'估值日行情'!$A$3:$A$61,0)),""))</f>
        <v/>
      </c>
      <c r="AA67">
        <f>IF(D67="深港",IFERROR('FX_RATES_TO_CNY_HIST'!$B$3,""),1)</f>
        <v/>
      </c>
      <c r="AB67">
        <f>IF(Z67&lt;&gt;"",Z67*AA67,"")</f>
        <v/>
      </c>
      <c r="AC67">
        <f>SUMIFS($H$2:H67,$D$2:D67,D67,$E$2:E67,E67,$G$2:G67,"买入")-SUMIFS($H$2:H67,$D$2:D67,D67,$E$2:E67,E67,$G$2:G67,"卖出")</f>
        <v/>
      </c>
      <c r="AD67">
        <f>IF(D67="深港",IF(Q67&gt;0,SUMIFS($J$2:J66,$D$2:D66,D67,$E$2:E66,E67,$G$2:G66,"买入")/SUMIFS($H$2:H66,$D$2:D66,D67,$E$2:E66,E67,$G$2:G66,"买入"),""),S67)</f>
        <v/>
      </c>
      <c r="AE67">
        <f>IF(AC67&gt;0,AC67*Z67-AC67*AD67,0)</f>
        <v/>
      </c>
      <c r="AF67">
        <f>IF(AC67&gt;0,IF(D67="深港",AE67*AA67,AE67),0)</f>
        <v/>
      </c>
      <c r="AG67">
        <f>SUMIFS($H$2:H66,$D$2:D66,D67,$E$2:E66,E67,$G$2:G66,"买入")</f>
        <v/>
      </c>
      <c r="AH67">
        <f>SUMIFS($K$2:K66,$D$2:D66,D67,$E$2:E66,E67,$G$2:G66,"买入")</f>
        <v/>
      </c>
      <c r="AI67">
        <f>IF(AG67&gt;0,AH67/AG67,"")</f>
        <v/>
      </c>
      <c r="AJ67">
        <f>IF(G67="卖出",IF(AI67="","",(L67-AI67)*H67),0)</f>
        <v/>
      </c>
      <c r="AK67">
        <f>IF(G67="卖出",AJ67-T67,"")</f>
        <v/>
      </c>
      <c r="AL67">
        <f>IF(G67="卖出","(L67-AI67)×H67 = ("&amp;TEXT(L67,"0.######")&amp;"-"&amp;TEXT(AI67,"0.######")&amp;")×"&amp;H67,"")</f>
        <v/>
      </c>
    </row>
    <row r="68">
      <c r="A68">
        <f>IF('交易流水'!A28&lt;&gt;"","流水","")</f>
        <v/>
      </c>
      <c r="B68">
        <f>'交易流水'!B28</f>
        <v/>
      </c>
      <c r="C68">
        <f>'交易流水'!X28</f>
        <v/>
      </c>
      <c r="D68">
        <f>IF(ISNUMBER(SEARCH("深港",C68)),"深港",IF(ISNUMBER(SEARCH("场内",C68)),"场内","其他"))</f>
        <v/>
      </c>
      <c r="E68">
        <f>'交易流水'!F28</f>
        <v/>
      </c>
      <c r="F68">
        <f>'交易流水'!G28</f>
        <v/>
      </c>
      <c r="G68">
        <f>'交易流水'!H28</f>
        <v/>
      </c>
      <c r="H68">
        <f>'交易流水'!K28</f>
        <v/>
      </c>
      <c r="I68">
        <f>'交易流水'!P28</f>
        <v/>
      </c>
      <c r="J68">
        <f>'交易流水'!L28</f>
        <v/>
      </c>
      <c r="K68">
        <f>'交易流水'!AR28</f>
        <v/>
      </c>
      <c r="L68">
        <f>IF(H68&gt;0,K68/H68,"")</f>
        <v/>
      </c>
      <c r="M68">
        <f>IF(G68="买入",H68,0)</f>
        <v/>
      </c>
      <c r="N68">
        <f>IF(G68="买入",K68,0)</f>
        <v/>
      </c>
      <c r="O68">
        <f>IF(G68="卖出",H68,0)</f>
        <v/>
      </c>
      <c r="P68">
        <f>IF(G68="卖出",K68,0)</f>
        <v/>
      </c>
      <c r="Q68">
        <f>SUMIFS($H$2:H67,$A$2:A67,"流水",$D$2:D67,D68,$E$2:E67,E68,$G$2:G67,"买入")</f>
        <v/>
      </c>
      <c r="R68">
        <f>SUMIFS($K$2:K67,$A$2:A67,"流水",$D$2:D67,D68,$E$2:E67,E68,$G$2:G67,"买入")</f>
        <v/>
      </c>
      <c r="S68">
        <f>IF(Q68&gt;0,R68/Q68,"")</f>
        <v/>
      </c>
      <c r="T68">
        <f>IF(G68="卖出",IF(S68="","",(L68-S68)*H68),0)</f>
        <v/>
      </c>
      <c r="U68" t="n">
        <v>-56542.96</v>
      </c>
      <c r="V68">
        <f>IF(AND(J68&gt;0,D68="深港"),K68/J68,"")</f>
        <v/>
      </c>
      <c r="W68">
        <f>IF(G68="卖出","(L68-S68)×H68 = ("&amp;TEXT(L68,"0.######")&amp;"-"&amp;TEXT(S68,"0.######")&amp;")×"&amp;H68,"")</f>
        <v/>
      </c>
      <c r="X68" t="inlineStr">
        <is>
          <t>(L68-L14)×15000=(117.954267-121.723797)×15000=-56542.96 → -56542.96</t>
        </is>
      </c>
      <c r="Y68">
        <f>IF(E68="","",IF(D68="深港",TEXT(--E68,"0000")&amp;".HK",IF(--E68&gt;=600000,TEXT(--E68,"000000")&amp;".SH",TEXT(--E68,"000000")&amp;".SZ")))</f>
        <v/>
      </c>
      <c r="Z68">
        <f>IF(Y68="","",IFERROR(INDEX('估值日行情'!$C$3:$C$61,MATCH(Y68,'估值日行情'!$A$3:$A$61,0)),""))</f>
        <v/>
      </c>
      <c r="AA68">
        <f>IF(D68="深港",IFERROR('FX_RATES_TO_CNY_HIST'!$B$3,""),1)</f>
        <v/>
      </c>
      <c r="AB68">
        <f>IF(Z68&lt;&gt;"",Z68*AA68,"")</f>
        <v/>
      </c>
      <c r="AC68">
        <f>SUMIFS($H$2:H68,$D$2:D68,D68,$E$2:E68,E68,$G$2:G68,"买入")-SUMIFS($H$2:H68,$D$2:D68,D68,$E$2:E68,E68,$G$2:G68,"卖出")</f>
        <v/>
      </c>
      <c r="AD68">
        <f>IF(D68="深港",IF(Q68&gt;0,SUMIFS($J$2:J67,$D$2:D67,D68,$E$2:E67,E68,$G$2:G67,"买入")/SUMIFS($H$2:H67,$D$2:D67,D68,$E$2:E67,E68,$G$2:G67,"买入"),""),S68)</f>
        <v/>
      </c>
      <c r="AE68">
        <f>IF(AC68&gt;0,AC68*Z68-AC68*AD68,0)</f>
        <v/>
      </c>
      <c r="AF68">
        <f>IF(AC68&gt;0,IF(D68="深港",AE68*AA68,AE68),0)</f>
        <v/>
      </c>
      <c r="AG68">
        <f>SUMIFS($H$2:H67,$D$2:D67,D68,$E$2:E67,E68,$G$2:G67,"买入")</f>
        <v/>
      </c>
      <c r="AH68">
        <f>SUMIFS($K$2:K67,$D$2:D67,D68,$E$2:E67,E68,$G$2:G67,"买入")</f>
        <v/>
      </c>
      <c r="AI68">
        <f>IF(AG68&gt;0,AH68/AG68,"")</f>
        <v/>
      </c>
      <c r="AJ68">
        <f>IF(G68="卖出",IF(AI68="","",(L68-AI68)*H68),0)</f>
        <v/>
      </c>
      <c r="AK68">
        <f>IF(G68="卖出",AJ68-T68,"")</f>
        <v/>
      </c>
      <c r="AL68">
        <f>IF(G68="卖出","(L68-AI68)×H68 = ("&amp;TEXT(L68,"0.######")&amp;"-"&amp;TEXT(AI68,"0.######")&amp;")×"&amp;H68,"")</f>
        <v/>
      </c>
    </row>
    <row r="69">
      <c r="A69">
        <f>IF('交易流水'!A29&lt;&gt;"","流水","")</f>
        <v/>
      </c>
      <c r="B69">
        <f>'交易流水'!B29</f>
        <v/>
      </c>
      <c r="C69">
        <f>'交易流水'!X29</f>
        <v/>
      </c>
      <c r="D69">
        <f>IF(ISNUMBER(SEARCH("深港",C69)),"深港",IF(ISNUMBER(SEARCH("场内",C69)),"场内","其他"))</f>
        <v/>
      </c>
      <c r="E69">
        <f>'交易流水'!F29</f>
        <v/>
      </c>
      <c r="F69">
        <f>'交易流水'!G29</f>
        <v/>
      </c>
      <c r="G69">
        <f>'交易流水'!H29</f>
        <v/>
      </c>
      <c r="H69">
        <f>'交易流水'!K29</f>
        <v/>
      </c>
      <c r="I69">
        <f>'交易流水'!P29</f>
        <v/>
      </c>
      <c r="J69">
        <f>'交易流水'!L29</f>
        <v/>
      </c>
      <c r="K69">
        <f>'交易流水'!AR29</f>
        <v/>
      </c>
      <c r="L69">
        <f>IF(H69&gt;0,K69/H69,"")</f>
        <v/>
      </c>
      <c r="M69">
        <f>IF(G69="买入",H69,0)</f>
        <v/>
      </c>
      <c r="N69">
        <f>IF(G69="买入",K69,0)</f>
        <v/>
      </c>
      <c r="O69">
        <f>IF(G69="卖出",H69,0)</f>
        <v/>
      </c>
      <c r="P69">
        <f>IF(G69="卖出",K69,0)</f>
        <v/>
      </c>
      <c r="Q69">
        <f>SUMIFS($H$2:H68,$A$2:A68,"流水",$D$2:D68,D69,$E$2:E68,E69,$G$2:G68,"买入")</f>
        <v/>
      </c>
      <c r="R69">
        <f>SUMIFS($K$2:K68,$A$2:A68,"流水",$D$2:D68,D69,$E$2:E68,E69,$G$2:G68,"买入")</f>
        <v/>
      </c>
      <c r="S69">
        <f>IF(Q69&gt;0,R69/Q69,"")</f>
        <v/>
      </c>
      <c r="T69">
        <f>IF(G69="卖出",IF(S69="","",(L69-S69)*H69),0)</f>
        <v/>
      </c>
      <c r="U69" t="n">
        <v>0</v>
      </c>
      <c r="V69">
        <f>IF(AND(J69&gt;0,D69="深港"),K69/J69,"")</f>
        <v/>
      </c>
      <c r="W69">
        <f>IF(G69="卖出","(L69-S69)×H69 = ("&amp;TEXT(L69,"0.######")&amp;"-"&amp;TEXT(S69,"0.######")&amp;")×"&amp;H69,"")</f>
        <v/>
      </c>
      <c r="Y69">
        <f>IF(E69="","",IF(D69="深港",TEXT(--E69,"0000")&amp;".HK",IF(--E69&gt;=600000,TEXT(--E69,"000000")&amp;".SH",TEXT(--E69,"000000")&amp;".SZ")))</f>
        <v/>
      </c>
      <c r="Z69">
        <f>IF(Y69="","",IFERROR(INDEX('估值日行情'!$C$3:$C$61,MATCH(Y69,'估值日行情'!$A$3:$A$61,0)),""))</f>
        <v/>
      </c>
      <c r="AA69">
        <f>IF(D69="深港",IFERROR('FX_RATES_TO_CNY_HIST'!$B$3,""),1)</f>
        <v/>
      </c>
      <c r="AB69">
        <f>IF(Z69&lt;&gt;"",Z69*AA69,"")</f>
        <v/>
      </c>
      <c r="AC69">
        <f>SUMIFS($H$2:H69,$D$2:D69,D69,$E$2:E69,E69,$G$2:G69,"买入")-SUMIFS($H$2:H69,$D$2:D69,D69,$E$2:E69,E69,$G$2:G69,"卖出")</f>
        <v/>
      </c>
      <c r="AD69">
        <f>IF(D69="深港",IF(Q69&gt;0,SUMIFS($J$2:J68,$D$2:D68,D69,$E$2:E68,E69,$G$2:G68,"买入")/SUMIFS($H$2:H68,$D$2:D68,D69,$E$2:E68,E69,$G$2:G68,"买入"),""),S69)</f>
        <v/>
      </c>
      <c r="AE69">
        <f>IF(AC69&gt;0,AC69*Z69-AC69*AD69,0)</f>
        <v/>
      </c>
      <c r="AF69">
        <f>IF(AC69&gt;0,IF(D69="深港",AE69*AA69,AE69),0)</f>
        <v/>
      </c>
      <c r="AG69">
        <f>SUMIFS($H$2:H68,$D$2:D68,D69,$E$2:E68,E69,$G$2:G68,"买入")</f>
        <v/>
      </c>
      <c r="AH69">
        <f>SUMIFS($K$2:K68,$D$2:D68,D69,$E$2:E68,E69,$G$2:G68,"买入")</f>
        <v/>
      </c>
      <c r="AI69">
        <f>IF(AG69&gt;0,AH69/AG69,"")</f>
        <v/>
      </c>
      <c r="AJ69">
        <f>IF(G69="卖出",IF(AI69="","",(L69-AI69)*H69),0)</f>
        <v/>
      </c>
      <c r="AK69">
        <f>IF(G69="卖出",AJ69-T69,"")</f>
        <v/>
      </c>
      <c r="AL69">
        <f>IF(G69="卖出","(L69-AI69)×H69 = ("&amp;TEXT(L69,"0.######")&amp;"-"&amp;TEXT(AI69,"0.######")&amp;")×"&amp;H69,"")</f>
        <v/>
      </c>
    </row>
    <row r="70">
      <c r="A70">
        <f>IF('交易流水'!A30&lt;&gt;"","流水","")</f>
        <v/>
      </c>
      <c r="B70">
        <f>'交易流水'!B30</f>
        <v/>
      </c>
      <c r="C70">
        <f>'交易流水'!X30</f>
        <v/>
      </c>
      <c r="D70">
        <f>IF(ISNUMBER(SEARCH("深港",C70)),"深港",IF(ISNUMBER(SEARCH("场内",C70)),"场内","其他"))</f>
        <v/>
      </c>
      <c r="E70">
        <f>'交易流水'!F30</f>
        <v/>
      </c>
      <c r="F70">
        <f>'交易流水'!G30</f>
        <v/>
      </c>
      <c r="G70">
        <f>'交易流水'!H30</f>
        <v/>
      </c>
      <c r="H70">
        <f>'交易流水'!K30</f>
        <v/>
      </c>
      <c r="I70">
        <f>'交易流水'!P30</f>
        <v/>
      </c>
      <c r="J70">
        <f>'交易流水'!L30</f>
        <v/>
      </c>
      <c r="K70">
        <f>'交易流水'!AR30</f>
        <v/>
      </c>
      <c r="L70">
        <f>IF(H70&gt;0,K70/H70,"")</f>
        <v/>
      </c>
      <c r="M70">
        <f>IF(G70="买入",H70,0)</f>
        <v/>
      </c>
      <c r="N70">
        <f>IF(G70="买入",K70,0)</f>
        <v/>
      </c>
      <c r="O70">
        <f>IF(G70="卖出",H70,0)</f>
        <v/>
      </c>
      <c r="P70">
        <f>IF(G70="卖出",K70,0)</f>
        <v/>
      </c>
      <c r="Q70">
        <f>SUMIFS($H$2:H69,$A$2:A69,"流水",$D$2:D69,D70,$E$2:E69,E70,$G$2:G69,"买入")</f>
        <v/>
      </c>
      <c r="R70">
        <f>SUMIFS($K$2:K69,$A$2:A69,"流水",$D$2:D69,D70,$E$2:E69,E70,$G$2:G69,"买入")</f>
        <v/>
      </c>
      <c r="S70">
        <f>IF(Q70&gt;0,R70/Q70,"")</f>
        <v/>
      </c>
      <c r="T70">
        <f>IF(G70="卖出",IF(S70="","",(L70-S70)*H70),0)</f>
        <v/>
      </c>
      <c r="U70" t="n">
        <v>-77423.00999999999</v>
      </c>
      <c r="V70">
        <f>IF(AND(J70&gt;0,D70="深港"),K70/J70,"")</f>
        <v/>
      </c>
      <c r="W70">
        <f>IF(G70="卖出","(L70-S70)×H70 = ("&amp;TEXT(L70,"0.######")&amp;"-"&amp;TEXT(S70,"0.######")&amp;")×"&amp;H70,"")</f>
        <v/>
      </c>
      <c r="X70" t="inlineStr">
        <is>
          <t>(L70-L4)×7000=(168.260000-179.320429)×7000=-77423.01 → -77423.01</t>
        </is>
      </c>
      <c r="Y70">
        <f>IF(E70="","",IF(D70="深港",TEXT(--E70,"0000")&amp;".HK",IF(--E70&gt;=600000,TEXT(--E70,"000000")&amp;".SH",TEXT(--E70,"000000")&amp;".SZ")))</f>
        <v/>
      </c>
      <c r="Z70">
        <f>IF(Y70="","",IFERROR(INDEX('估值日行情'!$C$3:$C$61,MATCH(Y70,'估值日行情'!$A$3:$A$61,0)),""))</f>
        <v/>
      </c>
      <c r="AA70">
        <f>IF(D70="深港",IFERROR('FX_RATES_TO_CNY_HIST'!$B$3,""),1)</f>
        <v/>
      </c>
      <c r="AB70">
        <f>IF(Z70&lt;&gt;"",Z70*AA70,"")</f>
        <v/>
      </c>
      <c r="AC70">
        <f>SUMIFS($H$2:H70,$D$2:D70,D70,$E$2:E70,E70,$G$2:G70,"买入")-SUMIFS($H$2:H70,$D$2:D70,D70,$E$2:E70,E70,$G$2:G70,"卖出")</f>
        <v/>
      </c>
      <c r="AD70">
        <f>IF(D70="深港",IF(Q70&gt;0,SUMIFS($J$2:J69,$D$2:D69,D70,$E$2:E69,E70,$G$2:G69,"买入")/SUMIFS($H$2:H69,$D$2:D69,D70,$E$2:E69,E70,$G$2:G69,"买入"),""),S70)</f>
        <v/>
      </c>
      <c r="AE70">
        <f>IF(AC70&gt;0,AC70*Z70-AC70*AD70,0)</f>
        <v/>
      </c>
      <c r="AF70">
        <f>IF(AC70&gt;0,IF(D70="深港",AE70*AA70,AE70),0)</f>
        <v/>
      </c>
      <c r="AG70">
        <f>SUMIFS($H$2:H69,$D$2:D69,D70,$E$2:E69,E70,$G$2:G69,"买入")</f>
        <v/>
      </c>
      <c r="AH70">
        <f>SUMIFS($K$2:K69,$D$2:D69,D70,$E$2:E69,E70,$G$2:G69,"买入")</f>
        <v/>
      </c>
      <c r="AI70">
        <f>IF(AG70&gt;0,AH70/AG70,"")</f>
        <v/>
      </c>
      <c r="AJ70">
        <f>IF(G70="卖出",IF(AI70="","",(L70-AI70)*H70),0)</f>
        <v/>
      </c>
      <c r="AK70">
        <f>IF(G70="卖出",AJ70-T70,"")</f>
        <v/>
      </c>
      <c r="AL70">
        <f>IF(G70="卖出","(L70-AI70)×H70 = ("&amp;TEXT(L70,"0.######")&amp;"-"&amp;TEXT(AI70,"0.######")&amp;")×"&amp;H70,"")</f>
        <v/>
      </c>
    </row>
    <row r="71">
      <c r="A71">
        <f>IF('交易流水'!A31&lt;&gt;"","流水","")</f>
        <v/>
      </c>
      <c r="B71">
        <f>'交易流水'!B31</f>
        <v/>
      </c>
      <c r="C71">
        <f>'交易流水'!X31</f>
        <v/>
      </c>
      <c r="D71">
        <f>IF(ISNUMBER(SEARCH("深港",C71)),"深港",IF(ISNUMBER(SEARCH("场内",C71)),"场内","其他"))</f>
        <v/>
      </c>
      <c r="E71">
        <f>'交易流水'!F31</f>
        <v/>
      </c>
      <c r="F71">
        <f>'交易流水'!G31</f>
        <v/>
      </c>
      <c r="G71">
        <f>'交易流水'!H31</f>
        <v/>
      </c>
      <c r="H71">
        <f>'交易流水'!K31</f>
        <v/>
      </c>
      <c r="I71">
        <f>'交易流水'!P31</f>
        <v/>
      </c>
      <c r="J71">
        <f>'交易流水'!L31</f>
        <v/>
      </c>
      <c r="K71">
        <f>'交易流水'!AR31</f>
        <v/>
      </c>
      <c r="L71">
        <f>IF(H71&gt;0,K71/H71,"")</f>
        <v/>
      </c>
      <c r="M71">
        <f>IF(G71="买入",H71,0)</f>
        <v/>
      </c>
      <c r="N71">
        <f>IF(G71="买入",K71,0)</f>
        <v/>
      </c>
      <c r="O71">
        <f>IF(G71="卖出",H71,0)</f>
        <v/>
      </c>
      <c r="P71">
        <f>IF(G71="卖出",K71,0)</f>
        <v/>
      </c>
      <c r="Q71">
        <f>SUMIFS($H$2:H70,$A$2:A70,"流水",$D$2:D70,D71,$E$2:E70,E71,$G$2:G70,"买入")</f>
        <v/>
      </c>
      <c r="R71">
        <f>SUMIFS($K$2:K70,$A$2:A70,"流水",$D$2:D70,D71,$E$2:E70,E71,$G$2:G70,"买入")</f>
        <v/>
      </c>
      <c r="S71">
        <f>IF(Q71&gt;0,R71/Q71,"")</f>
        <v/>
      </c>
      <c r="T71">
        <f>IF(G71="卖出",IF(S71="","",(L71-S71)*H71),0)</f>
        <v/>
      </c>
      <c r="U71" t="n">
        <v>-45937.97</v>
      </c>
      <c r="V71">
        <f>IF(AND(J71&gt;0,D71="深港"),K71/J71,"")</f>
        <v/>
      </c>
      <c r="W71">
        <f>IF(G71="卖出","(L71-S71)×H71 = ("&amp;TEXT(L71,"0.######")&amp;"-"&amp;TEXT(S71,"0.######")&amp;")×"&amp;H71,"")</f>
        <v/>
      </c>
      <c r="X71" t="inlineStr">
        <is>
          <t>(L71-L14)×10000=(117.130000-121.723797)×10000=-45937.97 → -45937.97</t>
        </is>
      </c>
      <c r="Y71">
        <f>IF(E71="","",IF(D71="深港",TEXT(--E71,"0000")&amp;".HK",IF(--E71&gt;=600000,TEXT(--E71,"000000")&amp;".SH",TEXT(--E71,"000000")&amp;".SZ")))</f>
        <v/>
      </c>
      <c r="Z71">
        <f>IF(Y71="","",IFERROR(INDEX('估值日行情'!$C$3:$C$61,MATCH(Y71,'估值日行情'!$A$3:$A$61,0)),""))</f>
        <v/>
      </c>
      <c r="AA71">
        <f>IF(D71="深港",IFERROR('FX_RATES_TO_CNY_HIST'!$B$3,""),1)</f>
        <v/>
      </c>
      <c r="AB71">
        <f>IF(Z71&lt;&gt;"",Z71*AA71,"")</f>
        <v/>
      </c>
      <c r="AC71">
        <f>SUMIFS($H$2:H71,$D$2:D71,D71,$E$2:E71,E71,$G$2:G71,"买入")-SUMIFS($H$2:H71,$D$2:D71,D71,$E$2:E71,E71,$G$2:G71,"卖出")</f>
        <v/>
      </c>
      <c r="AD71">
        <f>IF(D71="深港",IF(Q71&gt;0,SUMIFS($J$2:J70,$D$2:D70,D71,$E$2:E70,E71,$G$2:G70,"买入")/SUMIFS($H$2:H70,$D$2:D70,D71,$E$2:E70,E71,$G$2:G70,"买入"),""),S71)</f>
        <v/>
      </c>
      <c r="AE71">
        <f>IF(AC71&gt;0,AC71*Z71-AC71*AD71,0)</f>
        <v/>
      </c>
      <c r="AF71">
        <f>IF(AC71&gt;0,IF(D71="深港",AE71*AA71,AE71),0)</f>
        <v/>
      </c>
      <c r="AG71">
        <f>SUMIFS($H$2:H70,$D$2:D70,D71,$E$2:E70,E71,$G$2:G70,"买入")</f>
        <v/>
      </c>
      <c r="AH71">
        <f>SUMIFS($K$2:K70,$D$2:D70,D71,$E$2:E70,E71,$G$2:G70,"买入")</f>
        <v/>
      </c>
      <c r="AI71">
        <f>IF(AG71&gt;0,AH71/AG71,"")</f>
        <v/>
      </c>
      <c r="AJ71">
        <f>IF(G71="卖出",IF(AI71="","",(L71-AI71)*H71),0)</f>
        <v/>
      </c>
      <c r="AK71">
        <f>IF(G71="卖出",AJ71-T71,"")</f>
        <v/>
      </c>
      <c r="AL71">
        <f>IF(G71="卖出","(L71-AI71)×H71 = ("&amp;TEXT(L71,"0.######")&amp;"-"&amp;TEXT(AI71,"0.######")&amp;")×"&amp;H71,"")</f>
        <v/>
      </c>
    </row>
    <row r="72">
      <c r="A72">
        <f>IF('交易流水'!A32&lt;&gt;"","流水","")</f>
        <v/>
      </c>
      <c r="B72">
        <f>'交易流水'!B32</f>
        <v/>
      </c>
      <c r="C72">
        <f>'交易流水'!X32</f>
        <v/>
      </c>
      <c r="D72">
        <f>IF(ISNUMBER(SEARCH("深港",C72)),"深港",IF(ISNUMBER(SEARCH("场内",C72)),"场内","其他"))</f>
        <v/>
      </c>
      <c r="E72">
        <f>'交易流水'!F32</f>
        <v/>
      </c>
      <c r="F72">
        <f>'交易流水'!G32</f>
        <v/>
      </c>
      <c r="G72">
        <f>'交易流水'!H32</f>
        <v/>
      </c>
      <c r="H72">
        <f>'交易流水'!K32</f>
        <v/>
      </c>
      <c r="I72">
        <f>'交易流水'!P32</f>
        <v/>
      </c>
      <c r="J72">
        <f>'交易流水'!L32</f>
        <v/>
      </c>
      <c r="K72">
        <f>'交易流水'!AR32</f>
        <v/>
      </c>
      <c r="L72">
        <f>IF(H72&gt;0,K72/H72,"")</f>
        <v/>
      </c>
      <c r="M72">
        <f>IF(G72="买入",H72,0)</f>
        <v/>
      </c>
      <c r="N72">
        <f>IF(G72="买入",K72,0)</f>
        <v/>
      </c>
      <c r="O72">
        <f>IF(G72="卖出",H72,0)</f>
        <v/>
      </c>
      <c r="P72">
        <f>IF(G72="卖出",K72,0)</f>
        <v/>
      </c>
      <c r="Q72">
        <f>SUMIFS($H$2:H71,$A$2:A71,"流水",$D$2:D71,D72,$E$2:E71,E72,$G$2:G71,"买入")</f>
        <v/>
      </c>
      <c r="R72">
        <f>SUMIFS($K$2:K71,$A$2:A71,"流水",$D$2:D71,D72,$E$2:E71,E72,$G$2:G71,"买入")</f>
        <v/>
      </c>
      <c r="S72">
        <f>IF(Q72&gt;0,R72/Q72,"")</f>
        <v/>
      </c>
      <c r="T72">
        <f>IF(G72="卖出",IF(S72="","",(L72-S72)*H72),0)</f>
        <v/>
      </c>
      <c r="U72" t="n">
        <v>0</v>
      </c>
      <c r="V72">
        <f>IF(AND(J72&gt;0,D72="深港"),K72/J72,"")</f>
        <v/>
      </c>
      <c r="W72">
        <f>IF(G72="卖出","(L72-S72)×H72 = ("&amp;TEXT(L72,"0.######")&amp;"-"&amp;TEXT(S72,"0.######")&amp;")×"&amp;H72,"")</f>
        <v/>
      </c>
      <c r="Y72">
        <f>IF(E72="","",IF(D72="深港",TEXT(--E72,"0000")&amp;".HK",IF(--E72&gt;=600000,TEXT(--E72,"000000")&amp;".SH",TEXT(--E72,"000000")&amp;".SZ")))</f>
        <v/>
      </c>
      <c r="Z72">
        <f>IF(Y72="","",IFERROR(INDEX('估值日行情'!$C$3:$C$61,MATCH(Y72,'估值日行情'!$A$3:$A$61,0)),""))</f>
        <v/>
      </c>
      <c r="AA72">
        <f>IF(D72="深港",IFERROR('FX_RATES_TO_CNY_HIST'!$B$3,""),1)</f>
        <v/>
      </c>
      <c r="AB72">
        <f>IF(Z72&lt;&gt;"",Z72*AA72,"")</f>
        <v/>
      </c>
      <c r="AC72">
        <f>SUMIFS($H$2:H72,$D$2:D72,D72,$E$2:E72,E72,$G$2:G72,"买入")-SUMIFS($H$2:H72,$D$2:D72,D72,$E$2:E72,E72,$G$2:G72,"卖出")</f>
        <v/>
      </c>
      <c r="AD72">
        <f>IF(D72="深港",IF(Q72&gt;0,SUMIFS($J$2:J71,$D$2:D71,D72,$E$2:E71,E72,$G$2:G71,"买入")/SUMIFS($H$2:H71,$D$2:D71,D72,$E$2:E71,E72,$G$2:G71,"买入"),""),S72)</f>
        <v/>
      </c>
      <c r="AE72">
        <f>IF(AC72&gt;0,AC72*Z72-AC72*AD72,0)</f>
        <v/>
      </c>
      <c r="AF72">
        <f>IF(AC72&gt;0,IF(D72="深港",AE72*AA72,AE72),0)</f>
        <v/>
      </c>
      <c r="AG72">
        <f>SUMIFS($H$2:H71,$D$2:D71,D72,$E$2:E71,E72,$G$2:G71,"买入")</f>
        <v/>
      </c>
      <c r="AH72">
        <f>SUMIFS($K$2:K71,$D$2:D71,D72,$E$2:E71,E72,$G$2:G71,"买入")</f>
        <v/>
      </c>
      <c r="AI72">
        <f>IF(AG72&gt;0,AH72/AG72,"")</f>
        <v/>
      </c>
      <c r="AJ72">
        <f>IF(G72="卖出",IF(AI72="","",(L72-AI72)*H72),0)</f>
        <v/>
      </c>
      <c r="AK72">
        <f>IF(G72="卖出",AJ72-T72,"")</f>
        <v/>
      </c>
      <c r="AL72">
        <f>IF(G72="卖出","(L72-AI72)×H72 = ("&amp;TEXT(L72,"0.######")&amp;"-"&amp;TEXT(AI72,"0.######")&amp;")×"&amp;H72,"")</f>
        <v/>
      </c>
    </row>
    <row r="73">
      <c r="A73">
        <f>IF('交易流水'!A33&lt;&gt;"","流水","")</f>
        <v/>
      </c>
      <c r="B73">
        <f>'交易流水'!B33</f>
        <v/>
      </c>
      <c r="C73">
        <f>'交易流水'!X33</f>
        <v/>
      </c>
      <c r="D73">
        <f>IF(ISNUMBER(SEARCH("深港",C73)),"深港",IF(ISNUMBER(SEARCH("场内",C73)),"场内","其他"))</f>
        <v/>
      </c>
      <c r="E73">
        <f>'交易流水'!F33</f>
        <v/>
      </c>
      <c r="F73">
        <f>'交易流水'!G33</f>
        <v/>
      </c>
      <c r="G73">
        <f>'交易流水'!H33</f>
        <v/>
      </c>
      <c r="H73">
        <f>'交易流水'!K33</f>
        <v/>
      </c>
      <c r="I73">
        <f>'交易流水'!P33</f>
        <v/>
      </c>
      <c r="J73">
        <f>'交易流水'!L33</f>
        <v/>
      </c>
      <c r="K73">
        <f>'交易流水'!AR33</f>
        <v/>
      </c>
      <c r="L73">
        <f>IF(H73&gt;0,K73/H73,"")</f>
        <v/>
      </c>
      <c r="M73">
        <f>IF(G73="买入",H73,0)</f>
        <v/>
      </c>
      <c r="N73">
        <f>IF(G73="买入",K73,0)</f>
        <v/>
      </c>
      <c r="O73">
        <f>IF(G73="卖出",H73,0)</f>
        <v/>
      </c>
      <c r="P73">
        <f>IF(G73="卖出",K73,0)</f>
        <v/>
      </c>
      <c r="Q73">
        <f>SUMIFS($H$2:H72,$A$2:A72,"流水",$D$2:D72,D73,$E$2:E72,E73,$G$2:G72,"买入")</f>
        <v/>
      </c>
      <c r="R73">
        <f>SUMIFS($K$2:K72,$A$2:A72,"流水",$D$2:D72,D73,$E$2:E72,E73,$G$2:G72,"买入")</f>
        <v/>
      </c>
      <c r="S73">
        <f>IF(Q73&gt;0,R73/Q73,"")</f>
        <v/>
      </c>
      <c r="T73">
        <f>IF(G73="卖出",IF(S73="","",(L73-S73)*H73),0)</f>
        <v/>
      </c>
      <c r="U73" t="n">
        <v>0</v>
      </c>
      <c r="V73">
        <f>IF(AND(J73&gt;0,D73="深港"),K73/J73,"")</f>
        <v/>
      </c>
      <c r="W73">
        <f>IF(G73="卖出","(L73-S73)×H73 = ("&amp;TEXT(L73,"0.######")&amp;"-"&amp;TEXT(S73,"0.######")&amp;")×"&amp;H73,"")</f>
        <v/>
      </c>
      <c r="Y73">
        <f>IF(E73="","",IF(D73="深港",TEXT(--E73,"0000")&amp;".HK",IF(--E73&gt;=600000,TEXT(--E73,"000000")&amp;".SH",TEXT(--E73,"000000")&amp;".SZ")))</f>
        <v/>
      </c>
      <c r="Z73">
        <f>IF(Y73="","",IFERROR(INDEX('估值日行情'!$C$3:$C$61,MATCH(Y73,'估值日行情'!$A$3:$A$61,0)),""))</f>
        <v/>
      </c>
      <c r="AA73">
        <f>IF(D73="深港",IFERROR('FX_RATES_TO_CNY_HIST'!$B$3,""),1)</f>
        <v/>
      </c>
      <c r="AB73">
        <f>IF(Z73&lt;&gt;"",Z73*AA73,"")</f>
        <v/>
      </c>
      <c r="AC73">
        <f>SUMIFS($H$2:H73,$D$2:D73,D73,$E$2:E73,E73,$G$2:G73,"买入")-SUMIFS($H$2:H73,$D$2:D73,D73,$E$2:E73,E73,$G$2:G73,"卖出")</f>
        <v/>
      </c>
      <c r="AD73">
        <f>IF(D73="深港",IF(Q73&gt;0,SUMIFS($J$2:J72,$D$2:D72,D73,$E$2:E72,E73,$G$2:G72,"买入")/SUMIFS($H$2:H72,$D$2:D72,D73,$E$2:E72,E73,$G$2:G72,"买入"),""),S73)</f>
        <v/>
      </c>
      <c r="AE73">
        <f>IF(AC73&gt;0,AC73*Z73-AC73*AD73,0)</f>
        <v/>
      </c>
      <c r="AF73">
        <f>IF(AC73&gt;0,IF(D73="深港",AE73*AA73,AE73),0)</f>
        <v/>
      </c>
      <c r="AG73">
        <f>SUMIFS($H$2:H72,$D$2:D72,D73,$E$2:E72,E73,$G$2:G72,"买入")</f>
        <v/>
      </c>
      <c r="AH73">
        <f>SUMIFS($K$2:K72,$D$2:D72,D73,$E$2:E72,E73,$G$2:G72,"买入")</f>
        <v/>
      </c>
      <c r="AI73">
        <f>IF(AG73&gt;0,AH73/AG73,"")</f>
        <v/>
      </c>
      <c r="AJ73">
        <f>IF(G73="卖出",IF(AI73="","",(L73-AI73)*H73),0)</f>
        <v/>
      </c>
      <c r="AK73">
        <f>IF(G73="卖出",AJ73-T73,"")</f>
        <v/>
      </c>
      <c r="AL73">
        <f>IF(G73="卖出","(L73-AI73)×H73 = ("&amp;TEXT(L73,"0.######")&amp;"-"&amp;TEXT(AI73,"0.######")&amp;")×"&amp;H73,"")</f>
        <v/>
      </c>
    </row>
    <row r="74">
      <c r="A74">
        <f>IF('交易流水'!A34&lt;&gt;"","流水","")</f>
        <v/>
      </c>
      <c r="B74">
        <f>'交易流水'!B34</f>
        <v/>
      </c>
      <c r="C74">
        <f>'交易流水'!X34</f>
        <v/>
      </c>
      <c r="D74">
        <f>IF(ISNUMBER(SEARCH("深港",C74)),"深港",IF(ISNUMBER(SEARCH("场内",C74)),"场内","其他"))</f>
        <v/>
      </c>
      <c r="E74">
        <f>'交易流水'!F34</f>
        <v/>
      </c>
      <c r="F74">
        <f>'交易流水'!G34</f>
        <v/>
      </c>
      <c r="G74">
        <f>'交易流水'!H34</f>
        <v/>
      </c>
      <c r="H74">
        <f>'交易流水'!K34</f>
        <v/>
      </c>
      <c r="I74">
        <f>'交易流水'!P34</f>
        <v/>
      </c>
      <c r="J74">
        <f>'交易流水'!L34</f>
        <v/>
      </c>
      <c r="K74">
        <f>'交易流水'!AR34</f>
        <v/>
      </c>
      <c r="L74">
        <f>IF(H74&gt;0,K74/H74,"")</f>
        <v/>
      </c>
      <c r="M74">
        <f>IF(G74="买入",H74,0)</f>
        <v/>
      </c>
      <c r="N74">
        <f>IF(G74="买入",K74,0)</f>
        <v/>
      </c>
      <c r="O74">
        <f>IF(G74="卖出",H74,0)</f>
        <v/>
      </c>
      <c r="P74">
        <f>IF(G74="卖出",K74,0)</f>
        <v/>
      </c>
      <c r="Q74">
        <f>SUMIFS($H$2:H73,$A$2:A73,"流水",$D$2:D73,D74,$E$2:E73,E74,$G$2:G73,"买入")</f>
        <v/>
      </c>
      <c r="R74">
        <f>SUMIFS($K$2:K73,$A$2:A73,"流水",$D$2:D73,D74,$E$2:E73,E74,$G$2:G73,"买入")</f>
        <v/>
      </c>
      <c r="S74">
        <f>IF(Q74&gt;0,R74/Q74,"")</f>
        <v/>
      </c>
      <c r="T74">
        <f>IF(G74="卖出",IF(S74="","",(L74-S74)*H74),0)</f>
        <v/>
      </c>
      <c r="U74" t="n">
        <v>0</v>
      </c>
      <c r="V74">
        <f>IF(AND(J74&gt;0,D74="深港"),K74/J74,"")</f>
        <v/>
      </c>
      <c r="W74">
        <f>IF(G74="卖出","(L74-S74)×H74 = ("&amp;TEXT(L74,"0.######")&amp;"-"&amp;TEXT(S74,"0.######")&amp;")×"&amp;H74,"")</f>
        <v/>
      </c>
      <c r="Y74">
        <f>IF(E74="","",IF(D74="深港",TEXT(--E74,"0000")&amp;".HK",IF(--E74&gt;=600000,TEXT(--E74,"000000")&amp;".SH",TEXT(--E74,"000000")&amp;".SZ")))</f>
        <v/>
      </c>
      <c r="Z74">
        <f>IF(Y74="","",IFERROR(INDEX('估值日行情'!$C$3:$C$61,MATCH(Y74,'估值日行情'!$A$3:$A$61,0)),""))</f>
        <v/>
      </c>
      <c r="AA74">
        <f>IF(D74="深港",IFERROR('FX_RATES_TO_CNY_HIST'!$B$3,""),1)</f>
        <v/>
      </c>
      <c r="AB74">
        <f>IF(Z74&lt;&gt;"",Z74*AA74,"")</f>
        <v/>
      </c>
      <c r="AC74">
        <f>SUMIFS($H$2:H74,$D$2:D74,D74,$E$2:E74,E74,$G$2:G74,"买入")-SUMIFS($H$2:H74,$D$2:D74,D74,$E$2:E74,E74,$G$2:G74,"卖出")</f>
        <v/>
      </c>
      <c r="AD74">
        <f>IF(D74="深港",IF(Q74&gt;0,SUMIFS($J$2:J73,$D$2:D73,D74,$E$2:E73,E74,$G$2:G73,"买入")/SUMIFS($H$2:H73,$D$2:D73,D74,$E$2:E73,E74,$G$2:G73,"买入"),""),S74)</f>
        <v/>
      </c>
      <c r="AE74">
        <f>IF(AC74&gt;0,AC74*Z74-AC74*AD74,0)</f>
        <v/>
      </c>
      <c r="AF74">
        <f>IF(AC74&gt;0,IF(D74="深港",AE74*AA74,AE74),0)</f>
        <v/>
      </c>
      <c r="AG74">
        <f>SUMIFS($H$2:H73,$D$2:D73,D74,$E$2:E73,E74,$G$2:G73,"买入")</f>
        <v/>
      </c>
      <c r="AH74">
        <f>SUMIFS($K$2:K73,$D$2:D73,D74,$E$2:E73,E74,$G$2:G73,"买入")</f>
        <v/>
      </c>
      <c r="AI74">
        <f>IF(AG74&gt;0,AH74/AG74,"")</f>
        <v/>
      </c>
      <c r="AJ74">
        <f>IF(G74="卖出",IF(AI74="","",(L74-AI74)*H74),0)</f>
        <v/>
      </c>
      <c r="AK74">
        <f>IF(G74="卖出",AJ74-T74,"")</f>
        <v/>
      </c>
      <c r="AL74">
        <f>IF(G74="卖出","(L74-AI74)×H74 = ("&amp;TEXT(L74,"0.######")&amp;"-"&amp;TEXT(AI74,"0.######")&amp;")×"&amp;H74,"")</f>
        <v/>
      </c>
    </row>
    <row r="75">
      <c r="A75">
        <f>IF('交易流水'!A35&lt;&gt;"","流水","")</f>
        <v/>
      </c>
      <c r="B75">
        <f>'交易流水'!B35</f>
        <v/>
      </c>
      <c r="C75">
        <f>'交易流水'!X35</f>
        <v/>
      </c>
      <c r="D75">
        <f>IF(ISNUMBER(SEARCH("深港",C75)),"深港",IF(ISNUMBER(SEARCH("场内",C75)),"场内","其他"))</f>
        <v/>
      </c>
      <c r="E75">
        <f>'交易流水'!F35</f>
        <v/>
      </c>
      <c r="F75">
        <f>'交易流水'!G35</f>
        <v/>
      </c>
      <c r="G75">
        <f>'交易流水'!H35</f>
        <v/>
      </c>
      <c r="H75">
        <f>'交易流水'!K35</f>
        <v/>
      </c>
      <c r="I75">
        <f>'交易流水'!P35</f>
        <v/>
      </c>
      <c r="J75">
        <f>'交易流水'!L35</f>
        <v/>
      </c>
      <c r="K75">
        <f>'交易流水'!AR35</f>
        <v/>
      </c>
      <c r="L75">
        <f>IF(H75&gt;0,K75/H75,"")</f>
        <v/>
      </c>
      <c r="M75">
        <f>IF(G75="买入",H75,0)</f>
        <v/>
      </c>
      <c r="N75">
        <f>IF(G75="买入",K75,0)</f>
        <v/>
      </c>
      <c r="O75">
        <f>IF(G75="卖出",H75,0)</f>
        <v/>
      </c>
      <c r="P75">
        <f>IF(G75="卖出",K75,0)</f>
        <v/>
      </c>
      <c r="Q75">
        <f>SUMIFS($H$2:H74,$A$2:A74,"流水",$D$2:D74,D75,$E$2:E74,E75,$G$2:G74,"买入")</f>
        <v/>
      </c>
      <c r="R75">
        <f>SUMIFS($K$2:K74,$A$2:A74,"流水",$D$2:D74,D75,$E$2:E74,E75,$G$2:G74,"买入")</f>
        <v/>
      </c>
      <c r="S75">
        <f>IF(Q75&gt;0,R75/Q75,"")</f>
        <v/>
      </c>
      <c r="T75">
        <f>IF(G75="卖出",IF(S75="","",(L75-S75)*H75),0)</f>
        <v/>
      </c>
      <c r="U75" t="n">
        <v>592730.77</v>
      </c>
      <c r="V75">
        <f>IF(AND(J75&gt;0,D75="深港"),K75/J75,"")</f>
        <v/>
      </c>
      <c r="W75">
        <f>IF(G75="卖出","(L75-S75)×H75 = ("&amp;TEXT(L75,"0.######")&amp;"-"&amp;TEXT(S75,"0.######")&amp;")×"&amp;H75,"")</f>
        <v/>
      </c>
      <c r="X75" t="inlineStr">
        <is>
          <t>(L75-L17)×50000=(81.193164-69.338549)×50000=592730.77 → 592730.77</t>
        </is>
      </c>
      <c r="Y75">
        <f>IF(E75="","",IF(D75="深港",TEXT(--E75,"0000")&amp;".HK",IF(--E75&gt;=600000,TEXT(--E75,"000000")&amp;".SH",TEXT(--E75,"000000")&amp;".SZ")))</f>
        <v/>
      </c>
      <c r="Z75">
        <f>IF(Y75="","",IFERROR(INDEX('估值日行情'!$C$3:$C$61,MATCH(Y75,'估值日行情'!$A$3:$A$61,0)),""))</f>
        <v/>
      </c>
      <c r="AA75">
        <f>IF(D75="深港",IFERROR('FX_RATES_TO_CNY_HIST'!$B$3,""),1)</f>
        <v/>
      </c>
      <c r="AB75">
        <f>IF(Z75&lt;&gt;"",Z75*AA75,"")</f>
        <v/>
      </c>
      <c r="AC75">
        <f>SUMIFS($H$2:H75,$D$2:D75,D75,$E$2:E75,E75,$G$2:G75,"买入")-SUMIFS($H$2:H75,$D$2:D75,D75,$E$2:E75,E75,$G$2:G75,"卖出")</f>
        <v/>
      </c>
      <c r="AD75">
        <f>IF(D75="深港",IF(Q75&gt;0,SUMIFS($J$2:J74,$D$2:D74,D75,$E$2:E74,E75,$G$2:G74,"买入")/SUMIFS($H$2:H74,$D$2:D74,D75,$E$2:E74,E75,$G$2:G74,"买入"),""),S75)</f>
        <v/>
      </c>
      <c r="AE75">
        <f>IF(AC75&gt;0,AC75*Z75-AC75*AD75,0)</f>
        <v/>
      </c>
      <c r="AF75">
        <f>IF(AC75&gt;0,IF(D75="深港",AE75*AA75,AE75),0)</f>
        <v/>
      </c>
      <c r="AG75">
        <f>SUMIFS($H$2:H74,$D$2:D74,D75,$E$2:E74,E75,$G$2:G74,"买入")</f>
        <v/>
      </c>
      <c r="AH75">
        <f>SUMIFS($K$2:K74,$D$2:D74,D75,$E$2:E74,E75,$G$2:G74,"买入")</f>
        <v/>
      </c>
      <c r="AI75">
        <f>IF(AG75&gt;0,AH75/AG75,"")</f>
        <v/>
      </c>
      <c r="AJ75">
        <f>IF(G75="卖出",IF(AI75="","",(L75-AI75)*H75),0)</f>
        <v/>
      </c>
      <c r="AK75">
        <f>IF(G75="卖出",AJ75-T75,"")</f>
        <v/>
      </c>
      <c r="AL75">
        <f>IF(G75="卖出","(L75-AI75)×H75 = ("&amp;TEXT(L75,"0.######")&amp;"-"&amp;TEXT(AI75,"0.######")&amp;")×"&amp;H75,"")</f>
        <v/>
      </c>
    </row>
    <row r="76">
      <c r="A76">
        <f>IF('交易流水'!A36&lt;&gt;"","流水","")</f>
        <v/>
      </c>
      <c r="B76">
        <f>'交易流水'!B36</f>
        <v/>
      </c>
      <c r="C76">
        <f>'交易流水'!X36</f>
        <v/>
      </c>
      <c r="D76">
        <f>IF(ISNUMBER(SEARCH("深港",C76)),"深港",IF(ISNUMBER(SEARCH("场内",C76)),"场内","其他"))</f>
        <v/>
      </c>
      <c r="E76">
        <f>'交易流水'!F36</f>
        <v/>
      </c>
      <c r="F76">
        <f>'交易流水'!G36</f>
        <v/>
      </c>
      <c r="G76">
        <f>'交易流水'!H36</f>
        <v/>
      </c>
      <c r="H76">
        <f>'交易流水'!K36</f>
        <v/>
      </c>
      <c r="I76">
        <f>'交易流水'!P36</f>
        <v/>
      </c>
      <c r="J76">
        <f>'交易流水'!L36</f>
        <v/>
      </c>
      <c r="K76">
        <f>'交易流水'!AR36</f>
        <v/>
      </c>
      <c r="L76">
        <f>IF(H76&gt;0,K76/H76,"")</f>
        <v/>
      </c>
      <c r="M76">
        <f>IF(G76="买入",H76,0)</f>
        <v/>
      </c>
      <c r="N76">
        <f>IF(G76="买入",K76,0)</f>
        <v/>
      </c>
      <c r="O76">
        <f>IF(G76="卖出",H76,0)</f>
        <v/>
      </c>
      <c r="P76">
        <f>IF(G76="卖出",K76,0)</f>
        <v/>
      </c>
      <c r="Q76">
        <f>SUMIFS($H$2:H75,$A$2:A75,"流水",$D$2:D75,D76,$E$2:E75,E76,$G$2:G75,"买入")</f>
        <v/>
      </c>
      <c r="R76">
        <f>SUMIFS($K$2:K75,$A$2:A75,"流水",$D$2:D75,D76,$E$2:E75,E76,$G$2:G75,"买入")</f>
        <v/>
      </c>
      <c r="S76">
        <f>IF(Q76&gt;0,R76/Q76,"")</f>
        <v/>
      </c>
      <c r="T76">
        <f>IF(G76="卖出",IF(S76="","",(L76-S76)*H76),0)</f>
        <v/>
      </c>
      <c r="U76" t="n">
        <v>0</v>
      </c>
      <c r="V76">
        <f>IF(AND(J76&gt;0,D76="深港"),K76/J76,"")</f>
        <v/>
      </c>
      <c r="W76">
        <f>IF(G76="卖出","(L76-S76)×H76 = ("&amp;TEXT(L76,"0.######")&amp;"-"&amp;TEXT(S76,"0.######")&amp;")×"&amp;H76,"")</f>
        <v/>
      </c>
      <c r="Y76">
        <f>IF(E76="","",IF(D76="深港",TEXT(--E76,"0000")&amp;".HK",IF(--E76&gt;=600000,TEXT(--E76,"000000")&amp;".SH",TEXT(--E76,"000000")&amp;".SZ")))</f>
        <v/>
      </c>
      <c r="Z76">
        <f>IF(Y76="","",IFERROR(INDEX('估值日行情'!$C$3:$C$61,MATCH(Y76,'估值日行情'!$A$3:$A$61,0)),""))</f>
        <v/>
      </c>
      <c r="AA76">
        <f>IF(D76="深港",IFERROR('FX_RATES_TO_CNY_HIST'!$B$3,""),1)</f>
        <v/>
      </c>
      <c r="AB76">
        <f>IF(Z76&lt;&gt;"",Z76*AA76,"")</f>
        <v/>
      </c>
      <c r="AC76">
        <f>SUMIFS($H$2:H76,$D$2:D76,D76,$E$2:E76,E76,$G$2:G76,"买入")-SUMIFS($H$2:H76,$D$2:D76,D76,$E$2:E76,E76,$G$2:G76,"卖出")</f>
        <v/>
      </c>
      <c r="AD76">
        <f>IF(D76="深港",IF(Q76&gt;0,SUMIFS($J$2:J75,$D$2:D75,D76,$E$2:E75,E76,$G$2:G75,"买入")/SUMIFS($H$2:H75,$D$2:D75,D76,$E$2:E75,E76,$G$2:G75,"买入"),""),S76)</f>
        <v/>
      </c>
      <c r="AE76">
        <f>IF(AC76&gt;0,AC76*Z76-AC76*AD76,0)</f>
        <v/>
      </c>
      <c r="AF76">
        <f>IF(AC76&gt;0,IF(D76="深港",AE76*AA76,AE76),0)</f>
        <v/>
      </c>
      <c r="AG76">
        <f>SUMIFS($H$2:H75,$D$2:D75,D76,$E$2:E75,E76,$G$2:G75,"买入")</f>
        <v/>
      </c>
      <c r="AH76">
        <f>SUMIFS($K$2:K75,$D$2:D75,D76,$E$2:E75,E76,$G$2:G75,"买入")</f>
        <v/>
      </c>
      <c r="AI76">
        <f>IF(AG76&gt;0,AH76/AG76,"")</f>
        <v/>
      </c>
      <c r="AJ76">
        <f>IF(G76="卖出",IF(AI76="","",(L76-AI76)*H76),0)</f>
        <v/>
      </c>
      <c r="AK76">
        <f>IF(G76="卖出",AJ76-T76,"")</f>
        <v/>
      </c>
      <c r="AL76">
        <f>IF(G76="卖出","(L76-AI76)×H76 = ("&amp;TEXT(L76,"0.######")&amp;"-"&amp;TEXT(AI76,"0.######")&amp;")×"&amp;H76,"")</f>
        <v/>
      </c>
    </row>
    <row r="77">
      <c r="A77">
        <f>IF('交易流水'!A37&lt;&gt;"","流水","")</f>
        <v/>
      </c>
      <c r="B77">
        <f>'交易流水'!B37</f>
        <v/>
      </c>
      <c r="C77">
        <f>'交易流水'!X37</f>
        <v/>
      </c>
      <c r="D77">
        <f>IF(ISNUMBER(SEARCH("深港",C77)),"深港",IF(ISNUMBER(SEARCH("场内",C77)),"场内","其他"))</f>
        <v/>
      </c>
      <c r="E77">
        <f>'交易流水'!F37</f>
        <v/>
      </c>
      <c r="F77">
        <f>'交易流水'!G37</f>
        <v/>
      </c>
      <c r="G77">
        <f>'交易流水'!H37</f>
        <v/>
      </c>
      <c r="H77">
        <f>'交易流水'!K37</f>
        <v/>
      </c>
      <c r="I77">
        <f>'交易流水'!P37</f>
        <v/>
      </c>
      <c r="J77">
        <f>'交易流水'!L37</f>
        <v/>
      </c>
      <c r="K77">
        <f>'交易流水'!AR37</f>
        <v/>
      </c>
      <c r="L77">
        <f>IF(H77&gt;0,K77/H77,"")</f>
        <v/>
      </c>
      <c r="M77">
        <f>IF(G77="买入",H77,0)</f>
        <v/>
      </c>
      <c r="N77">
        <f>IF(G77="买入",K77,0)</f>
        <v/>
      </c>
      <c r="O77">
        <f>IF(G77="卖出",H77,0)</f>
        <v/>
      </c>
      <c r="P77">
        <f>IF(G77="卖出",K77,0)</f>
        <v/>
      </c>
      <c r="Q77">
        <f>SUMIFS($H$2:H76,$A$2:A76,"流水",$D$2:D76,D77,$E$2:E76,E77,$G$2:G76,"买入")</f>
        <v/>
      </c>
      <c r="R77">
        <f>SUMIFS($K$2:K76,$A$2:A76,"流水",$D$2:D76,D77,$E$2:E76,E77,$G$2:G76,"买入")</f>
        <v/>
      </c>
      <c r="S77">
        <f>IF(Q77&gt;0,R77/Q77,"")</f>
        <v/>
      </c>
      <c r="T77">
        <f>IF(G77="卖出",IF(S77="","",(L77-S77)*H77),0)</f>
        <v/>
      </c>
      <c r="U77" t="n">
        <v>-149358.35</v>
      </c>
      <c r="V77">
        <f>IF(AND(J77&gt;0,D77="深港"),K77/J77,"")</f>
        <v/>
      </c>
      <c r="W77">
        <f>IF(G77="卖出","(L77-S77)×H77 = ("&amp;TEXT(L77,"0.######")&amp;"-"&amp;TEXT(S77,"0.######")&amp;")×"&amp;H77,"")</f>
        <v/>
      </c>
      <c r="X77" t="inlineStr">
        <is>
          <t>(L77-L25)×200000=(15.950670-16.697462)×200000=-149358.35 → -149358.35</t>
        </is>
      </c>
      <c r="Y77">
        <f>IF(E77="","",IF(D77="深港",TEXT(--E77,"0000")&amp;".HK",IF(--E77&gt;=600000,TEXT(--E77,"000000")&amp;".SH",TEXT(--E77,"000000")&amp;".SZ")))</f>
        <v/>
      </c>
      <c r="Z77">
        <f>IF(Y77="","",IFERROR(INDEX('估值日行情'!$C$3:$C$61,MATCH(Y77,'估值日行情'!$A$3:$A$61,0)),""))</f>
        <v/>
      </c>
      <c r="AA77">
        <f>IF(D77="深港",IFERROR('FX_RATES_TO_CNY_HIST'!$B$3,""),1)</f>
        <v/>
      </c>
      <c r="AB77">
        <f>IF(Z77&lt;&gt;"",Z77*AA77,"")</f>
        <v/>
      </c>
      <c r="AC77">
        <f>SUMIFS($H$2:H77,$D$2:D77,D77,$E$2:E77,E77,$G$2:G77,"买入")-SUMIFS($H$2:H77,$D$2:D77,D77,$E$2:E77,E77,$G$2:G77,"卖出")</f>
        <v/>
      </c>
      <c r="AD77">
        <f>IF(D77="深港",IF(Q77&gt;0,SUMIFS($J$2:J76,$D$2:D76,D77,$E$2:E76,E77,$G$2:G76,"买入")/SUMIFS($H$2:H76,$D$2:D76,D77,$E$2:E76,E77,$G$2:G76,"买入"),""),S77)</f>
        <v/>
      </c>
      <c r="AE77">
        <f>IF(AC77&gt;0,AC77*Z77-AC77*AD77,0)</f>
        <v/>
      </c>
      <c r="AF77">
        <f>IF(AC77&gt;0,IF(D77="深港",AE77*AA77,AE77),0)</f>
        <v/>
      </c>
      <c r="AG77">
        <f>SUMIFS($H$2:H76,$D$2:D76,D77,$E$2:E76,E77,$G$2:G76,"买入")</f>
        <v/>
      </c>
      <c r="AH77">
        <f>SUMIFS($K$2:K76,$D$2:D76,D77,$E$2:E76,E77,$G$2:G76,"买入")</f>
        <v/>
      </c>
      <c r="AI77">
        <f>IF(AG77&gt;0,AH77/AG77,"")</f>
        <v/>
      </c>
      <c r="AJ77">
        <f>IF(G77="卖出",IF(AI77="","",(L77-AI77)*H77),0)</f>
        <v/>
      </c>
      <c r="AK77">
        <f>IF(G77="卖出",AJ77-T77,"")</f>
        <v/>
      </c>
      <c r="AL77">
        <f>IF(G77="卖出","(L77-AI77)×H77 = ("&amp;TEXT(L77,"0.######")&amp;"-"&amp;TEXT(AI77,"0.######")&amp;")×"&amp;H77,"")</f>
        <v/>
      </c>
    </row>
    <row r="78">
      <c r="A78">
        <f>IF('交易流水'!A38&lt;&gt;"","流水","")</f>
        <v/>
      </c>
      <c r="B78">
        <f>'交易流水'!B38</f>
        <v/>
      </c>
      <c r="C78">
        <f>'交易流水'!X38</f>
        <v/>
      </c>
      <c r="D78">
        <f>IF(ISNUMBER(SEARCH("深港",C78)),"深港",IF(ISNUMBER(SEARCH("场内",C78)),"场内","其他"))</f>
        <v/>
      </c>
      <c r="E78">
        <f>'交易流水'!F38</f>
        <v/>
      </c>
      <c r="F78">
        <f>'交易流水'!G38</f>
        <v/>
      </c>
      <c r="G78">
        <f>'交易流水'!H38</f>
        <v/>
      </c>
      <c r="H78">
        <f>'交易流水'!K38</f>
        <v/>
      </c>
      <c r="I78">
        <f>'交易流水'!P38</f>
        <v/>
      </c>
      <c r="J78">
        <f>'交易流水'!L38</f>
        <v/>
      </c>
      <c r="K78">
        <f>'交易流水'!AR38</f>
        <v/>
      </c>
      <c r="L78">
        <f>IF(H78&gt;0,K78/H78,"")</f>
        <v/>
      </c>
      <c r="M78">
        <f>IF(G78="买入",H78,0)</f>
        <v/>
      </c>
      <c r="N78">
        <f>IF(G78="买入",K78,0)</f>
        <v/>
      </c>
      <c r="O78">
        <f>IF(G78="卖出",H78,0)</f>
        <v/>
      </c>
      <c r="P78">
        <f>IF(G78="卖出",K78,0)</f>
        <v/>
      </c>
      <c r="Q78">
        <f>SUMIFS($H$2:H77,$A$2:A77,"流水",$D$2:D77,D78,$E$2:E77,E78,$G$2:G77,"买入")</f>
        <v/>
      </c>
      <c r="R78">
        <f>SUMIFS($K$2:K77,$A$2:A77,"流水",$D$2:D77,D78,$E$2:E77,E78,$G$2:G77,"买入")</f>
        <v/>
      </c>
      <c r="S78">
        <f>IF(Q78&gt;0,R78/Q78,"")</f>
        <v/>
      </c>
      <c r="T78">
        <f>IF(G78="卖出",IF(S78="","",(L78-S78)*H78),0)</f>
        <v/>
      </c>
      <c r="U78" t="n">
        <v>0</v>
      </c>
      <c r="V78">
        <f>IF(AND(J78&gt;0,D78="深港"),K78/J78,"")</f>
        <v/>
      </c>
      <c r="W78">
        <f>IF(G78="卖出","(L78-S78)×H78 = ("&amp;TEXT(L78,"0.######")&amp;"-"&amp;TEXT(S78,"0.######")&amp;")×"&amp;H78,"")</f>
        <v/>
      </c>
      <c r="Y78">
        <f>IF(E78="","",IF(D78="深港",TEXT(--E78,"0000")&amp;".HK",IF(--E78&gt;=600000,TEXT(--E78,"000000")&amp;".SH",TEXT(--E78,"000000")&amp;".SZ")))</f>
        <v/>
      </c>
      <c r="Z78">
        <f>IF(Y78="","",IFERROR(INDEX('估值日行情'!$C$3:$C$61,MATCH(Y78,'估值日行情'!$A$3:$A$61,0)),""))</f>
        <v/>
      </c>
      <c r="AA78">
        <f>IF(D78="深港",IFERROR('FX_RATES_TO_CNY_HIST'!$B$3,""),1)</f>
        <v/>
      </c>
      <c r="AB78">
        <f>IF(Z78&lt;&gt;"",Z78*AA78,"")</f>
        <v/>
      </c>
      <c r="AC78">
        <f>SUMIFS($H$2:H78,$D$2:D78,D78,$E$2:E78,E78,$G$2:G78,"买入")-SUMIFS($H$2:H78,$D$2:D78,D78,$E$2:E78,E78,$G$2:G78,"卖出")</f>
        <v/>
      </c>
      <c r="AD78">
        <f>IF(D78="深港",IF(Q78&gt;0,SUMIFS($J$2:J77,$D$2:D77,D78,$E$2:E77,E78,$G$2:G77,"买入")/SUMIFS($H$2:H77,$D$2:D77,D78,$E$2:E77,E78,$G$2:G77,"买入"),""),S78)</f>
        <v/>
      </c>
      <c r="AE78">
        <f>IF(AC78&gt;0,AC78*Z78-AC78*AD78,0)</f>
        <v/>
      </c>
      <c r="AF78">
        <f>IF(AC78&gt;0,IF(D78="深港",AE78*AA78,AE78),0)</f>
        <v/>
      </c>
      <c r="AG78">
        <f>SUMIFS($H$2:H77,$D$2:D77,D78,$E$2:E77,E78,$G$2:G77,"买入")</f>
        <v/>
      </c>
      <c r="AH78">
        <f>SUMIFS($K$2:K77,$D$2:D77,D78,$E$2:E77,E78,$G$2:G77,"买入")</f>
        <v/>
      </c>
      <c r="AI78">
        <f>IF(AG78&gt;0,AH78/AG78,"")</f>
        <v/>
      </c>
      <c r="AJ78">
        <f>IF(G78="卖出",IF(AI78="","",(L78-AI78)*H78),0)</f>
        <v/>
      </c>
      <c r="AK78">
        <f>IF(G78="卖出",AJ78-T78,"")</f>
        <v/>
      </c>
      <c r="AL78">
        <f>IF(G78="卖出","(L78-AI78)×H78 = ("&amp;TEXT(L78,"0.######")&amp;"-"&amp;TEXT(AI78,"0.######")&amp;")×"&amp;H78,"")</f>
        <v/>
      </c>
    </row>
    <row r="79">
      <c r="A79">
        <f>IF('交易流水'!A39&lt;&gt;"","流水","")</f>
        <v/>
      </c>
      <c r="B79">
        <f>'交易流水'!B39</f>
        <v/>
      </c>
      <c r="C79">
        <f>'交易流水'!X39</f>
        <v/>
      </c>
      <c r="D79">
        <f>IF(ISNUMBER(SEARCH("深港",C79)),"深港",IF(ISNUMBER(SEARCH("场内",C79)),"场内","其他"))</f>
        <v/>
      </c>
      <c r="E79">
        <f>'交易流水'!F39</f>
        <v/>
      </c>
      <c r="F79">
        <f>'交易流水'!G39</f>
        <v/>
      </c>
      <c r="G79">
        <f>'交易流水'!H39</f>
        <v/>
      </c>
      <c r="H79">
        <f>'交易流水'!K39</f>
        <v/>
      </c>
      <c r="I79">
        <f>'交易流水'!P39</f>
        <v/>
      </c>
      <c r="J79">
        <f>'交易流水'!L39</f>
        <v/>
      </c>
      <c r="K79">
        <f>'交易流水'!AR39</f>
        <v/>
      </c>
      <c r="L79">
        <f>IF(H79&gt;0,K79/H79,"")</f>
        <v/>
      </c>
      <c r="M79">
        <f>IF(G79="买入",H79,0)</f>
        <v/>
      </c>
      <c r="N79">
        <f>IF(G79="买入",K79,0)</f>
        <v/>
      </c>
      <c r="O79">
        <f>IF(G79="卖出",H79,0)</f>
        <v/>
      </c>
      <c r="P79">
        <f>IF(G79="卖出",K79,0)</f>
        <v/>
      </c>
      <c r="Q79">
        <f>SUMIFS($H$2:H78,$A$2:A78,"流水",$D$2:D78,D79,$E$2:E78,E79,$G$2:G78,"买入")</f>
        <v/>
      </c>
      <c r="R79">
        <f>SUMIFS($K$2:K78,$A$2:A78,"流水",$D$2:D78,D79,$E$2:E78,E79,$G$2:G78,"买入")</f>
        <v/>
      </c>
      <c r="S79">
        <f>IF(Q79&gt;0,R79/Q79,"")</f>
        <v/>
      </c>
      <c r="T79">
        <f>IF(G79="卖出",IF(S79="","",(L79-S79)*H79),0)</f>
        <v/>
      </c>
      <c r="U79" t="n">
        <v>0</v>
      </c>
      <c r="V79">
        <f>IF(AND(J79&gt;0,D79="深港"),K79/J79,"")</f>
        <v/>
      </c>
      <c r="W79">
        <f>IF(G79="卖出","(L79-S79)×H79 = ("&amp;TEXT(L79,"0.######")&amp;"-"&amp;TEXT(S79,"0.######")&amp;")×"&amp;H79,"")</f>
        <v/>
      </c>
      <c r="Y79">
        <f>IF(E79="","",IF(D79="深港",TEXT(--E79,"0000")&amp;".HK",IF(--E79&gt;=600000,TEXT(--E79,"000000")&amp;".SH",TEXT(--E79,"000000")&amp;".SZ")))</f>
        <v/>
      </c>
      <c r="Z79">
        <f>IF(Y79="","",IFERROR(INDEX('估值日行情'!$C$3:$C$61,MATCH(Y79,'估值日行情'!$A$3:$A$61,0)),""))</f>
        <v/>
      </c>
      <c r="AA79">
        <f>IF(D79="深港",IFERROR('FX_RATES_TO_CNY_HIST'!$B$3,""),1)</f>
        <v/>
      </c>
      <c r="AB79">
        <f>IF(Z79&lt;&gt;"",Z79*AA79,"")</f>
        <v/>
      </c>
      <c r="AC79">
        <f>SUMIFS($H$2:H79,$D$2:D79,D79,$E$2:E79,E79,$G$2:G79,"买入")-SUMIFS($H$2:H79,$D$2:D79,D79,$E$2:E79,E79,$G$2:G79,"卖出")</f>
        <v/>
      </c>
      <c r="AD79">
        <f>IF(D79="深港",IF(Q79&gt;0,SUMIFS($J$2:J78,$D$2:D78,D79,$E$2:E78,E79,$G$2:G78,"买入")/SUMIFS($H$2:H78,$D$2:D78,D79,$E$2:E78,E79,$G$2:G78,"买入"),""),S79)</f>
        <v/>
      </c>
      <c r="AE79">
        <f>IF(AC79&gt;0,AC79*Z79-AC79*AD79,0)</f>
        <v/>
      </c>
      <c r="AF79">
        <f>IF(AC79&gt;0,IF(D79="深港",AE79*AA79,AE79),0)</f>
        <v/>
      </c>
      <c r="AG79">
        <f>SUMIFS($H$2:H78,$D$2:D78,D79,$E$2:E78,E79,$G$2:G78,"买入")</f>
        <v/>
      </c>
      <c r="AH79">
        <f>SUMIFS($K$2:K78,$D$2:D78,D79,$E$2:E78,E79,$G$2:G78,"买入")</f>
        <v/>
      </c>
      <c r="AI79">
        <f>IF(AG79&gt;0,AH79/AG79,"")</f>
        <v/>
      </c>
      <c r="AJ79">
        <f>IF(G79="卖出",IF(AI79="","",(L79-AI79)*H79),0)</f>
        <v/>
      </c>
      <c r="AK79">
        <f>IF(G79="卖出",AJ79-T79,"")</f>
        <v/>
      </c>
      <c r="AL79">
        <f>IF(G79="卖出","(L79-AI79)×H79 = ("&amp;TEXT(L79,"0.######")&amp;"-"&amp;TEXT(AI79,"0.######")&amp;")×"&amp;H79,"")</f>
        <v/>
      </c>
    </row>
    <row r="80">
      <c r="A80">
        <f>IF('交易流水'!A40&lt;&gt;"","流水","")</f>
        <v/>
      </c>
      <c r="B80">
        <f>'交易流水'!B40</f>
        <v/>
      </c>
      <c r="C80">
        <f>'交易流水'!X40</f>
        <v/>
      </c>
      <c r="D80">
        <f>IF(ISNUMBER(SEARCH("深港",C80)),"深港",IF(ISNUMBER(SEARCH("场内",C80)),"场内","其他"))</f>
        <v/>
      </c>
      <c r="E80">
        <f>'交易流水'!F40</f>
        <v/>
      </c>
      <c r="F80">
        <f>'交易流水'!G40</f>
        <v/>
      </c>
      <c r="G80">
        <f>'交易流水'!H40</f>
        <v/>
      </c>
      <c r="H80">
        <f>'交易流水'!K40</f>
        <v/>
      </c>
      <c r="I80">
        <f>'交易流水'!P40</f>
        <v/>
      </c>
      <c r="J80">
        <f>'交易流水'!L40</f>
        <v/>
      </c>
      <c r="K80">
        <f>'交易流水'!AR40</f>
        <v/>
      </c>
      <c r="L80">
        <f>IF(H80&gt;0,K80/H80,"")</f>
        <v/>
      </c>
      <c r="M80">
        <f>IF(G80="买入",H80,0)</f>
        <v/>
      </c>
      <c r="N80">
        <f>IF(G80="买入",K80,0)</f>
        <v/>
      </c>
      <c r="O80">
        <f>IF(G80="卖出",H80,0)</f>
        <v/>
      </c>
      <c r="P80">
        <f>IF(G80="卖出",K80,0)</f>
        <v/>
      </c>
      <c r="Q80">
        <f>SUMIFS($H$2:H79,$A$2:A79,"流水",$D$2:D79,D80,$E$2:E79,E80,$G$2:G79,"买入")</f>
        <v/>
      </c>
      <c r="R80">
        <f>SUMIFS($K$2:K79,$A$2:A79,"流水",$D$2:D79,D80,$E$2:E79,E80,$G$2:G79,"买入")</f>
        <v/>
      </c>
      <c r="S80">
        <f>IF(Q80&gt;0,R80/Q80,"")</f>
        <v/>
      </c>
      <c r="T80">
        <f>IF(G80="卖出",IF(S80="","",(L80-S80)*H80),0)</f>
        <v/>
      </c>
      <c r="U80" t="n">
        <v>-512420.91</v>
      </c>
      <c r="V80">
        <f>IF(AND(J80&gt;0,D80="深港"),K80/J80,"")</f>
        <v/>
      </c>
      <c r="W80">
        <f>IF(G80="卖出","(L80-S80)×H80 = ("&amp;TEXT(L80,"0.######")&amp;"-"&amp;TEXT(S80,"0.######")&amp;")×"&amp;H80,"")</f>
        <v/>
      </c>
      <c r="X80" t="inlineStr">
        <is>
          <t>(L80-L30)×1500000=(3.710005-4.051619)×1500000=-512420.91 → -512420.91</t>
        </is>
      </c>
      <c r="Y80">
        <f>IF(E80="","",IF(D80="深港",TEXT(--E80,"0000")&amp;".HK",IF(--E80&gt;=600000,TEXT(--E80,"000000")&amp;".SH",TEXT(--E80,"000000")&amp;".SZ")))</f>
        <v/>
      </c>
      <c r="Z80">
        <f>IF(Y80="","",IFERROR(INDEX('估值日行情'!$C$3:$C$61,MATCH(Y80,'估值日行情'!$A$3:$A$61,0)),""))</f>
        <v/>
      </c>
      <c r="AA80">
        <f>IF(D80="深港",IFERROR('FX_RATES_TO_CNY_HIST'!$B$3,""),1)</f>
        <v/>
      </c>
      <c r="AB80">
        <f>IF(Z80&lt;&gt;"",Z80*AA80,"")</f>
        <v/>
      </c>
      <c r="AC80">
        <f>SUMIFS($H$2:H80,$D$2:D80,D80,$E$2:E80,E80,$G$2:G80,"买入")-SUMIFS($H$2:H80,$D$2:D80,D80,$E$2:E80,E80,$G$2:G80,"卖出")</f>
        <v/>
      </c>
      <c r="AD80">
        <f>IF(D80="深港",IF(Q80&gt;0,SUMIFS($J$2:J79,$D$2:D79,D80,$E$2:E79,E80,$G$2:G79,"买入")/SUMIFS($H$2:H79,$D$2:D79,D80,$E$2:E79,E80,$G$2:G79,"买入"),""),S80)</f>
        <v/>
      </c>
      <c r="AE80">
        <f>IF(AC80&gt;0,AC80*Z80-AC80*AD80,0)</f>
        <v/>
      </c>
      <c r="AF80">
        <f>IF(AC80&gt;0,IF(D80="深港",AE80*AA80,AE80),0)</f>
        <v/>
      </c>
      <c r="AG80">
        <f>SUMIFS($H$2:H79,$D$2:D79,D80,$E$2:E79,E80,$G$2:G79,"买入")</f>
        <v/>
      </c>
      <c r="AH80">
        <f>SUMIFS($K$2:K79,$D$2:D79,D80,$E$2:E79,E80,$G$2:G79,"买入")</f>
        <v/>
      </c>
      <c r="AI80">
        <f>IF(AG80&gt;0,AH80/AG80,"")</f>
        <v/>
      </c>
      <c r="AJ80">
        <f>IF(G80="卖出",IF(AI80="","",(L80-AI80)*H80),0)</f>
        <v/>
      </c>
      <c r="AK80">
        <f>IF(G80="卖出",AJ80-T80,"")</f>
        <v/>
      </c>
      <c r="AL80">
        <f>IF(G80="卖出","(L80-AI80)×H80 = ("&amp;TEXT(L80,"0.######")&amp;"-"&amp;TEXT(AI80,"0.######")&amp;")×"&amp;H80,"")</f>
        <v/>
      </c>
    </row>
    <row r="81">
      <c r="A81">
        <f>IF('交易流水'!A41&lt;&gt;"","流水","")</f>
        <v/>
      </c>
      <c r="B81">
        <f>'交易流水'!B41</f>
        <v/>
      </c>
      <c r="C81">
        <f>'交易流水'!X41</f>
        <v/>
      </c>
      <c r="D81">
        <f>IF(ISNUMBER(SEARCH("深港",C81)),"深港",IF(ISNUMBER(SEARCH("场内",C81)),"场内","其他"))</f>
        <v/>
      </c>
      <c r="E81">
        <f>'交易流水'!F41</f>
        <v/>
      </c>
      <c r="F81">
        <f>'交易流水'!G41</f>
        <v/>
      </c>
      <c r="G81">
        <f>'交易流水'!H41</f>
        <v/>
      </c>
      <c r="H81">
        <f>'交易流水'!K41</f>
        <v/>
      </c>
      <c r="I81">
        <f>'交易流水'!P41</f>
        <v/>
      </c>
      <c r="J81">
        <f>'交易流水'!L41</f>
        <v/>
      </c>
      <c r="K81">
        <f>'交易流水'!AR41</f>
        <v/>
      </c>
      <c r="L81">
        <f>IF(H81&gt;0,K81/H81,"")</f>
        <v/>
      </c>
      <c r="M81">
        <f>IF(G81="买入",H81,0)</f>
        <v/>
      </c>
      <c r="N81">
        <f>IF(G81="买入",K81,0)</f>
        <v/>
      </c>
      <c r="O81">
        <f>IF(G81="卖出",H81,0)</f>
        <v/>
      </c>
      <c r="P81">
        <f>IF(G81="卖出",K81,0)</f>
        <v/>
      </c>
      <c r="Q81">
        <f>SUMIFS($H$2:H80,$A$2:A80,"流水",$D$2:D80,D81,$E$2:E80,E81,$G$2:G80,"买入")</f>
        <v/>
      </c>
      <c r="R81">
        <f>SUMIFS($K$2:K80,$A$2:A80,"流水",$D$2:D80,D81,$E$2:E80,E81,$G$2:G80,"买入")</f>
        <v/>
      </c>
      <c r="S81">
        <f>IF(Q81&gt;0,R81/Q81,"")</f>
        <v/>
      </c>
      <c r="T81">
        <f>IF(G81="卖出",IF(S81="","",(L81-S81)*H81),0)</f>
        <v/>
      </c>
      <c r="U81" t="n">
        <v>0</v>
      </c>
      <c r="V81">
        <f>IF(AND(J81&gt;0,D81="深港"),K81/J81,"")</f>
        <v/>
      </c>
      <c r="W81">
        <f>IF(G81="卖出","(L81-S81)×H81 = ("&amp;TEXT(L81,"0.######")&amp;"-"&amp;TEXT(S81,"0.######")&amp;")×"&amp;H81,"")</f>
        <v/>
      </c>
      <c r="Y81">
        <f>IF(E81="","",IF(D81="深港",TEXT(--E81,"0000")&amp;".HK",IF(--E81&gt;=600000,TEXT(--E81,"000000")&amp;".SH",TEXT(--E81,"000000")&amp;".SZ")))</f>
        <v/>
      </c>
      <c r="Z81">
        <f>IF(Y81="","",IFERROR(INDEX('估值日行情'!$C$3:$C$61,MATCH(Y81,'估值日行情'!$A$3:$A$61,0)),""))</f>
        <v/>
      </c>
      <c r="AA81">
        <f>IF(D81="深港",IFERROR('FX_RATES_TO_CNY_HIST'!$B$3,""),1)</f>
        <v/>
      </c>
      <c r="AB81">
        <f>IF(Z81&lt;&gt;"",Z81*AA81,"")</f>
        <v/>
      </c>
      <c r="AC81">
        <f>SUMIFS($H$2:H81,$D$2:D81,D81,$E$2:E81,E81,$G$2:G81,"买入")-SUMIFS($H$2:H81,$D$2:D81,D81,$E$2:E81,E81,$G$2:G81,"卖出")</f>
        <v/>
      </c>
      <c r="AD81">
        <f>IF(D81="深港",IF(Q81&gt;0,SUMIFS($J$2:J80,$D$2:D80,D81,$E$2:E80,E81,$G$2:G80,"买入")/SUMIFS($H$2:H80,$D$2:D80,D81,$E$2:E80,E81,$G$2:G80,"买入"),""),S81)</f>
        <v/>
      </c>
      <c r="AE81">
        <f>IF(AC81&gt;0,AC81*Z81-AC81*AD81,0)</f>
        <v/>
      </c>
      <c r="AF81">
        <f>IF(AC81&gt;0,IF(D81="深港",AE81*AA81,AE81),0)</f>
        <v/>
      </c>
      <c r="AG81">
        <f>SUMIFS($H$2:H80,$D$2:D80,D81,$E$2:E80,E81,$G$2:G80,"买入")</f>
        <v/>
      </c>
      <c r="AH81">
        <f>SUMIFS($K$2:K80,$D$2:D80,D81,$E$2:E80,E81,$G$2:G80,"买入")</f>
        <v/>
      </c>
      <c r="AI81">
        <f>IF(AG81&gt;0,AH81/AG81,"")</f>
        <v/>
      </c>
      <c r="AJ81">
        <f>IF(G81="卖出",IF(AI81="","",(L81-AI81)*H81),0)</f>
        <v/>
      </c>
      <c r="AK81">
        <f>IF(G81="卖出",AJ81-T81,"")</f>
        <v/>
      </c>
      <c r="AL81">
        <f>IF(G81="卖出","(L81-AI81)×H81 = ("&amp;TEXT(L81,"0.######")&amp;"-"&amp;TEXT(AI81,"0.######")&amp;")×"&amp;H81,"")</f>
        <v/>
      </c>
    </row>
    <row r="82">
      <c r="A82">
        <f>IF('交易流水'!A42&lt;&gt;"","流水","")</f>
        <v/>
      </c>
      <c r="B82">
        <f>'交易流水'!B42</f>
        <v/>
      </c>
      <c r="C82">
        <f>'交易流水'!X42</f>
        <v/>
      </c>
      <c r="D82">
        <f>IF(ISNUMBER(SEARCH("深港",C82)),"深港",IF(ISNUMBER(SEARCH("场内",C82)),"场内","其他"))</f>
        <v/>
      </c>
      <c r="E82">
        <f>'交易流水'!F42</f>
        <v/>
      </c>
      <c r="F82">
        <f>'交易流水'!G42</f>
        <v/>
      </c>
      <c r="G82">
        <f>'交易流水'!H42</f>
        <v/>
      </c>
      <c r="H82">
        <f>'交易流水'!K42</f>
        <v/>
      </c>
      <c r="I82">
        <f>'交易流水'!P42</f>
        <v/>
      </c>
      <c r="J82">
        <f>'交易流水'!L42</f>
        <v/>
      </c>
      <c r="K82">
        <f>'交易流水'!AR42</f>
        <v/>
      </c>
      <c r="L82">
        <f>IF(H82&gt;0,K82/H82,"")</f>
        <v/>
      </c>
      <c r="M82">
        <f>IF(G82="买入",H82,0)</f>
        <v/>
      </c>
      <c r="N82">
        <f>IF(G82="买入",K82,0)</f>
        <v/>
      </c>
      <c r="O82">
        <f>IF(G82="卖出",H82,0)</f>
        <v/>
      </c>
      <c r="P82">
        <f>IF(G82="卖出",K82,0)</f>
        <v/>
      </c>
      <c r="Q82">
        <f>SUMIFS($H$2:H81,$A$2:A81,"流水",$D$2:D81,D82,$E$2:E81,E82,$G$2:G81,"买入")</f>
        <v/>
      </c>
      <c r="R82">
        <f>SUMIFS($K$2:K81,$A$2:A81,"流水",$D$2:D81,D82,$E$2:E81,E82,$G$2:G81,"买入")</f>
        <v/>
      </c>
      <c r="S82">
        <f>IF(Q82&gt;0,R82/Q82,"")</f>
        <v/>
      </c>
      <c r="T82">
        <f>IF(G82="卖出",IF(S82="","",(L82-S82)*H82),0)</f>
        <v/>
      </c>
      <c r="U82" t="n">
        <v>0</v>
      </c>
      <c r="V82">
        <f>IF(AND(J82&gt;0,D82="深港"),K82/J82,"")</f>
        <v/>
      </c>
      <c r="W82">
        <f>IF(G82="卖出","(L82-S82)×H82 = ("&amp;TEXT(L82,"0.######")&amp;"-"&amp;TEXT(S82,"0.######")&amp;")×"&amp;H82,"")</f>
        <v/>
      </c>
      <c r="Y82">
        <f>IF(E82="","",IF(D82="深港",TEXT(--E82,"0000")&amp;".HK",IF(--E82&gt;=600000,TEXT(--E82,"000000")&amp;".SH",TEXT(--E82,"000000")&amp;".SZ")))</f>
        <v/>
      </c>
      <c r="Z82">
        <f>IF(Y82="","",IFERROR(INDEX('估值日行情'!$C$3:$C$61,MATCH(Y82,'估值日行情'!$A$3:$A$61,0)),""))</f>
        <v/>
      </c>
      <c r="AA82">
        <f>IF(D82="深港",IFERROR('FX_RATES_TO_CNY_HIST'!$B$3,""),1)</f>
        <v/>
      </c>
      <c r="AB82">
        <f>IF(Z82&lt;&gt;"",Z82*AA82,"")</f>
        <v/>
      </c>
      <c r="AC82">
        <f>SUMIFS($H$2:H82,$D$2:D82,D82,$E$2:E82,E82,$G$2:G82,"买入")-SUMIFS($H$2:H82,$D$2:D82,D82,$E$2:E82,E82,$G$2:G82,"卖出")</f>
        <v/>
      </c>
      <c r="AD82">
        <f>IF(D82="深港",IF(Q82&gt;0,SUMIFS($J$2:J81,$D$2:D81,D82,$E$2:E81,E82,$G$2:G81,"买入")/SUMIFS($H$2:H81,$D$2:D81,D82,$E$2:E81,E82,$G$2:G81,"买入"),""),S82)</f>
        <v/>
      </c>
      <c r="AE82">
        <f>IF(AC82&gt;0,AC82*Z82-AC82*AD82,0)</f>
        <v/>
      </c>
      <c r="AF82">
        <f>IF(AC82&gt;0,IF(D82="深港",AE82*AA82,AE82),0)</f>
        <v/>
      </c>
      <c r="AG82">
        <f>SUMIFS($H$2:H81,$D$2:D81,D82,$E$2:E81,E82,$G$2:G81,"买入")</f>
        <v/>
      </c>
      <c r="AH82">
        <f>SUMIFS($K$2:K81,$D$2:D81,D82,$E$2:E81,E82,$G$2:G81,"买入")</f>
        <v/>
      </c>
      <c r="AI82">
        <f>IF(AG82&gt;0,AH82/AG82,"")</f>
        <v/>
      </c>
      <c r="AJ82">
        <f>IF(G82="卖出",IF(AI82="","",(L82-AI82)*H82),0)</f>
        <v/>
      </c>
      <c r="AK82">
        <f>IF(G82="卖出",AJ82-T82,"")</f>
        <v/>
      </c>
      <c r="AL82">
        <f>IF(G82="卖出","(L82-AI82)×H82 = ("&amp;TEXT(L82,"0.######")&amp;"-"&amp;TEXT(AI82,"0.######")&amp;")×"&amp;H82,"")</f>
        <v/>
      </c>
    </row>
    <row r="83">
      <c r="A83">
        <f>IF('交易流水'!A43&lt;&gt;"","流水","")</f>
        <v/>
      </c>
      <c r="B83">
        <f>'交易流水'!B43</f>
        <v/>
      </c>
      <c r="C83">
        <f>'交易流水'!X43</f>
        <v/>
      </c>
      <c r="D83">
        <f>IF(ISNUMBER(SEARCH("深港",C83)),"深港",IF(ISNUMBER(SEARCH("场内",C83)),"场内","其他"))</f>
        <v/>
      </c>
      <c r="E83">
        <f>'交易流水'!F43</f>
        <v/>
      </c>
      <c r="F83">
        <f>'交易流水'!G43</f>
        <v/>
      </c>
      <c r="G83">
        <f>'交易流水'!H43</f>
        <v/>
      </c>
      <c r="H83">
        <f>'交易流水'!K43</f>
        <v/>
      </c>
      <c r="I83">
        <f>'交易流水'!P43</f>
        <v/>
      </c>
      <c r="J83">
        <f>'交易流水'!L43</f>
        <v/>
      </c>
      <c r="K83">
        <f>'交易流水'!AR43</f>
        <v/>
      </c>
      <c r="L83">
        <f>IF(H83&gt;0,K83/H83,"")</f>
        <v/>
      </c>
      <c r="M83">
        <f>IF(G83="买入",H83,0)</f>
        <v/>
      </c>
      <c r="N83">
        <f>IF(G83="买入",K83,0)</f>
        <v/>
      </c>
      <c r="O83">
        <f>IF(G83="卖出",H83,0)</f>
        <v/>
      </c>
      <c r="P83">
        <f>IF(G83="卖出",K83,0)</f>
        <v/>
      </c>
      <c r="Q83">
        <f>SUMIFS($H$2:H82,$A$2:A82,"流水",$D$2:D82,D83,$E$2:E82,E83,$G$2:G82,"买入")</f>
        <v/>
      </c>
      <c r="R83">
        <f>SUMIFS($K$2:K82,$A$2:A82,"流水",$D$2:D82,D83,$E$2:E82,E83,$G$2:G82,"买入")</f>
        <v/>
      </c>
      <c r="S83">
        <f>IF(Q83&gt;0,R83/Q83,"")</f>
        <v/>
      </c>
      <c r="T83">
        <f>IF(G83="卖出",IF(S83="","",(L83-S83)*H83),0)</f>
        <v/>
      </c>
      <c r="U83" t="n">
        <v>610170.04</v>
      </c>
      <c r="V83">
        <f>IF(AND(J83&gt;0,D83="深港"),K83/J83,"")</f>
        <v/>
      </c>
      <c r="W83">
        <f>IF(G83="卖出","(L83-S83)×H83 = ("&amp;TEXT(L83,"0.######")&amp;"-"&amp;TEXT(S83,"0.######")&amp;")×"&amp;H83,"")</f>
        <v/>
      </c>
      <c r="X83" t="inlineStr">
        <is>
          <t>(L83-L17)×50000=(81.541950-69.338549)×50000=610170.04 → 610170.04</t>
        </is>
      </c>
      <c r="Y83">
        <f>IF(E83="","",IF(D83="深港",TEXT(--E83,"0000")&amp;".HK",IF(--E83&gt;=600000,TEXT(--E83,"000000")&amp;".SH",TEXT(--E83,"000000")&amp;".SZ")))</f>
        <v/>
      </c>
      <c r="Z83">
        <f>IF(Y83="","",IFERROR(INDEX('估值日行情'!$C$3:$C$61,MATCH(Y83,'估值日行情'!$A$3:$A$61,0)),""))</f>
        <v/>
      </c>
      <c r="AA83">
        <f>IF(D83="深港",IFERROR('FX_RATES_TO_CNY_HIST'!$B$3,""),1)</f>
        <v/>
      </c>
      <c r="AB83">
        <f>IF(Z83&lt;&gt;"",Z83*AA83,"")</f>
        <v/>
      </c>
      <c r="AC83">
        <f>SUMIFS($H$2:H83,$D$2:D83,D83,$E$2:E83,E83,$G$2:G83,"买入")-SUMIFS($H$2:H83,$D$2:D83,D83,$E$2:E83,E83,$G$2:G83,"卖出")</f>
        <v/>
      </c>
      <c r="AD83">
        <f>IF(D83="深港",IF(Q83&gt;0,SUMIFS($J$2:J82,$D$2:D82,D83,$E$2:E82,E83,$G$2:G82,"买入")/SUMIFS($H$2:H82,$D$2:D82,D83,$E$2:E82,E83,$G$2:G82,"买入"),""),S83)</f>
        <v/>
      </c>
      <c r="AE83">
        <f>IF(AC83&gt;0,AC83*Z83-AC83*AD83,0)</f>
        <v/>
      </c>
      <c r="AF83">
        <f>IF(AC83&gt;0,IF(D83="深港",AE83*AA83,AE83),0)</f>
        <v/>
      </c>
      <c r="AG83">
        <f>SUMIFS($H$2:H82,$D$2:D82,D83,$E$2:E82,E83,$G$2:G82,"买入")</f>
        <v/>
      </c>
      <c r="AH83">
        <f>SUMIFS($K$2:K82,$D$2:D82,D83,$E$2:E82,E83,$G$2:G82,"买入")</f>
        <v/>
      </c>
      <c r="AI83">
        <f>IF(AG83&gt;0,AH83/AG83,"")</f>
        <v/>
      </c>
      <c r="AJ83">
        <f>IF(G83="卖出",IF(AI83="","",(L83-AI83)*H83),0)</f>
        <v/>
      </c>
      <c r="AK83">
        <f>IF(G83="卖出",AJ83-T83,"")</f>
        <v/>
      </c>
      <c r="AL83">
        <f>IF(G83="卖出","(L83-AI83)×H83 = ("&amp;TEXT(L83,"0.######")&amp;"-"&amp;TEXT(AI83,"0.######")&amp;")×"&amp;H83,"")</f>
        <v/>
      </c>
    </row>
    <row r="84">
      <c r="A84">
        <f>IF('交易流水'!A44&lt;&gt;"","流水","")</f>
        <v/>
      </c>
      <c r="B84">
        <f>'交易流水'!B44</f>
        <v/>
      </c>
      <c r="C84">
        <f>'交易流水'!X44</f>
        <v/>
      </c>
      <c r="D84">
        <f>IF(ISNUMBER(SEARCH("深港",C84)),"深港",IF(ISNUMBER(SEARCH("场内",C84)),"场内","其他"))</f>
        <v/>
      </c>
      <c r="E84">
        <f>'交易流水'!F44</f>
        <v/>
      </c>
      <c r="F84">
        <f>'交易流水'!G44</f>
        <v/>
      </c>
      <c r="G84">
        <f>'交易流水'!H44</f>
        <v/>
      </c>
      <c r="H84">
        <f>'交易流水'!K44</f>
        <v/>
      </c>
      <c r="I84">
        <f>'交易流水'!P44</f>
        <v/>
      </c>
      <c r="J84">
        <f>'交易流水'!L44</f>
        <v/>
      </c>
      <c r="K84">
        <f>'交易流水'!AR44</f>
        <v/>
      </c>
      <c r="L84">
        <f>IF(H84&gt;0,K84/H84,"")</f>
        <v/>
      </c>
      <c r="M84">
        <f>IF(G84="买入",H84,0)</f>
        <v/>
      </c>
      <c r="N84">
        <f>IF(G84="买入",K84,0)</f>
        <v/>
      </c>
      <c r="O84">
        <f>IF(G84="卖出",H84,0)</f>
        <v/>
      </c>
      <c r="P84">
        <f>IF(G84="卖出",K84,0)</f>
        <v/>
      </c>
      <c r="Q84">
        <f>SUMIFS($H$2:H83,$A$2:A83,"流水",$D$2:D83,D84,$E$2:E83,E84,$G$2:G83,"买入")</f>
        <v/>
      </c>
      <c r="R84">
        <f>SUMIFS($K$2:K83,$A$2:A83,"流水",$D$2:D83,D84,$E$2:E83,E84,$G$2:G83,"买入")</f>
        <v/>
      </c>
      <c r="S84">
        <f>IF(Q84&gt;0,R84/Q84,"")</f>
        <v/>
      </c>
      <c r="T84">
        <f>IF(G84="卖出",IF(S84="","",(L84-S84)*H84),0)</f>
        <v/>
      </c>
      <c r="U84" t="n">
        <v>0</v>
      </c>
      <c r="V84">
        <f>IF(AND(J84&gt;0,D84="深港"),K84/J84,"")</f>
        <v/>
      </c>
      <c r="W84">
        <f>IF(G84="卖出","(L84-S84)×H84 = ("&amp;TEXT(L84,"0.######")&amp;"-"&amp;TEXT(S84,"0.######")&amp;")×"&amp;H84,"")</f>
        <v/>
      </c>
      <c r="Y84">
        <f>IF(E84="","",IF(D84="深港",TEXT(--E84,"0000")&amp;".HK",IF(--E84&gt;=600000,TEXT(--E84,"000000")&amp;".SH",TEXT(--E84,"000000")&amp;".SZ")))</f>
        <v/>
      </c>
      <c r="Z84">
        <f>IF(Y84="","",IFERROR(INDEX('估值日行情'!$C$3:$C$61,MATCH(Y84,'估值日行情'!$A$3:$A$61,0)),""))</f>
        <v/>
      </c>
      <c r="AA84">
        <f>IF(D84="深港",IFERROR('FX_RATES_TO_CNY_HIST'!$B$3,""),1)</f>
        <v/>
      </c>
      <c r="AB84">
        <f>IF(Z84&lt;&gt;"",Z84*AA84,"")</f>
        <v/>
      </c>
      <c r="AC84">
        <f>SUMIFS($H$2:H84,$D$2:D84,D84,$E$2:E84,E84,$G$2:G84,"买入")-SUMIFS($H$2:H84,$D$2:D84,D84,$E$2:E84,E84,$G$2:G84,"卖出")</f>
        <v/>
      </c>
      <c r="AD84">
        <f>IF(D84="深港",IF(Q84&gt;0,SUMIFS($J$2:J83,$D$2:D83,D84,$E$2:E83,E84,$G$2:G83,"买入")/SUMIFS($H$2:H83,$D$2:D83,D84,$E$2:E83,E84,$G$2:G83,"买入"),""),S84)</f>
        <v/>
      </c>
      <c r="AE84">
        <f>IF(AC84&gt;0,AC84*Z84-AC84*AD84,0)</f>
        <v/>
      </c>
      <c r="AF84">
        <f>IF(AC84&gt;0,IF(D84="深港",AE84*AA84,AE84),0)</f>
        <v/>
      </c>
      <c r="AG84">
        <f>SUMIFS($H$2:H83,$D$2:D83,D84,$E$2:E83,E84,$G$2:G83,"买入")</f>
        <v/>
      </c>
      <c r="AH84">
        <f>SUMIFS($K$2:K83,$D$2:D83,D84,$E$2:E83,E84,$G$2:G83,"买入")</f>
        <v/>
      </c>
      <c r="AI84">
        <f>IF(AG84&gt;0,AH84/AG84,"")</f>
        <v/>
      </c>
      <c r="AJ84">
        <f>IF(G84="卖出",IF(AI84="","",(L84-AI84)*H84),0)</f>
        <v/>
      </c>
      <c r="AK84">
        <f>IF(G84="卖出",AJ84-T84,"")</f>
        <v/>
      </c>
      <c r="AL84">
        <f>IF(G84="卖出","(L84-AI84)×H84 = ("&amp;TEXT(L84,"0.######")&amp;"-"&amp;TEXT(AI84,"0.######")&amp;")×"&amp;H84,"")</f>
        <v/>
      </c>
    </row>
    <row r="85">
      <c r="A85">
        <f>IF('交易流水'!A45&lt;&gt;"","流水","")</f>
        <v/>
      </c>
      <c r="B85">
        <f>'交易流水'!B45</f>
        <v/>
      </c>
      <c r="C85">
        <f>'交易流水'!X45</f>
        <v/>
      </c>
      <c r="D85">
        <f>IF(ISNUMBER(SEARCH("深港",C85)),"深港",IF(ISNUMBER(SEARCH("场内",C85)),"场内","其他"))</f>
        <v/>
      </c>
      <c r="E85">
        <f>'交易流水'!F45</f>
        <v/>
      </c>
      <c r="F85">
        <f>'交易流水'!G45</f>
        <v/>
      </c>
      <c r="G85">
        <f>'交易流水'!H45</f>
        <v/>
      </c>
      <c r="H85">
        <f>'交易流水'!K45</f>
        <v/>
      </c>
      <c r="I85">
        <f>'交易流水'!P45</f>
        <v/>
      </c>
      <c r="J85">
        <f>'交易流水'!L45</f>
        <v/>
      </c>
      <c r="K85">
        <f>'交易流水'!AR45</f>
        <v/>
      </c>
      <c r="L85">
        <f>IF(H85&gt;0,K85/H85,"")</f>
        <v/>
      </c>
      <c r="M85">
        <f>IF(G85="买入",H85,0)</f>
        <v/>
      </c>
      <c r="N85">
        <f>IF(G85="买入",K85,0)</f>
        <v/>
      </c>
      <c r="O85">
        <f>IF(G85="卖出",H85,0)</f>
        <v/>
      </c>
      <c r="P85">
        <f>IF(G85="卖出",K85,0)</f>
        <v/>
      </c>
      <c r="Q85">
        <f>SUMIFS($H$2:H84,$A$2:A84,"流水",$D$2:D84,D85,$E$2:E84,E85,$G$2:G84,"买入")</f>
        <v/>
      </c>
      <c r="R85">
        <f>SUMIFS($K$2:K84,$A$2:A84,"流水",$D$2:D84,D85,$E$2:E84,E85,$G$2:G84,"买入")</f>
        <v/>
      </c>
      <c r="S85">
        <f>IF(Q85&gt;0,R85/Q85,"")</f>
        <v/>
      </c>
      <c r="T85">
        <f>IF(G85="卖出",IF(S85="","",(L85-S85)*H85),0)</f>
        <v/>
      </c>
      <c r="U85" t="n">
        <v>185840.56</v>
      </c>
      <c r="V85">
        <f>IF(AND(J85&gt;0,D85="深港"),K85/J85,"")</f>
        <v/>
      </c>
      <c r="W85">
        <f>IF(G85="卖出","(L85-S85)×H85 = ("&amp;TEXT(L85,"0.######")&amp;"-"&amp;TEXT(S85,"0.######")&amp;")×"&amp;H85,"")</f>
        <v/>
      </c>
      <c r="X85" t="inlineStr">
        <is>
          <t>(L85-L32)×200000=(5.719155-4.789952)×200000=185840.56 → 185840.56</t>
        </is>
      </c>
      <c r="Y85">
        <f>IF(E85="","",IF(D85="深港",TEXT(--E85,"0000")&amp;".HK",IF(--E85&gt;=600000,TEXT(--E85,"000000")&amp;".SH",TEXT(--E85,"000000")&amp;".SZ")))</f>
        <v/>
      </c>
      <c r="Z85">
        <f>IF(Y85="","",IFERROR(INDEX('估值日行情'!$C$3:$C$61,MATCH(Y85,'估值日行情'!$A$3:$A$61,0)),""))</f>
        <v/>
      </c>
      <c r="AA85">
        <f>IF(D85="深港",IFERROR('FX_RATES_TO_CNY_HIST'!$B$3,""),1)</f>
        <v/>
      </c>
      <c r="AB85">
        <f>IF(Z85&lt;&gt;"",Z85*AA85,"")</f>
        <v/>
      </c>
      <c r="AC85">
        <f>SUMIFS($H$2:H85,$D$2:D85,D85,$E$2:E85,E85,$G$2:G85,"买入")-SUMIFS($H$2:H85,$D$2:D85,D85,$E$2:E85,E85,$G$2:G85,"卖出")</f>
        <v/>
      </c>
      <c r="AD85">
        <f>IF(D85="深港",IF(Q85&gt;0,SUMIFS($J$2:J84,$D$2:D84,D85,$E$2:E84,E85,$G$2:G84,"买入")/SUMIFS($H$2:H84,$D$2:D84,D85,$E$2:E84,E85,$G$2:G84,"买入"),""),S85)</f>
        <v/>
      </c>
      <c r="AE85">
        <f>IF(AC85&gt;0,AC85*Z85-AC85*AD85,0)</f>
        <v/>
      </c>
      <c r="AF85">
        <f>IF(AC85&gt;0,IF(D85="深港",AE85*AA85,AE85),0)</f>
        <v/>
      </c>
      <c r="AG85">
        <f>SUMIFS($H$2:H84,$D$2:D84,D85,$E$2:E84,E85,$G$2:G84,"买入")</f>
        <v/>
      </c>
      <c r="AH85">
        <f>SUMIFS($K$2:K84,$D$2:D84,D85,$E$2:E84,E85,$G$2:G84,"买入")</f>
        <v/>
      </c>
      <c r="AI85">
        <f>IF(AG85&gt;0,AH85/AG85,"")</f>
        <v/>
      </c>
      <c r="AJ85">
        <f>IF(G85="卖出",IF(AI85="","",(L85-AI85)*H85),0)</f>
        <v/>
      </c>
      <c r="AK85">
        <f>IF(G85="卖出",AJ85-T85,"")</f>
        <v/>
      </c>
      <c r="AL85">
        <f>IF(G85="卖出","(L85-AI85)×H85 = ("&amp;TEXT(L85,"0.######")&amp;"-"&amp;TEXT(AI85,"0.######")&amp;")×"&amp;H85,"")</f>
        <v/>
      </c>
    </row>
    <row r="86">
      <c r="A86">
        <f>IF('交易流水'!A46&lt;&gt;"","流水","")</f>
        <v/>
      </c>
      <c r="B86">
        <f>'交易流水'!B46</f>
        <v/>
      </c>
      <c r="C86">
        <f>'交易流水'!X46</f>
        <v/>
      </c>
      <c r="D86">
        <f>IF(ISNUMBER(SEARCH("深港",C86)),"深港",IF(ISNUMBER(SEARCH("场内",C86)),"场内","其他"))</f>
        <v/>
      </c>
      <c r="E86">
        <f>'交易流水'!F46</f>
        <v/>
      </c>
      <c r="F86">
        <f>'交易流水'!G46</f>
        <v/>
      </c>
      <c r="G86">
        <f>'交易流水'!H46</f>
        <v/>
      </c>
      <c r="H86">
        <f>'交易流水'!K46</f>
        <v/>
      </c>
      <c r="I86">
        <f>'交易流水'!P46</f>
        <v/>
      </c>
      <c r="J86">
        <f>'交易流水'!L46</f>
        <v/>
      </c>
      <c r="K86">
        <f>'交易流水'!AR46</f>
        <v/>
      </c>
      <c r="L86">
        <f>IF(H86&gt;0,K86/H86,"")</f>
        <v/>
      </c>
      <c r="M86">
        <f>IF(G86="买入",H86,0)</f>
        <v/>
      </c>
      <c r="N86">
        <f>IF(G86="买入",K86,0)</f>
        <v/>
      </c>
      <c r="O86">
        <f>IF(G86="卖出",H86,0)</f>
        <v/>
      </c>
      <c r="P86">
        <f>IF(G86="卖出",K86,0)</f>
        <v/>
      </c>
      <c r="Q86">
        <f>SUMIFS($H$2:H85,$A$2:A85,"流水",$D$2:D85,D86,$E$2:E85,E86,$G$2:G85,"买入")</f>
        <v/>
      </c>
      <c r="R86">
        <f>SUMIFS($K$2:K85,$A$2:A85,"流水",$D$2:D85,D86,$E$2:E85,E86,$G$2:G85,"买入")</f>
        <v/>
      </c>
      <c r="S86">
        <f>IF(Q86&gt;0,R86/Q86,"")</f>
        <v/>
      </c>
      <c r="T86">
        <f>IF(G86="卖出",IF(S86="","",(L86-S86)*H86),0)</f>
        <v/>
      </c>
      <c r="U86" t="n">
        <v>0</v>
      </c>
      <c r="V86">
        <f>IF(AND(J86&gt;0,D86="深港"),K86/J86,"")</f>
        <v/>
      </c>
      <c r="W86">
        <f>IF(G86="卖出","(L86-S86)×H86 = ("&amp;TEXT(L86,"0.######")&amp;"-"&amp;TEXT(S86,"0.######")&amp;")×"&amp;H86,"")</f>
        <v/>
      </c>
      <c r="Y86">
        <f>IF(E86="","",IF(D86="深港",TEXT(--E86,"0000")&amp;".HK",IF(--E86&gt;=600000,TEXT(--E86,"000000")&amp;".SH",TEXT(--E86,"000000")&amp;".SZ")))</f>
        <v/>
      </c>
      <c r="Z86">
        <f>IF(Y86="","",IFERROR(INDEX('估值日行情'!$C$3:$C$61,MATCH(Y86,'估值日行情'!$A$3:$A$61,0)),""))</f>
        <v/>
      </c>
      <c r="AA86">
        <f>IF(D86="深港",IFERROR('FX_RATES_TO_CNY_HIST'!$B$3,""),1)</f>
        <v/>
      </c>
      <c r="AB86">
        <f>IF(Z86&lt;&gt;"",Z86*AA86,"")</f>
        <v/>
      </c>
      <c r="AC86">
        <f>SUMIFS($H$2:H86,$D$2:D86,D86,$E$2:E86,E86,$G$2:G86,"买入")-SUMIFS($H$2:H86,$D$2:D86,D86,$E$2:E86,E86,$G$2:G86,"卖出")</f>
        <v/>
      </c>
      <c r="AD86">
        <f>IF(D86="深港",IF(Q86&gt;0,SUMIFS($J$2:J85,$D$2:D85,D86,$E$2:E85,E86,$G$2:G85,"买入")/SUMIFS($H$2:H85,$D$2:D85,D86,$E$2:E85,E86,$G$2:G85,"买入"),""),S86)</f>
        <v/>
      </c>
      <c r="AE86">
        <f>IF(AC86&gt;0,AC86*Z86-AC86*AD86,0)</f>
        <v/>
      </c>
      <c r="AF86">
        <f>IF(AC86&gt;0,IF(D86="深港",AE86*AA86,AE86),0)</f>
        <v/>
      </c>
      <c r="AG86">
        <f>SUMIFS($H$2:H85,$D$2:D85,D86,$E$2:E85,E86,$G$2:G85,"买入")</f>
        <v/>
      </c>
      <c r="AH86">
        <f>SUMIFS($K$2:K85,$D$2:D85,D86,$E$2:E85,E86,$G$2:G85,"买入")</f>
        <v/>
      </c>
      <c r="AI86">
        <f>IF(AG86&gt;0,AH86/AG86,"")</f>
        <v/>
      </c>
      <c r="AJ86">
        <f>IF(G86="卖出",IF(AI86="","",(L86-AI86)*H86),0)</f>
        <v/>
      </c>
      <c r="AK86">
        <f>IF(G86="卖出",AJ86-T86,"")</f>
        <v/>
      </c>
      <c r="AL86">
        <f>IF(G86="卖出","(L86-AI86)×H86 = ("&amp;TEXT(L86,"0.######")&amp;"-"&amp;TEXT(AI86,"0.######")&amp;")×"&amp;H86,"")</f>
        <v/>
      </c>
    </row>
    <row r="87">
      <c r="A87">
        <f>IF('交易流水'!A47&lt;&gt;"","流水","")</f>
        <v/>
      </c>
      <c r="B87">
        <f>'交易流水'!B47</f>
        <v/>
      </c>
      <c r="C87">
        <f>'交易流水'!X47</f>
        <v/>
      </c>
      <c r="D87">
        <f>IF(ISNUMBER(SEARCH("深港",C87)),"深港",IF(ISNUMBER(SEARCH("场内",C87)),"场内","其他"))</f>
        <v/>
      </c>
      <c r="E87">
        <f>'交易流水'!F47</f>
        <v/>
      </c>
      <c r="F87">
        <f>'交易流水'!G47</f>
        <v/>
      </c>
      <c r="G87">
        <f>'交易流水'!H47</f>
        <v/>
      </c>
      <c r="H87">
        <f>'交易流水'!K47</f>
        <v/>
      </c>
      <c r="I87">
        <f>'交易流水'!P47</f>
        <v/>
      </c>
      <c r="J87">
        <f>'交易流水'!L47</f>
        <v/>
      </c>
      <c r="K87">
        <f>'交易流水'!AR47</f>
        <v/>
      </c>
      <c r="L87">
        <f>IF(H87&gt;0,K87/H87,"")</f>
        <v/>
      </c>
      <c r="M87">
        <f>IF(G87="买入",H87,0)</f>
        <v/>
      </c>
      <c r="N87">
        <f>IF(G87="买入",K87,0)</f>
        <v/>
      </c>
      <c r="O87">
        <f>IF(G87="卖出",H87,0)</f>
        <v/>
      </c>
      <c r="P87">
        <f>IF(G87="卖出",K87,0)</f>
        <v/>
      </c>
      <c r="Q87">
        <f>SUMIFS($H$2:H86,$A$2:A86,"流水",$D$2:D86,D87,$E$2:E86,E87,$G$2:G86,"买入")</f>
        <v/>
      </c>
      <c r="R87">
        <f>SUMIFS($K$2:K86,$A$2:A86,"流水",$D$2:D86,D87,$E$2:E86,E87,$G$2:G86,"买入")</f>
        <v/>
      </c>
      <c r="S87">
        <f>IF(Q87&gt;0,R87/Q87,"")</f>
        <v/>
      </c>
      <c r="T87">
        <f>IF(G87="卖出",IF(S87="","",(L87-S87)*H87),0)</f>
        <v/>
      </c>
      <c r="U87" t="n">
        <v>-180528.06</v>
      </c>
      <c r="V87">
        <f>IF(AND(J87&gt;0,D87="深港"),K87/J87,"")</f>
        <v/>
      </c>
      <c r="W87">
        <f>IF(G87="卖出","(L87-S87)×H87 = ("&amp;TEXT(L87,"0.######")&amp;"-"&amp;TEXT(S87,"0.######")&amp;")×"&amp;H87,"")</f>
        <v/>
      </c>
      <c r="X87" t="inlineStr">
        <is>
          <t>(L87-L37)×600000=(6.123484-6.424364)×600000=-180528.06 → -180528.06</t>
        </is>
      </c>
      <c r="Y87">
        <f>IF(E87="","",IF(D87="深港",TEXT(--E87,"0000")&amp;".HK",IF(--E87&gt;=600000,TEXT(--E87,"000000")&amp;".SH",TEXT(--E87,"000000")&amp;".SZ")))</f>
        <v/>
      </c>
      <c r="Z87">
        <f>IF(Y87="","",IFERROR(INDEX('估值日行情'!$C$3:$C$61,MATCH(Y87,'估值日行情'!$A$3:$A$61,0)),""))</f>
        <v/>
      </c>
      <c r="AA87">
        <f>IF(D87="深港",IFERROR('FX_RATES_TO_CNY_HIST'!$B$3,""),1)</f>
        <v/>
      </c>
      <c r="AB87">
        <f>IF(Z87&lt;&gt;"",Z87*AA87,"")</f>
        <v/>
      </c>
      <c r="AC87">
        <f>SUMIFS($H$2:H87,$D$2:D87,D87,$E$2:E87,E87,$G$2:G87,"买入")-SUMIFS($H$2:H87,$D$2:D87,D87,$E$2:E87,E87,$G$2:G87,"卖出")</f>
        <v/>
      </c>
      <c r="AD87">
        <f>IF(D87="深港",IF(Q87&gt;0,SUMIFS($J$2:J86,$D$2:D86,D87,$E$2:E86,E87,$G$2:G86,"买入")/SUMIFS($H$2:H86,$D$2:D86,D87,$E$2:E86,E87,$G$2:G86,"买入"),""),S87)</f>
        <v/>
      </c>
      <c r="AE87">
        <f>IF(AC87&gt;0,AC87*Z87-AC87*AD87,0)</f>
        <v/>
      </c>
      <c r="AF87">
        <f>IF(AC87&gt;0,IF(D87="深港",AE87*AA87,AE87),0)</f>
        <v/>
      </c>
      <c r="AG87">
        <f>SUMIFS($H$2:H86,$D$2:D86,D87,$E$2:E86,E87,$G$2:G86,"买入")</f>
        <v/>
      </c>
      <c r="AH87">
        <f>SUMIFS($K$2:K86,$D$2:D86,D87,$E$2:E86,E87,$G$2:G86,"买入")</f>
        <v/>
      </c>
      <c r="AI87">
        <f>IF(AG87&gt;0,AH87/AG87,"")</f>
        <v/>
      </c>
      <c r="AJ87">
        <f>IF(G87="卖出",IF(AI87="","",(L87-AI87)*H87),0)</f>
        <v/>
      </c>
      <c r="AK87">
        <f>IF(G87="卖出",AJ87-T87,"")</f>
        <v/>
      </c>
      <c r="AL87">
        <f>IF(G87="卖出","(L87-AI87)×H87 = ("&amp;TEXT(L87,"0.######")&amp;"-"&amp;TEXT(AI87,"0.######")&amp;")×"&amp;H87,"")</f>
        <v/>
      </c>
    </row>
    <row r="88">
      <c r="A88">
        <f>IF('交易流水'!A48&lt;&gt;"","流水","")</f>
        <v/>
      </c>
      <c r="B88">
        <f>'交易流水'!B48</f>
        <v/>
      </c>
      <c r="C88">
        <f>'交易流水'!X48</f>
        <v/>
      </c>
      <c r="D88">
        <f>IF(ISNUMBER(SEARCH("深港",C88)),"深港",IF(ISNUMBER(SEARCH("场内",C88)),"场内","其他"))</f>
        <v/>
      </c>
      <c r="E88">
        <f>'交易流水'!F48</f>
        <v/>
      </c>
      <c r="F88">
        <f>'交易流水'!G48</f>
        <v/>
      </c>
      <c r="G88">
        <f>'交易流水'!H48</f>
        <v/>
      </c>
      <c r="H88">
        <f>'交易流水'!K48</f>
        <v/>
      </c>
      <c r="I88">
        <f>'交易流水'!P48</f>
        <v/>
      </c>
      <c r="J88">
        <f>'交易流水'!L48</f>
        <v/>
      </c>
      <c r="K88">
        <f>'交易流水'!AR48</f>
        <v/>
      </c>
      <c r="L88">
        <f>IF(H88&gt;0,K88/H88,"")</f>
        <v/>
      </c>
      <c r="M88">
        <f>IF(G88="买入",H88,0)</f>
        <v/>
      </c>
      <c r="N88">
        <f>IF(G88="买入",K88,0)</f>
        <v/>
      </c>
      <c r="O88">
        <f>IF(G88="卖出",H88,0)</f>
        <v/>
      </c>
      <c r="P88">
        <f>IF(G88="卖出",K88,0)</f>
        <v/>
      </c>
      <c r="Q88">
        <f>SUMIFS($H$2:H87,$A$2:A87,"流水",$D$2:D87,D88,$E$2:E87,E88,$G$2:G87,"买入")</f>
        <v/>
      </c>
      <c r="R88">
        <f>SUMIFS($K$2:K87,$A$2:A87,"流水",$D$2:D87,D88,$E$2:E87,E88,$G$2:G87,"买入")</f>
        <v/>
      </c>
      <c r="S88">
        <f>IF(Q88&gt;0,R88/Q88,"")</f>
        <v/>
      </c>
      <c r="T88">
        <f>IF(G88="卖出",IF(S88="","",(L88-S88)*H88),0)</f>
        <v/>
      </c>
      <c r="U88" t="n">
        <v>0</v>
      </c>
      <c r="V88">
        <f>IF(AND(J88&gt;0,D88="深港"),K88/J88,"")</f>
        <v/>
      </c>
      <c r="W88">
        <f>IF(G88="卖出","(L88-S88)×H88 = ("&amp;TEXT(L88,"0.######")&amp;"-"&amp;TEXT(S88,"0.######")&amp;")×"&amp;H88,"")</f>
        <v/>
      </c>
      <c r="Y88">
        <f>IF(E88="","",IF(D88="深港",TEXT(--E88,"0000")&amp;".HK",IF(--E88&gt;=600000,TEXT(--E88,"000000")&amp;".SH",TEXT(--E88,"000000")&amp;".SZ")))</f>
        <v/>
      </c>
      <c r="Z88">
        <f>IF(Y88="","",IFERROR(INDEX('估值日行情'!$C$3:$C$61,MATCH(Y88,'估值日行情'!$A$3:$A$61,0)),""))</f>
        <v/>
      </c>
      <c r="AA88">
        <f>IF(D88="深港",IFERROR('FX_RATES_TO_CNY_HIST'!$B$3,""),1)</f>
        <v/>
      </c>
      <c r="AB88">
        <f>IF(Z88&lt;&gt;"",Z88*AA88,"")</f>
        <v/>
      </c>
      <c r="AC88">
        <f>SUMIFS($H$2:H88,$D$2:D88,D88,$E$2:E88,E88,$G$2:G88,"买入")-SUMIFS($H$2:H88,$D$2:D88,D88,$E$2:E88,E88,$G$2:G88,"卖出")</f>
        <v/>
      </c>
      <c r="AD88">
        <f>IF(D88="深港",IF(Q88&gt;0,SUMIFS($J$2:J87,$D$2:D87,D88,$E$2:E87,E88,$G$2:G87,"买入")/SUMIFS($H$2:H87,$D$2:D87,D88,$E$2:E87,E88,$G$2:G87,"买入"),""),S88)</f>
        <v/>
      </c>
      <c r="AE88">
        <f>IF(AC88&gt;0,AC88*Z88-AC88*AD88,0)</f>
        <v/>
      </c>
      <c r="AF88">
        <f>IF(AC88&gt;0,IF(D88="深港",AE88*AA88,AE88),0)</f>
        <v/>
      </c>
      <c r="AG88">
        <f>SUMIFS($H$2:H87,$D$2:D87,D88,$E$2:E87,E88,$G$2:G87,"买入")</f>
        <v/>
      </c>
      <c r="AH88">
        <f>SUMIFS($K$2:K87,$D$2:D87,D88,$E$2:E87,E88,$G$2:G87,"买入")</f>
        <v/>
      </c>
      <c r="AI88">
        <f>IF(AG88&gt;0,AH88/AG88,"")</f>
        <v/>
      </c>
      <c r="AJ88">
        <f>IF(G88="卖出",IF(AI88="","",(L88-AI88)*H88),0)</f>
        <v/>
      </c>
      <c r="AK88">
        <f>IF(G88="卖出",AJ88-T88,"")</f>
        <v/>
      </c>
      <c r="AL88">
        <f>IF(G88="卖出","(L88-AI88)×H88 = ("&amp;TEXT(L88,"0.######")&amp;"-"&amp;TEXT(AI88,"0.######")&amp;")×"&amp;H88,"")</f>
        <v/>
      </c>
    </row>
    <row r="89">
      <c r="A89">
        <f>IF('交易流水'!A49&lt;&gt;"","流水","")</f>
        <v/>
      </c>
      <c r="B89">
        <f>'交易流水'!B49</f>
        <v/>
      </c>
      <c r="C89">
        <f>'交易流水'!X49</f>
        <v/>
      </c>
      <c r="D89">
        <f>IF(ISNUMBER(SEARCH("深港",C89)),"深港",IF(ISNUMBER(SEARCH("场内",C89)),"场内","其他"))</f>
        <v/>
      </c>
      <c r="E89">
        <f>'交易流水'!F49</f>
        <v/>
      </c>
      <c r="F89">
        <f>'交易流水'!G49</f>
        <v/>
      </c>
      <c r="G89">
        <f>'交易流水'!H49</f>
        <v/>
      </c>
      <c r="H89">
        <f>'交易流水'!K49</f>
        <v/>
      </c>
      <c r="I89">
        <f>'交易流水'!P49</f>
        <v/>
      </c>
      <c r="J89">
        <f>'交易流水'!L49</f>
        <v/>
      </c>
      <c r="K89">
        <f>'交易流水'!AR49</f>
        <v/>
      </c>
      <c r="L89">
        <f>IF(H89&gt;0,K89/H89,"")</f>
        <v/>
      </c>
      <c r="M89">
        <f>IF(G89="买入",H89,0)</f>
        <v/>
      </c>
      <c r="N89">
        <f>IF(G89="买入",K89,0)</f>
        <v/>
      </c>
      <c r="O89">
        <f>IF(G89="卖出",H89,0)</f>
        <v/>
      </c>
      <c r="P89">
        <f>IF(G89="卖出",K89,0)</f>
        <v/>
      </c>
      <c r="Q89">
        <f>SUMIFS($H$2:H88,$A$2:A88,"流水",$D$2:D88,D89,$E$2:E88,E89,$G$2:G88,"买入")</f>
        <v/>
      </c>
      <c r="R89">
        <f>SUMIFS($K$2:K88,$A$2:A88,"流水",$D$2:D88,D89,$E$2:E88,E89,$G$2:G88,"买入")</f>
        <v/>
      </c>
      <c r="S89">
        <f>IF(Q89&gt;0,R89/Q89,"")</f>
        <v/>
      </c>
      <c r="T89">
        <f>IF(G89="卖出",IF(S89="","",(L89-S89)*H89),0)</f>
        <v/>
      </c>
      <c r="U89" t="n">
        <v>0</v>
      </c>
      <c r="V89">
        <f>IF(AND(J89&gt;0,D89="深港"),K89/J89,"")</f>
        <v/>
      </c>
      <c r="W89">
        <f>IF(G89="卖出","(L89-S89)×H89 = ("&amp;TEXT(L89,"0.######")&amp;"-"&amp;TEXT(S89,"0.######")&amp;")×"&amp;H89,"")</f>
        <v/>
      </c>
      <c r="Y89">
        <f>IF(E89="","",IF(D89="深港",TEXT(--E89,"0000")&amp;".HK",IF(--E89&gt;=600000,TEXT(--E89,"000000")&amp;".SH",TEXT(--E89,"000000")&amp;".SZ")))</f>
        <v/>
      </c>
      <c r="Z89">
        <f>IF(Y89="","",IFERROR(INDEX('估值日行情'!$C$3:$C$61,MATCH(Y89,'估值日行情'!$A$3:$A$61,0)),""))</f>
        <v/>
      </c>
      <c r="AA89">
        <f>IF(D89="深港",IFERROR('FX_RATES_TO_CNY_HIST'!$B$3,""),1)</f>
        <v/>
      </c>
      <c r="AB89">
        <f>IF(Z89&lt;&gt;"",Z89*AA89,"")</f>
        <v/>
      </c>
      <c r="AC89">
        <f>SUMIFS($H$2:H89,$D$2:D89,D89,$E$2:E89,E89,$G$2:G89,"买入")-SUMIFS($H$2:H89,$D$2:D89,D89,$E$2:E89,E89,$G$2:G89,"卖出")</f>
        <v/>
      </c>
      <c r="AD89">
        <f>IF(D89="深港",IF(Q89&gt;0,SUMIFS($J$2:J88,$D$2:D88,D89,$E$2:E88,E89,$G$2:G88,"买入")/SUMIFS($H$2:H88,$D$2:D88,D89,$E$2:E88,E89,$G$2:G88,"买入"),""),S89)</f>
        <v/>
      </c>
      <c r="AE89">
        <f>IF(AC89&gt;0,AC89*Z89-AC89*AD89,0)</f>
        <v/>
      </c>
      <c r="AF89">
        <f>IF(AC89&gt;0,IF(D89="深港",AE89*AA89,AE89),0)</f>
        <v/>
      </c>
      <c r="AG89">
        <f>SUMIFS($H$2:H88,$D$2:D88,D89,$E$2:E88,E89,$G$2:G88,"买入")</f>
        <v/>
      </c>
      <c r="AH89">
        <f>SUMIFS($K$2:K88,$D$2:D88,D89,$E$2:E88,E89,$G$2:G88,"买入")</f>
        <v/>
      </c>
      <c r="AI89">
        <f>IF(AG89&gt;0,AH89/AG89,"")</f>
        <v/>
      </c>
      <c r="AJ89">
        <f>IF(G89="卖出",IF(AI89="","",(L89-AI89)*H89),0)</f>
        <v/>
      </c>
      <c r="AK89">
        <f>IF(G89="卖出",AJ89-T89,"")</f>
        <v/>
      </c>
      <c r="AL89">
        <f>IF(G89="卖出","(L89-AI89)×H89 = ("&amp;TEXT(L89,"0.######")&amp;"-"&amp;TEXT(AI89,"0.######")&amp;")×"&amp;H89,"")</f>
        <v/>
      </c>
    </row>
    <row r="90">
      <c r="A90">
        <f>IF('交易流水'!A50&lt;&gt;"","流水","")</f>
        <v/>
      </c>
      <c r="B90">
        <f>'交易流水'!B50</f>
        <v/>
      </c>
      <c r="C90">
        <f>'交易流水'!X50</f>
        <v/>
      </c>
      <c r="D90">
        <f>IF(ISNUMBER(SEARCH("深港",C90)),"深港",IF(ISNUMBER(SEARCH("场内",C90)),"场内","其他"))</f>
        <v/>
      </c>
      <c r="E90">
        <f>'交易流水'!F50</f>
        <v/>
      </c>
      <c r="F90">
        <f>'交易流水'!G50</f>
        <v/>
      </c>
      <c r="G90">
        <f>'交易流水'!H50</f>
        <v/>
      </c>
      <c r="H90">
        <f>'交易流水'!K50</f>
        <v/>
      </c>
      <c r="I90">
        <f>'交易流水'!P50</f>
        <v/>
      </c>
      <c r="J90">
        <f>'交易流水'!L50</f>
        <v/>
      </c>
      <c r="K90">
        <f>'交易流水'!AR50</f>
        <v/>
      </c>
      <c r="L90">
        <f>IF(H90&gt;0,K90/H90,"")</f>
        <v/>
      </c>
      <c r="M90">
        <f>IF(G90="买入",H90,0)</f>
        <v/>
      </c>
      <c r="N90">
        <f>IF(G90="买入",K90,0)</f>
        <v/>
      </c>
      <c r="O90">
        <f>IF(G90="卖出",H90,0)</f>
        <v/>
      </c>
      <c r="P90">
        <f>IF(G90="卖出",K90,0)</f>
        <v/>
      </c>
      <c r="Q90">
        <f>SUMIFS($H$2:H89,$A$2:A89,"流水",$D$2:D89,D90,$E$2:E89,E90,$G$2:G89,"买入")</f>
        <v/>
      </c>
      <c r="R90">
        <f>SUMIFS($K$2:K89,$A$2:A89,"流水",$D$2:D89,D90,$E$2:E89,E90,$G$2:G89,"买入")</f>
        <v/>
      </c>
      <c r="S90">
        <f>IF(Q90&gt;0,R90/Q90,"")</f>
        <v/>
      </c>
      <c r="T90">
        <f>IF(G90="卖出",IF(S90="","",(L90-S90)*H90),0)</f>
        <v/>
      </c>
      <c r="U90" t="n">
        <v>0</v>
      </c>
      <c r="V90">
        <f>IF(AND(J90&gt;0,D90="深港"),K90/J90,"")</f>
        <v/>
      </c>
      <c r="W90">
        <f>IF(G90="卖出","(L90-S90)×H90 = ("&amp;TEXT(L90,"0.######")&amp;"-"&amp;TEXT(S90,"0.######")&amp;")×"&amp;H90,"")</f>
        <v/>
      </c>
      <c r="Y90">
        <f>IF(E90="","",IF(D90="深港",TEXT(--E90,"0000")&amp;".HK",IF(--E90&gt;=600000,TEXT(--E90,"000000")&amp;".SH",TEXT(--E90,"000000")&amp;".SZ")))</f>
        <v/>
      </c>
      <c r="Z90">
        <f>IF(Y90="","",IFERROR(INDEX('估值日行情'!$C$3:$C$61,MATCH(Y90,'估值日行情'!$A$3:$A$61,0)),""))</f>
        <v/>
      </c>
      <c r="AA90">
        <f>IF(D90="深港",IFERROR('FX_RATES_TO_CNY_HIST'!$B$3,""),1)</f>
        <v/>
      </c>
      <c r="AB90">
        <f>IF(Z90&lt;&gt;"",Z90*AA90,"")</f>
        <v/>
      </c>
      <c r="AC90">
        <f>SUMIFS($H$2:H90,$D$2:D90,D90,$E$2:E90,E90,$G$2:G90,"买入")-SUMIFS($H$2:H90,$D$2:D90,D90,$E$2:E90,E90,$G$2:G90,"卖出")</f>
        <v/>
      </c>
      <c r="AD90">
        <f>IF(D90="深港",IF(Q90&gt;0,SUMIFS($J$2:J89,$D$2:D89,D90,$E$2:E89,E90,$G$2:G89,"买入")/SUMIFS($H$2:H89,$D$2:D89,D90,$E$2:E89,E90,$G$2:G89,"买入"),""),S90)</f>
        <v/>
      </c>
      <c r="AE90">
        <f>IF(AC90&gt;0,AC90*Z90-AC90*AD90,0)</f>
        <v/>
      </c>
      <c r="AF90">
        <f>IF(AC90&gt;0,IF(D90="深港",AE90*AA90,AE90),0)</f>
        <v/>
      </c>
      <c r="AG90">
        <f>SUMIFS($H$2:H89,$D$2:D89,D90,$E$2:E89,E90,$G$2:G89,"买入")</f>
        <v/>
      </c>
      <c r="AH90">
        <f>SUMIFS($K$2:K89,$D$2:D89,D90,$E$2:E89,E90,$G$2:G89,"买入")</f>
        <v/>
      </c>
      <c r="AI90">
        <f>IF(AG90&gt;0,AH90/AG90,"")</f>
        <v/>
      </c>
      <c r="AJ90">
        <f>IF(G90="卖出",IF(AI90="","",(L90-AI90)*H90),0)</f>
        <v/>
      </c>
      <c r="AK90">
        <f>IF(G90="卖出",AJ90-T90,"")</f>
        <v/>
      </c>
      <c r="AL90">
        <f>IF(G90="卖出","(L90-AI90)×H90 = ("&amp;TEXT(L90,"0.######")&amp;"-"&amp;TEXT(AI90,"0.######")&amp;")×"&amp;H90,"")</f>
        <v/>
      </c>
    </row>
    <row r="91">
      <c r="A91">
        <f>IF('交易流水'!A51&lt;&gt;"","流水","")</f>
        <v/>
      </c>
      <c r="B91">
        <f>'交易流水'!B51</f>
        <v/>
      </c>
      <c r="C91">
        <f>'交易流水'!X51</f>
        <v/>
      </c>
      <c r="D91">
        <f>IF(ISNUMBER(SEARCH("深港",C91)),"深港",IF(ISNUMBER(SEARCH("场内",C91)),"场内","其他"))</f>
        <v/>
      </c>
      <c r="E91">
        <f>'交易流水'!F51</f>
        <v/>
      </c>
      <c r="F91">
        <f>'交易流水'!G51</f>
        <v/>
      </c>
      <c r="G91">
        <f>'交易流水'!H51</f>
        <v/>
      </c>
      <c r="H91">
        <f>'交易流水'!K51</f>
        <v/>
      </c>
      <c r="I91">
        <f>'交易流水'!P51</f>
        <v/>
      </c>
      <c r="J91">
        <f>'交易流水'!L51</f>
        <v/>
      </c>
      <c r="K91">
        <f>'交易流水'!AR51</f>
        <v/>
      </c>
      <c r="L91">
        <f>IF(H91&gt;0,K91/H91,"")</f>
        <v/>
      </c>
      <c r="M91">
        <f>IF(G91="买入",H91,0)</f>
        <v/>
      </c>
      <c r="N91">
        <f>IF(G91="买入",K91,0)</f>
        <v/>
      </c>
      <c r="O91">
        <f>IF(G91="卖出",H91,0)</f>
        <v/>
      </c>
      <c r="P91">
        <f>IF(G91="卖出",K91,0)</f>
        <v/>
      </c>
      <c r="Q91">
        <f>SUMIFS($H$2:H90,$A$2:A90,"流水",$D$2:D90,D91,$E$2:E90,E91,$G$2:G90,"买入")</f>
        <v/>
      </c>
      <c r="R91">
        <f>SUMIFS($K$2:K90,$A$2:A90,"流水",$D$2:D90,D91,$E$2:E90,E91,$G$2:G90,"买入")</f>
        <v/>
      </c>
      <c r="S91">
        <f>IF(Q91&gt;0,R91/Q91,"")</f>
        <v/>
      </c>
      <c r="T91">
        <f>IF(G91="卖出",IF(S91="","",(L91-S91)*H91),0)</f>
        <v/>
      </c>
      <c r="U91" t="n">
        <v>0</v>
      </c>
      <c r="V91">
        <f>IF(AND(J91&gt;0,D91="深港"),K91/J91,"")</f>
        <v/>
      </c>
      <c r="W91">
        <f>IF(G91="卖出","(L91-S91)×H91 = ("&amp;TEXT(L91,"0.######")&amp;"-"&amp;TEXT(S91,"0.######")&amp;")×"&amp;H91,"")</f>
        <v/>
      </c>
      <c r="Y91">
        <f>IF(E91="","",IF(D91="深港",TEXT(--E91,"0000")&amp;".HK",IF(--E91&gt;=600000,TEXT(--E91,"000000")&amp;".SH",TEXT(--E91,"000000")&amp;".SZ")))</f>
        <v/>
      </c>
      <c r="Z91">
        <f>IF(Y91="","",IFERROR(INDEX('估值日行情'!$C$3:$C$61,MATCH(Y91,'估值日行情'!$A$3:$A$61,0)),""))</f>
        <v/>
      </c>
      <c r="AA91">
        <f>IF(D91="深港",IFERROR('FX_RATES_TO_CNY_HIST'!$B$3,""),1)</f>
        <v/>
      </c>
      <c r="AB91">
        <f>IF(Z91&lt;&gt;"",Z91*AA91,"")</f>
        <v/>
      </c>
      <c r="AC91">
        <f>SUMIFS($H$2:H91,$D$2:D91,D91,$E$2:E91,E91,$G$2:G91,"买入")-SUMIFS($H$2:H91,$D$2:D91,D91,$E$2:E91,E91,$G$2:G91,"卖出")</f>
        <v/>
      </c>
      <c r="AD91">
        <f>IF(D91="深港",IF(Q91&gt;0,SUMIFS($J$2:J90,$D$2:D90,D91,$E$2:E90,E91,$G$2:G90,"买入")/SUMIFS($H$2:H90,$D$2:D90,D91,$E$2:E90,E91,$G$2:G90,"买入"),""),S91)</f>
        <v/>
      </c>
      <c r="AE91">
        <f>IF(AC91&gt;0,AC91*Z91-AC91*AD91,0)</f>
        <v/>
      </c>
      <c r="AF91">
        <f>IF(AC91&gt;0,IF(D91="深港",AE91*AA91,AE91),0)</f>
        <v/>
      </c>
      <c r="AG91">
        <f>SUMIFS($H$2:H90,$D$2:D90,D91,$E$2:E90,E91,$G$2:G90,"买入")</f>
        <v/>
      </c>
      <c r="AH91">
        <f>SUMIFS($K$2:K90,$D$2:D90,D91,$E$2:E90,E91,$G$2:G90,"买入")</f>
        <v/>
      </c>
      <c r="AI91">
        <f>IF(AG91&gt;0,AH91/AG91,"")</f>
        <v/>
      </c>
      <c r="AJ91">
        <f>IF(G91="卖出",IF(AI91="","",(L91-AI91)*H91),0)</f>
        <v/>
      </c>
      <c r="AK91">
        <f>IF(G91="卖出",AJ91-T91,"")</f>
        <v/>
      </c>
      <c r="AL91">
        <f>IF(G91="卖出","(L91-AI91)×H91 = ("&amp;TEXT(L91,"0.######")&amp;"-"&amp;TEXT(AI91,"0.######")&amp;")×"&amp;H91,"")</f>
        <v/>
      </c>
    </row>
    <row r="92">
      <c r="A92">
        <f>IF('交易流水'!A52&lt;&gt;"","流水","")</f>
        <v/>
      </c>
      <c r="B92">
        <f>'交易流水'!B52</f>
        <v/>
      </c>
      <c r="C92">
        <f>'交易流水'!X52</f>
        <v/>
      </c>
      <c r="D92">
        <f>IF(ISNUMBER(SEARCH("深港",C92)),"深港",IF(ISNUMBER(SEARCH("场内",C92)),"场内","其他"))</f>
        <v/>
      </c>
      <c r="E92">
        <f>'交易流水'!F52</f>
        <v/>
      </c>
      <c r="F92">
        <f>'交易流水'!G52</f>
        <v/>
      </c>
      <c r="G92">
        <f>'交易流水'!H52</f>
        <v/>
      </c>
      <c r="H92">
        <f>'交易流水'!K52</f>
        <v/>
      </c>
      <c r="I92">
        <f>'交易流水'!P52</f>
        <v/>
      </c>
      <c r="J92">
        <f>'交易流水'!L52</f>
        <v/>
      </c>
      <c r="K92">
        <f>'交易流水'!AR52</f>
        <v/>
      </c>
      <c r="L92">
        <f>IF(H92&gt;0,K92/H92,"")</f>
        <v/>
      </c>
      <c r="M92">
        <f>IF(G92="买入",H92,0)</f>
        <v/>
      </c>
      <c r="N92">
        <f>IF(G92="买入",K92,0)</f>
        <v/>
      </c>
      <c r="O92">
        <f>IF(G92="卖出",H92,0)</f>
        <v/>
      </c>
      <c r="P92">
        <f>IF(G92="卖出",K92,0)</f>
        <v/>
      </c>
      <c r="Q92">
        <f>SUMIFS($H$2:H91,$A$2:A91,"流水",$D$2:D91,D92,$E$2:E91,E92,$G$2:G91,"买入")</f>
        <v/>
      </c>
      <c r="R92">
        <f>SUMIFS($K$2:K91,$A$2:A91,"流水",$D$2:D91,D92,$E$2:E91,E92,$G$2:G91,"买入")</f>
        <v/>
      </c>
      <c r="S92">
        <f>IF(Q92&gt;0,R92/Q92,"")</f>
        <v/>
      </c>
      <c r="T92">
        <f>IF(G92="卖出",IF(S92="","",(L92-S92)*H92),0)</f>
        <v/>
      </c>
      <c r="U92" t="n">
        <v>0</v>
      </c>
      <c r="V92">
        <f>IF(AND(J92&gt;0,D92="深港"),K92/J92,"")</f>
        <v/>
      </c>
      <c r="W92">
        <f>IF(G92="卖出","(L92-S92)×H92 = ("&amp;TEXT(L92,"0.######")&amp;"-"&amp;TEXT(S92,"0.######")&amp;")×"&amp;H92,"")</f>
        <v/>
      </c>
      <c r="Y92">
        <f>IF(E92="","",IF(D92="深港",TEXT(--E92,"0000")&amp;".HK",IF(--E92&gt;=600000,TEXT(--E92,"000000")&amp;".SH",TEXT(--E92,"000000")&amp;".SZ")))</f>
        <v/>
      </c>
      <c r="Z92">
        <f>IF(Y92="","",IFERROR(INDEX('估值日行情'!$C$3:$C$61,MATCH(Y92,'估值日行情'!$A$3:$A$61,0)),""))</f>
        <v/>
      </c>
      <c r="AA92">
        <f>IF(D92="深港",IFERROR('FX_RATES_TO_CNY_HIST'!$B$3,""),1)</f>
        <v/>
      </c>
      <c r="AB92">
        <f>IF(Z92&lt;&gt;"",Z92*AA92,"")</f>
        <v/>
      </c>
      <c r="AC92">
        <f>SUMIFS($H$2:H92,$D$2:D92,D92,$E$2:E92,E92,$G$2:G92,"买入")-SUMIFS($H$2:H92,$D$2:D92,D92,$E$2:E92,E92,$G$2:G92,"卖出")</f>
        <v/>
      </c>
      <c r="AD92">
        <f>IF(D92="深港",IF(Q92&gt;0,SUMIFS($J$2:J91,$D$2:D91,D92,$E$2:E91,E92,$G$2:G91,"买入")/SUMIFS($H$2:H91,$D$2:D91,D92,$E$2:E91,E92,$G$2:G91,"买入"),""),S92)</f>
        <v/>
      </c>
      <c r="AE92">
        <f>IF(AC92&gt;0,AC92*Z92-AC92*AD92,0)</f>
        <v/>
      </c>
      <c r="AF92">
        <f>IF(AC92&gt;0,IF(D92="深港",AE92*AA92,AE92),0)</f>
        <v/>
      </c>
      <c r="AG92">
        <f>SUMIFS($H$2:H91,$D$2:D91,D92,$E$2:E91,E92,$G$2:G91,"买入")</f>
        <v/>
      </c>
      <c r="AH92">
        <f>SUMIFS($K$2:K91,$D$2:D91,D92,$E$2:E91,E92,$G$2:G91,"买入")</f>
        <v/>
      </c>
      <c r="AI92">
        <f>IF(AG92&gt;0,AH92/AG92,"")</f>
        <v/>
      </c>
      <c r="AJ92">
        <f>IF(G92="卖出",IF(AI92="","",(L92-AI92)*H92),0)</f>
        <v/>
      </c>
      <c r="AK92">
        <f>IF(G92="卖出",AJ92-T92,"")</f>
        <v/>
      </c>
      <c r="AL92">
        <f>IF(G92="卖出","(L92-AI92)×H92 = ("&amp;TEXT(L92,"0.######")&amp;"-"&amp;TEXT(AI92,"0.######")&amp;")×"&amp;H92,"")</f>
        <v/>
      </c>
    </row>
    <row r="93">
      <c r="A93">
        <f>IF('交易流水'!A53&lt;&gt;"","流水","")</f>
        <v/>
      </c>
      <c r="B93">
        <f>'交易流水'!B53</f>
        <v/>
      </c>
      <c r="C93">
        <f>'交易流水'!X53</f>
        <v/>
      </c>
      <c r="D93">
        <f>IF(ISNUMBER(SEARCH("深港",C93)),"深港",IF(ISNUMBER(SEARCH("场内",C93)),"场内","其他"))</f>
        <v/>
      </c>
      <c r="E93">
        <f>'交易流水'!F53</f>
        <v/>
      </c>
      <c r="F93">
        <f>'交易流水'!G53</f>
        <v/>
      </c>
      <c r="G93">
        <f>'交易流水'!H53</f>
        <v/>
      </c>
      <c r="H93">
        <f>'交易流水'!K53</f>
        <v/>
      </c>
      <c r="I93">
        <f>'交易流水'!P53</f>
        <v/>
      </c>
      <c r="J93">
        <f>'交易流水'!L53</f>
        <v/>
      </c>
      <c r="K93">
        <f>'交易流水'!AR53</f>
        <v/>
      </c>
      <c r="L93">
        <f>IF(H93&gt;0,K93/H93,"")</f>
        <v/>
      </c>
      <c r="M93">
        <f>IF(G93="买入",H93,0)</f>
        <v/>
      </c>
      <c r="N93">
        <f>IF(G93="买入",K93,0)</f>
        <v/>
      </c>
      <c r="O93">
        <f>IF(G93="卖出",H93,0)</f>
        <v/>
      </c>
      <c r="P93">
        <f>IF(G93="卖出",K93,0)</f>
        <v/>
      </c>
      <c r="Q93">
        <f>SUMIFS($H$2:H92,$A$2:A92,"流水",$D$2:D92,D93,$E$2:E92,E93,$G$2:G92,"买入")</f>
        <v/>
      </c>
      <c r="R93">
        <f>SUMIFS($K$2:K92,$A$2:A92,"流水",$D$2:D92,D93,$E$2:E92,E93,$G$2:G92,"买入")</f>
        <v/>
      </c>
      <c r="S93">
        <f>IF(Q93&gt;0,R93/Q93,"")</f>
        <v/>
      </c>
      <c r="T93">
        <f>IF(G93="卖出",IF(S93="","",(L93-S93)*H93),0)</f>
        <v/>
      </c>
      <c r="U93" t="n">
        <v>0</v>
      </c>
      <c r="V93">
        <f>IF(AND(J93&gt;0,D93="深港"),K93/J93,"")</f>
        <v/>
      </c>
      <c r="W93">
        <f>IF(G93="卖出","(L93-S93)×H93 = ("&amp;TEXT(L93,"0.######")&amp;"-"&amp;TEXT(S93,"0.######")&amp;")×"&amp;H93,"")</f>
        <v/>
      </c>
      <c r="Y93">
        <f>IF(E93="","",IF(D93="深港",TEXT(--E93,"0000")&amp;".HK",IF(--E93&gt;=600000,TEXT(--E93,"000000")&amp;".SH",TEXT(--E93,"000000")&amp;".SZ")))</f>
        <v/>
      </c>
      <c r="Z93">
        <f>IF(Y93="","",IFERROR(INDEX('估值日行情'!$C$3:$C$61,MATCH(Y93,'估值日行情'!$A$3:$A$61,0)),""))</f>
        <v/>
      </c>
      <c r="AA93">
        <f>IF(D93="深港",IFERROR('FX_RATES_TO_CNY_HIST'!$B$3,""),1)</f>
        <v/>
      </c>
      <c r="AB93">
        <f>IF(Z93&lt;&gt;"",Z93*AA93,"")</f>
        <v/>
      </c>
      <c r="AC93">
        <f>SUMIFS($H$2:H93,$D$2:D93,D93,$E$2:E93,E93,$G$2:G93,"买入")-SUMIFS($H$2:H93,$D$2:D93,D93,$E$2:E93,E93,$G$2:G93,"卖出")</f>
        <v/>
      </c>
      <c r="AD93">
        <f>IF(D93="深港",IF(Q93&gt;0,SUMIFS($J$2:J92,$D$2:D92,D93,$E$2:E92,E93,$G$2:G92,"买入")/SUMIFS($H$2:H92,$D$2:D92,D93,$E$2:E92,E93,$G$2:G92,"买入"),""),S93)</f>
        <v/>
      </c>
      <c r="AE93">
        <f>IF(AC93&gt;0,AC93*Z93-AC93*AD93,0)</f>
        <v/>
      </c>
      <c r="AF93">
        <f>IF(AC93&gt;0,IF(D93="深港",AE93*AA93,AE93),0)</f>
        <v/>
      </c>
      <c r="AG93">
        <f>SUMIFS($H$2:H92,$D$2:D92,D93,$E$2:E92,E93,$G$2:G92,"买入")</f>
        <v/>
      </c>
      <c r="AH93">
        <f>SUMIFS($K$2:K92,$D$2:D92,D93,$E$2:E92,E93,$G$2:G92,"买入")</f>
        <v/>
      </c>
      <c r="AI93">
        <f>IF(AG93&gt;0,AH93/AG93,"")</f>
        <v/>
      </c>
      <c r="AJ93">
        <f>IF(G93="卖出",IF(AI93="","",(L93-AI93)*H93),0)</f>
        <v/>
      </c>
      <c r="AK93">
        <f>IF(G93="卖出",AJ93-T93,"")</f>
        <v/>
      </c>
      <c r="AL93">
        <f>IF(G93="卖出","(L93-AI93)×H93 = ("&amp;TEXT(L93,"0.######")&amp;"-"&amp;TEXT(AI93,"0.######")&amp;")×"&amp;H93,"")</f>
        <v/>
      </c>
    </row>
    <row r="94">
      <c r="A94">
        <f>IF('交易流水'!A54&lt;&gt;"","流水","")</f>
        <v/>
      </c>
      <c r="B94">
        <f>'交易流水'!B54</f>
        <v/>
      </c>
      <c r="C94">
        <f>'交易流水'!X54</f>
        <v/>
      </c>
      <c r="D94">
        <f>IF(ISNUMBER(SEARCH("深港",C94)),"深港",IF(ISNUMBER(SEARCH("场内",C94)),"场内","其他"))</f>
        <v/>
      </c>
      <c r="E94">
        <f>'交易流水'!F54</f>
        <v/>
      </c>
      <c r="F94">
        <f>'交易流水'!G54</f>
        <v/>
      </c>
      <c r="G94">
        <f>'交易流水'!H54</f>
        <v/>
      </c>
      <c r="H94">
        <f>'交易流水'!K54</f>
        <v/>
      </c>
      <c r="I94">
        <f>'交易流水'!P54</f>
        <v/>
      </c>
      <c r="J94">
        <f>'交易流水'!L54</f>
        <v/>
      </c>
      <c r="K94">
        <f>'交易流水'!AR54</f>
        <v/>
      </c>
      <c r="L94">
        <f>IF(H94&gt;0,K94/H94,"")</f>
        <v/>
      </c>
      <c r="M94">
        <f>IF(G94="买入",H94,0)</f>
        <v/>
      </c>
      <c r="N94">
        <f>IF(G94="买入",K94,0)</f>
        <v/>
      </c>
      <c r="O94">
        <f>IF(G94="卖出",H94,0)</f>
        <v/>
      </c>
      <c r="P94">
        <f>IF(G94="卖出",K94,0)</f>
        <v/>
      </c>
      <c r="Q94">
        <f>SUMIFS($H$2:H93,$A$2:A93,"流水",$D$2:D93,D94,$E$2:E93,E94,$G$2:G93,"买入")</f>
        <v/>
      </c>
      <c r="R94">
        <f>SUMIFS($K$2:K93,$A$2:A93,"流水",$D$2:D93,D94,$E$2:E93,E94,$G$2:G93,"买入")</f>
        <v/>
      </c>
      <c r="S94">
        <f>IF(Q94&gt;0,R94/Q94,"")</f>
        <v/>
      </c>
      <c r="T94">
        <f>IF(G94="卖出",IF(S94="","",(L94-S94)*H94),0)</f>
        <v/>
      </c>
      <c r="U94" t="n">
        <v>0</v>
      </c>
      <c r="V94">
        <f>IF(AND(J94&gt;0,D94="深港"),K94/J94,"")</f>
        <v/>
      </c>
      <c r="W94">
        <f>IF(G94="卖出","(L94-S94)×H94 = ("&amp;TEXT(L94,"0.######")&amp;"-"&amp;TEXT(S94,"0.######")&amp;")×"&amp;H94,"")</f>
        <v/>
      </c>
      <c r="Y94">
        <f>IF(E94="","",IF(D94="深港",TEXT(--E94,"0000")&amp;".HK",IF(--E94&gt;=600000,TEXT(--E94,"000000")&amp;".SH",TEXT(--E94,"000000")&amp;".SZ")))</f>
        <v/>
      </c>
      <c r="Z94">
        <f>IF(Y94="","",IFERROR(INDEX('估值日行情'!$C$3:$C$61,MATCH(Y94,'估值日行情'!$A$3:$A$61,0)),""))</f>
        <v/>
      </c>
      <c r="AA94">
        <f>IF(D94="深港",IFERROR('FX_RATES_TO_CNY_HIST'!$B$3,""),1)</f>
        <v/>
      </c>
      <c r="AB94">
        <f>IF(Z94&lt;&gt;"",Z94*AA94,"")</f>
        <v/>
      </c>
      <c r="AC94">
        <f>SUMIFS($H$2:H94,$D$2:D94,D94,$E$2:E94,E94,$G$2:G94,"买入")-SUMIFS($H$2:H94,$D$2:D94,D94,$E$2:E94,E94,$G$2:G94,"卖出")</f>
        <v/>
      </c>
      <c r="AD94">
        <f>IF(D94="深港",IF(Q94&gt;0,SUMIFS($J$2:J93,$D$2:D93,D94,$E$2:E93,E94,$G$2:G93,"买入")/SUMIFS($H$2:H93,$D$2:D93,D94,$E$2:E93,E94,$G$2:G93,"买入"),""),S94)</f>
        <v/>
      </c>
      <c r="AE94">
        <f>IF(AC94&gt;0,AC94*Z94-AC94*AD94,0)</f>
        <v/>
      </c>
      <c r="AF94">
        <f>IF(AC94&gt;0,IF(D94="深港",AE94*AA94,AE94),0)</f>
        <v/>
      </c>
      <c r="AG94">
        <f>SUMIFS($H$2:H93,$D$2:D93,D94,$E$2:E93,E94,$G$2:G93,"买入")</f>
        <v/>
      </c>
      <c r="AH94">
        <f>SUMIFS($K$2:K93,$D$2:D93,D94,$E$2:E93,E94,$G$2:G93,"买入")</f>
        <v/>
      </c>
      <c r="AI94">
        <f>IF(AG94&gt;0,AH94/AG94,"")</f>
        <v/>
      </c>
      <c r="AJ94">
        <f>IF(G94="卖出",IF(AI94="","",(L94-AI94)*H94),0)</f>
        <v/>
      </c>
      <c r="AK94">
        <f>IF(G94="卖出",AJ94-T94,"")</f>
        <v/>
      </c>
      <c r="AL94">
        <f>IF(G94="卖出","(L94-AI94)×H94 = ("&amp;TEXT(L94,"0.######")&amp;"-"&amp;TEXT(AI94,"0.######")&amp;")×"&amp;H94,"")</f>
        <v/>
      </c>
    </row>
    <row r="95">
      <c r="A95">
        <f>IF('交易流水'!A55&lt;&gt;"","流水","")</f>
        <v/>
      </c>
      <c r="B95">
        <f>'交易流水'!B55</f>
        <v/>
      </c>
      <c r="C95">
        <f>'交易流水'!X55</f>
        <v/>
      </c>
      <c r="D95">
        <f>IF(ISNUMBER(SEARCH("深港",C95)),"深港",IF(ISNUMBER(SEARCH("场内",C95)),"场内","其他"))</f>
        <v/>
      </c>
      <c r="E95">
        <f>'交易流水'!F55</f>
        <v/>
      </c>
      <c r="F95">
        <f>'交易流水'!G55</f>
        <v/>
      </c>
      <c r="G95">
        <f>'交易流水'!H55</f>
        <v/>
      </c>
      <c r="H95">
        <f>'交易流水'!K55</f>
        <v/>
      </c>
      <c r="I95">
        <f>'交易流水'!P55</f>
        <v/>
      </c>
      <c r="J95">
        <f>'交易流水'!L55</f>
        <v/>
      </c>
      <c r="K95">
        <f>'交易流水'!AR55</f>
        <v/>
      </c>
      <c r="L95">
        <f>IF(H95&gt;0,K95/H95,"")</f>
        <v/>
      </c>
      <c r="M95">
        <f>IF(G95="买入",H95,0)</f>
        <v/>
      </c>
      <c r="N95">
        <f>IF(G95="买入",K95,0)</f>
        <v/>
      </c>
      <c r="O95">
        <f>IF(G95="卖出",H95,0)</f>
        <v/>
      </c>
      <c r="P95">
        <f>IF(G95="卖出",K95,0)</f>
        <v/>
      </c>
      <c r="Q95">
        <f>SUMIFS($H$2:H94,$A$2:A94,"流水",$D$2:D94,D95,$E$2:E94,E95,$G$2:G94,"买入")</f>
        <v/>
      </c>
      <c r="R95">
        <f>SUMIFS($K$2:K94,$A$2:A94,"流水",$D$2:D94,D95,$E$2:E94,E95,$G$2:G94,"买入")</f>
        <v/>
      </c>
      <c r="S95">
        <f>IF(Q95&gt;0,R95/Q95,"")</f>
        <v/>
      </c>
      <c r="T95">
        <f>IF(G95="卖出",IF(S95="","",(L95-S95)*H95),0)</f>
        <v/>
      </c>
      <c r="U95" t="n">
        <v>0</v>
      </c>
      <c r="V95">
        <f>IF(AND(J95&gt;0,D95="深港"),K95/J95,"")</f>
        <v/>
      </c>
      <c r="W95">
        <f>IF(G95="卖出","(L95-S95)×H95 = ("&amp;TEXT(L95,"0.######")&amp;"-"&amp;TEXT(S95,"0.######")&amp;")×"&amp;H95,"")</f>
        <v/>
      </c>
      <c r="Y95">
        <f>IF(E95="","",IF(D95="深港",TEXT(--E95,"0000")&amp;".HK",IF(--E95&gt;=600000,TEXT(--E95,"000000")&amp;".SH",TEXT(--E95,"000000")&amp;".SZ")))</f>
        <v/>
      </c>
      <c r="Z95">
        <f>IF(Y95="","",IFERROR(INDEX('估值日行情'!$C$3:$C$61,MATCH(Y95,'估值日行情'!$A$3:$A$61,0)),""))</f>
        <v/>
      </c>
      <c r="AA95">
        <f>IF(D95="深港",IFERROR('FX_RATES_TO_CNY_HIST'!$B$3,""),1)</f>
        <v/>
      </c>
      <c r="AB95">
        <f>IF(Z95&lt;&gt;"",Z95*AA95,"")</f>
        <v/>
      </c>
      <c r="AC95">
        <f>SUMIFS($H$2:H95,$D$2:D95,D95,$E$2:E95,E95,$G$2:G95,"买入")-SUMIFS($H$2:H95,$D$2:D95,D95,$E$2:E95,E95,$G$2:G95,"卖出")</f>
        <v/>
      </c>
      <c r="AD95">
        <f>IF(D95="深港",IF(Q95&gt;0,SUMIFS($J$2:J94,$D$2:D94,D95,$E$2:E94,E95,$G$2:G94,"买入")/SUMIFS($H$2:H94,$D$2:D94,D95,$E$2:E94,E95,$G$2:G94,"买入"),""),S95)</f>
        <v/>
      </c>
      <c r="AE95">
        <f>IF(AC95&gt;0,AC95*Z95-AC95*AD95,0)</f>
        <v/>
      </c>
      <c r="AF95">
        <f>IF(AC95&gt;0,IF(D95="深港",AE95*AA95,AE95),0)</f>
        <v/>
      </c>
      <c r="AG95">
        <f>SUMIFS($H$2:H94,$D$2:D94,D95,$E$2:E94,E95,$G$2:G94,"买入")</f>
        <v/>
      </c>
      <c r="AH95">
        <f>SUMIFS($K$2:K94,$D$2:D94,D95,$E$2:E94,E95,$G$2:G94,"买入")</f>
        <v/>
      </c>
      <c r="AI95">
        <f>IF(AG95&gt;0,AH95/AG95,"")</f>
        <v/>
      </c>
      <c r="AJ95">
        <f>IF(G95="卖出",IF(AI95="","",(L95-AI95)*H95),0)</f>
        <v/>
      </c>
      <c r="AK95">
        <f>IF(G95="卖出",AJ95-T95,"")</f>
        <v/>
      </c>
      <c r="AL95">
        <f>IF(G95="卖出","(L95-AI95)×H95 = ("&amp;TEXT(L95,"0.######")&amp;"-"&amp;TEXT(AI95,"0.######")&amp;")×"&amp;H95,"")</f>
        <v/>
      </c>
    </row>
    <row r="96">
      <c r="A96">
        <f>IF('交易流水'!A56&lt;&gt;"","流水","")</f>
        <v/>
      </c>
      <c r="B96">
        <f>'交易流水'!B56</f>
        <v/>
      </c>
      <c r="C96">
        <f>'交易流水'!X56</f>
        <v/>
      </c>
      <c r="D96">
        <f>IF(ISNUMBER(SEARCH("深港",C96)),"深港",IF(ISNUMBER(SEARCH("场内",C96)),"场内","其他"))</f>
        <v/>
      </c>
      <c r="E96">
        <f>'交易流水'!F56</f>
        <v/>
      </c>
      <c r="F96">
        <f>'交易流水'!G56</f>
        <v/>
      </c>
      <c r="G96">
        <f>'交易流水'!H56</f>
        <v/>
      </c>
      <c r="H96">
        <f>'交易流水'!K56</f>
        <v/>
      </c>
      <c r="I96">
        <f>'交易流水'!P56</f>
        <v/>
      </c>
      <c r="J96">
        <f>'交易流水'!L56</f>
        <v/>
      </c>
      <c r="K96">
        <f>'交易流水'!AR56</f>
        <v/>
      </c>
      <c r="L96">
        <f>IF(H96&gt;0,K96/H96,"")</f>
        <v/>
      </c>
      <c r="M96">
        <f>IF(G96="买入",H96,0)</f>
        <v/>
      </c>
      <c r="N96">
        <f>IF(G96="买入",K96,0)</f>
        <v/>
      </c>
      <c r="O96">
        <f>IF(G96="卖出",H96,0)</f>
        <v/>
      </c>
      <c r="P96">
        <f>IF(G96="卖出",K96,0)</f>
        <v/>
      </c>
      <c r="Q96">
        <f>SUMIFS($H$2:H95,$A$2:A95,"流水",$D$2:D95,D96,$E$2:E95,E96,$G$2:G95,"买入")</f>
        <v/>
      </c>
      <c r="R96">
        <f>SUMIFS($K$2:K95,$A$2:A95,"流水",$D$2:D95,D96,$E$2:E95,E96,$G$2:G95,"买入")</f>
        <v/>
      </c>
      <c r="S96">
        <f>IF(Q96&gt;0,R96/Q96,"")</f>
        <v/>
      </c>
      <c r="T96">
        <f>IF(G96="卖出",IF(S96="","",(L96-S96)*H96),0)</f>
        <v/>
      </c>
      <c r="U96" t="n">
        <v>0</v>
      </c>
      <c r="V96">
        <f>IF(AND(J96&gt;0,D96="深港"),K96/J96,"")</f>
        <v/>
      </c>
      <c r="W96">
        <f>IF(G96="卖出","(L96-S96)×H96 = ("&amp;TEXT(L96,"0.######")&amp;"-"&amp;TEXT(S96,"0.######")&amp;")×"&amp;H96,"")</f>
        <v/>
      </c>
      <c r="Y96">
        <f>IF(E96="","",IF(D96="深港",TEXT(--E96,"0000")&amp;".HK",IF(--E96&gt;=600000,TEXT(--E96,"000000")&amp;".SH",TEXT(--E96,"000000")&amp;".SZ")))</f>
        <v/>
      </c>
      <c r="Z96">
        <f>IF(Y96="","",IFERROR(INDEX('估值日行情'!$C$3:$C$61,MATCH(Y96,'估值日行情'!$A$3:$A$61,0)),""))</f>
        <v/>
      </c>
      <c r="AA96">
        <f>IF(D96="深港",IFERROR('FX_RATES_TO_CNY_HIST'!$B$3,""),1)</f>
        <v/>
      </c>
      <c r="AB96">
        <f>IF(Z96&lt;&gt;"",Z96*AA96,"")</f>
        <v/>
      </c>
      <c r="AC96">
        <f>SUMIFS($H$2:H96,$D$2:D96,D96,$E$2:E96,E96,$G$2:G96,"买入")-SUMIFS($H$2:H96,$D$2:D96,D96,$E$2:E96,E96,$G$2:G96,"卖出")</f>
        <v/>
      </c>
      <c r="AD96">
        <f>IF(D96="深港",IF(Q96&gt;0,SUMIFS($J$2:J95,$D$2:D95,D96,$E$2:E95,E96,$G$2:G95,"买入")/SUMIFS($H$2:H95,$D$2:D95,D96,$E$2:E95,E96,$G$2:G95,"买入"),""),S96)</f>
        <v/>
      </c>
      <c r="AE96">
        <f>IF(AC96&gt;0,AC96*Z96-AC96*AD96,0)</f>
        <v/>
      </c>
      <c r="AF96">
        <f>IF(AC96&gt;0,IF(D96="深港",AE96*AA96,AE96),0)</f>
        <v/>
      </c>
      <c r="AG96">
        <f>SUMIFS($H$2:H95,$D$2:D95,D96,$E$2:E95,E96,$G$2:G95,"买入")</f>
        <v/>
      </c>
      <c r="AH96">
        <f>SUMIFS($K$2:K95,$D$2:D95,D96,$E$2:E95,E96,$G$2:G95,"买入")</f>
        <v/>
      </c>
      <c r="AI96">
        <f>IF(AG96&gt;0,AH96/AG96,"")</f>
        <v/>
      </c>
      <c r="AJ96">
        <f>IF(G96="卖出",IF(AI96="","",(L96-AI96)*H96),0)</f>
        <v/>
      </c>
      <c r="AK96">
        <f>IF(G96="卖出",AJ96-T96,"")</f>
        <v/>
      </c>
      <c r="AL96">
        <f>IF(G96="卖出","(L96-AI96)×H96 = ("&amp;TEXT(L96,"0.######")&amp;"-"&amp;TEXT(AI96,"0.######")&amp;")×"&amp;H96,"")</f>
        <v/>
      </c>
    </row>
    <row r="97">
      <c r="A97">
        <f>IF('交易流水'!A57&lt;&gt;"","流水","")</f>
        <v/>
      </c>
      <c r="B97">
        <f>'交易流水'!B57</f>
        <v/>
      </c>
      <c r="C97">
        <f>'交易流水'!X57</f>
        <v/>
      </c>
      <c r="D97">
        <f>IF(ISNUMBER(SEARCH("深港",C97)),"深港",IF(ISNUMBER(SEARCH("场内",C97)),"场内","其他"))</f>
        <v/>
      </c>
      <c r="E97">
        <f>'交易流水'!F57</f>
        <v/>
      </c>
      <c r="F97">
        <f>'交易流水'!G57</f>
        <v/>
      </c>
      <c r="G97">
        <f>'交易流水'!H57</f>
        <v/>
      </c>
      <c r="H97">
        <f>'交易流水'!K57</f>
        <v/>
      </c>
      <c r="I97">
        <f>'交易流水'!P57</f>
        <v/>
      </c>
      <c r="J97">
        <f>'交易流水'!L57</f>
        <v/>
      </c>
      <c r="K97">
        <f>'交易流水'!AR57</f>
        <v/>
      </c>
      <c r="L97">
        <f>IF(H97&gt;0,K97/H97,"")</f>
        <v/>
      </c>
      <c r="M97">
        <f>IF(G97="买入",H97,0)</f>
        <v/>
      </c>
      <c r="N97">
        <f>IF(G97="买入",K97,0)</f>
        <v/>
      </c>
      <c r="O97">
        <f>IF(G97="卖出",H97,0)</f>
        <v/>
      </c>
      <c r="P97">
        <f>IF(G97="卖出",K97,0)</f>
        <v/>
      </c>
      <c r="Q97">
        <f>SUMIFS($H$2:H96,$A$2:A96,"流水",$D$2:D96,D97,$E$2:E96,E97,$G$2:G96,"买入")</f>
        <v/>
      </c>
      <c r="R97">
        <f>SUMIFS($K$2:K96,$A$2:A96,"流水",$D$2:D96,D97,$E$2:E96,E97,$G$2:G96,"买入")</f>
        <v/>
      </c>
      <c r="S97">
        <f>IF(Q97&gt;0,R97/Q97,"")</f>
        <v/>
      </c>
      <c r="T97">
        <f>IF(G97="卖出",IF(S97="","",(L97-S97)*H97),0)</f>
        <v/>
      </c>
      <c r="U97" t="n">
        <v>0</v>
      </c>
      <c r="V97">
        <f>IF(AND(J97&gt;0,D97="深港"),K97/J97,"")</f>
        <v/>
      </c>
      <c r="W97">
        <f>IF(G97="卖出","(L97-S97)×H97 = ("&amp;TEXT(L97,"0.######")&amp;"-"&amp;TEXT(S97,"0.######")&amp;")×"&amp;H97,"")</f>
        <v/>
      </c>
      <c r="Y97">
        <f>IF(E97="","",IF(D97="深港",TEXT(--E97,"0000")&amp;".HK",IF(--E97&gt;=600000,TEXT(--E97,"000000")&amp;".SH",TEXT(--E97,"000000")&amp;".SZ")))</f>
        <v/>
      </c>
      <c r="Z97">
        <f>IF(Y97="","",IFERROR(INDEX('估值日行情'!$C$3:$C$61,MATCH(Y97,'估值日行情'!$A$3:$A$61,0)),""))</f>
        <v/>
      </c>
      <c r="AA97">
        <f>IF(D97="深港",IFERROR('FX_RATES_TO_CNY_HIST'!$B$3,""),1)</f>
        <v/>
      </c>
      <c r="AB97">
        <f>IF(Z97&lt;&gt;"",Z97*AA97,"")</f>
        <v/>
      </c>
      <c r="AC97">
        <f>SUMIFS($H$2:H97,$D$2:D97,D97,$E$2:E97,E97,$G$2:G97,"买入")-SUMIFS($H$2:H97,$D$2:D97,D97,$E$2:E97,E97,$G$2:G97,"卖出")</f>
        <v/>
      </c>
      <c r="AD97">
        <f>IF(D97="深港",IF(Q97&gt;0,SUMIFS($J$2:J96,$D$2:D96,D97,$E$2:E96,E97,$G$2:G96,"买入")/SUMIFS($H$2:H96,$D$2:D96,D97,$E$2:E96,E97,$G$2:G96,"买入"),""),S97)</f>
        <v/>
      </c>
      <c r="AE97">
        <f>IF(AC97&gt;0,AC97*Z97-AC97*AD97,0)</f>
        <v/>
      </c>
      <c r="AF97">
        <f>IF(AC97&gt;0,IF(D97="深港",AE97*AA97,AE97),0)</f>
        <v/>
      </c>
      <c r="AG97">
        <f>SUMIFS($H$2:H96,$D$2:D96,D97,$E$2:E96,E97,$G$2:G96,"买入")</f>
        <v/>
      </c>
      <c r="AH97">
        <f>SUMIFS($K$2:K96,$D$2:D96,D97,$E$2:E96,E97,$G$2:G96,"买入")</f>
        <v/>
      </c>
      <c r="AI97">
        <f>IF(AG97&gt;0,AH97/AG97,"")</f>
        <v/>
      </c>
      <c r="AJ97">
        <f>IF(G97="卖出",IF(AI97="","",(L97-AI97)*H97),0)</f>
        <v/>
      </c>
      <c r="AK97">
        <f>IF(G97="卖出",AJ97-T97,"")</f>
        <v/>
      </c>
      <c r="AL97">
        <f>IF(G97="卖出","(L97-AI97)×H97 = ("&amp;TEXT(L97,"0.######")&amp;"-"&amp;TEXT(AI97,"0.######")&amp;")×"&amp;H97,"")</f>
        <v/>
      </c>
    </row>
    <row r="98">
      <c r="A98">
        <f>IF('交易流水'!A58&lt;&gt;"","流水","")</f>
        <v/>
      </c>
      <c r="B98">
        <f>'交易流水'!B58</f>
        <v/>
      </c>
      <c r="C98">
        <f>'交易流水'!X58</f>
        <v/>
      </c>
      <c r="D98">
        <f>IF(ISNUMBER(SEARCH("深港",C98)),"深港",IF(ISNUMBER(SEARCH("场内",C98)),"场内","其他"))</f>
        <v/>
      </c>
      <c r="E98">
        <f>'交易流水'!F58</f>
        <v/>
      </c>
      <c r="F98">
        <f>'交易流水'!G58</f>
        <v/>
      </c>
      <c r="G98">
        <f>'交易流水'!H58</f>
        <v/>
      </c>
      <c r="H98">
        <f>'交易流水'!K58</f>
        <v/>
      </c>
      <c r="I98">
        <f>'交易流水'!P58</f>
        <v/>
      </c>
      <c r="J98">
        <f>'交易流水'!L58</f>
        <v/>
      </c>
      <c r="K98">
        <f>'交易流水'!AR58</f>
        <v/>
      </c>
      <c r="L98">
        <f>IF(H98&gt;0,K98/H98,"")</f>
        <v/>
      </c>
      <c r="M98">
        <f>IF(G98="买入",H98,0)</f>
        <v/>
      </c>
      <c r="N98">
        <f>IF(G98="买入",K98,0)</f>
        <v/>
      </c>
      <c r="O98">
        <f>IF(G98="卖出",H98,0)</f>
        <v/>
      </c>
      <c r="P98">
        <f>IF(G98="卖出",K98,0)</f>
        <v/>
      </c>
      <c r="Q98">
        <f>SUMIFS($H$2:H97,$A$2:A97,"流水",$D$2:D97,D98,$E$2:E97,E98,$G$2:G97,"买入")</f>
        <v/>
      </c>
      <c r="R98">
        <f>SUMIFS($K$2:K97,$A$2:A97,"流水",$D$2:D97,D98,$E$2:E97,E98,$G$2:G97,"买入")</f>
        <v/>
      </c>
      <c r="S98">
        <f>IF(Q98&gt;0,R98/Q98,"")</f>
        <v/>
      </c>
      <c r="T98">
        <f>IF(G98="卖出",IF(S98="","",(L98-S98)*H98),0)</f>
        <v/>
      </c>
      <c r="U98" t="n">
        <v>0</v>
      </c>
      <c r="V98">
        <f>IF(AND(J98&gt;0,D98="深港"),K98/J98,"")</f>
        <v/>
      </c>
      <c r="W98">
        <f>IF(G98="卖出","(L98-S98)×H98 = ("&amp;TEXT(L98,"0.######")&amp;"-"&amp;TEXT(S98,"0.######")&amp;")×"&amp;H98,"")</f>
        <v/>
      </c>
      <c r="Y98">
        <f>IF(E98="","",IF(D98="深港",TEXT(--E98,"0000")&amp;".HK",IF(--E98&gt;=600000,TEXT(--E98,"000000")&amp;".SH",TEXT(--E98,"000000")&amp;".SZ")))</f>
        <v/>
      </c>
      <c r="Z98">
        <f>IF(Y98="","",IFERROR(INDEX('估值日行情'!$C$3:$C$61,MATCH(Y98,'估值日行情'!$A$3:$A$61,0)),""))</f>
        <v/>
      </c>
      <c r="AA98">
        <f>IF(D98="深港",IFERROR('FX_RATES_TO_CNY_HIST'!$B$3,""),1)</f>
        <v/>
      </c>
      <c r="AB98">
        <f>IF(Z98&lt;&gt;"",Z98*AA98,"")</f>
        <v/>
      </c>
      <c r="AC98">
        <f>SUMIFS($H$2:H98,$D$2:D98,D98,$E$2:E98,E98,$G$2:G98,"买入")-SUMIFS($H$2:H98,$D$2:D98,D98,$E$2:E98,E98,$G$2:G98,"卖出")</f>
        <v/>
      </c>
      <c r="AD98">
        <f>IF(D98="深港",IF(Q98&gt;0,SUMIFS($J$2:J97,$D$2:D97,D98,$E$2:E97,E98,$G$2:G97,"买入")/SUMIFS($H$2:H97,$D$2:D97,D98,$E$2:E97,E98,$G$2:G97,"买入"),""),S98)</f>
        <v/>
      </c>
      <c r="AE98">
        <f>IF(AC98&gt;0,AC98*Z98-AC98*AD98,0)</f>
        <v/>
      </c>
      <c r="AF98">
        <f>IF(AC98&gt;0,IF(D98="深港",AE98*AA98,AE98),0)</f>
        <v/>
      </c>
      <c r="AG98">
        <f>SUMIFS($H$2:H97,$D$2:D97,D98,$E$2:E97,E98,$G$2:G97,"买入")</f>
        <v/>
      </c>
      <c r="AH98">
        <f>SUMIFS($K$2:K97,$D$2:D97,D98,$E$2:E97,E98,$G$2:G97,"买入")</f>
        <v/>
      </c>
      <c r="AI98">
        <f>IF(AG98&gt;0,AH98/AG98,"")</f>
        <v/>
      </c>
      <c r="AJ98">
        <f>IF(G98="卖出",IF(AI98="","",(L98-AI98)*H98),0)</f>
        <v/>
      </c>
      <c r="AK98">
        <f>IF(G98="卖出",AJ98-T98,"")</f>
        <v/>
      </c>
      <c r="AL98">
        <f>IF(G98="卖出","(L98-AI98)×H98 = ("&amp;TEXT(L98,"0.######")&amp;"-"&amp;TEXT(AI98,"0.######")&amp;")×"&amp;H98,"")</f>
        <v/>
      </c>
    </row>
    <row r="99">
      <c r="A99">
        <f>IF('交易流水'!A59&lt;&gt;"","流水","")</f>
        <v/>
      </c>
      <c r="B99">
        <f>'交易流水'!B59</f>
        <v/>
      </c>
      <c r="C99">
        <f>'交易流水'!X59</f>
        <v/>
      </c>
      <c r="D99">
        <f>IF(ISNUMBER(SEARCH("深港",C99)),"深港",IF(ISNUMBER(SEARCH("场内",C99)),"场内","其他"))</f>
        <v/>
      </c>
      <c r="E99">
        <f>'交易流水'!F59</f>
        <v/>
      </c>
      <c r="F99">
        <f>'交易流水'!G59</f>
        <v/>
      </c>
      <c r="G99">
        <f>'交易流水'!H59</f>
        <v/>
      </c>
      <c r="H99">
        <f>'交易流水'!K59</f>
        <v/>
      </c>
      <c r="I99">
        <f>'交易流水'!P59</f>
        <v/>
      </c>
      <c r="J99">
        <f>'交易流水'!L59</f>
        <v/>
      </c>
      <c r="K99">
        <f>'交易流水'!AR59</f>
        <v/>
      </c>
      <c r="L99">
        <f>IF(H99&gt;0,K99/H99,"")</f>
        <v/>
      </c>
      <c r="M99">
        <f>IF(G99="买入",H99,0)</f>
        <v/>
      </c>
      <c r="N99">
        <f>IF(G99="买入",K99,0)</f>
        <v/>
      </c>
      <c r="O99">
        <f>IF(G99="卖出",H99,0)</f>
        <v/>
      </c>
      <c r="P99">
        <f>IF(G99="卖出",K99,0)</f>
        <v/>
      </c>
      <c r="Q99">
        <f>SUMIFS($H$2:H98,$A$2:A98,"流水",$D$2:D98,D99,$E$2:E98,E99,$G$2:G98,"买入")</f>
        <v/>
      </c>
      <c r="R99">
        <f>SUMIFS($K$2:K98,$A$2:A98,"流水",$D$2:D98,D99,$E$2:E98,E99,$G$2:G98,"买入")</f>
        <v/>
      </c>
      <c r="S99">
        <f>IF(Q99&gt;0,R99/Q99,"")</f>
        <v/>
      </c>
      <c r="T99">
        <f>IF(G99="卖出",IF(S99="","",(L99-S99)*H99),0)</f>
        <v/>
      </c>
      <c r="U99" t="n">
        <v>0</v>
      </c>
      <c r="V99">
        <f>IF(AND(J99&gt;0,D99="深港"),K99/J99,"")</f>
        <v/>
      </c>
      <c r="W99">
        <f>IF(G99="卖出","(L99-S99)×H99 = ("&amp;TEXT(L99,"0.######")&amp;"-"&amp;TEXT(S99,"0.######")&amp;")×"&amp;H99,"")</f>
        <v/>
      </c>
      <c r="Y99">
        <f>IF(E99="","",IF(D99="深港",TEXT(--E99,"0000")&amp;".HK",IF(--E99&gt;=600000,TEXT(--E99,"000000")&amp;".SH",TEXT(--E99,"000000")&amp;".SZ")))</f>
        <v/>
      </c>
      <c r="Z99">
        <f>IF(Y99="","",IFERROR(INDEX('估值日行情'!$C$3:$C$61,MATCH(Y99,'估值日行情'!$A$3:$A$61,0)),""))</f>
        <v/>
      </c>
      <c r="AA99">
        <f>IF(D99="深港",IFERROR('FX_RATES_TO_CNY_HIST'!$B$3,""),1)</f>
        <v/>
      </c>
      <c r="AB99">
        <f>IF(Z99&lt;&gt;"",Z99*AA99,"")</f>
        <v/>
      </c>
      <c r="AC99">
        <f>SUMIFS($H$2:H99,$D$2:D99,D99,$E$2:E99,E99,$G$2:G99,"买入")-SUMIFS($H$2:H99,$D$2:D99,D99,$E$2:E99,E99,$G$2:G99,"卖出")</f>
        <v/>
      </c>
      <c r="AD99">
        <f>IF(D99="深港",IF(Q99&gt;0,SUMIFS($J$2:J98,$D$2:D98,D99,$E$2:E98,E99,$G$2:G98,"买入")/SUMIFS($H$2:H98,$D$2:D98,D99,$E$2:E98,E99,$G$2:G98,"买入"),""),S99)</f>
        <v/>
      </c>
      <c r="AE99">
        <f>IF(AC99&gt;0,AC99*Z99-AC99*AD99,0)</f>
        <v/>
      </c>
      <c r="AF99">
        <f>IF(AC99&gt;0,IF(D99="深港",AE99*AA99,AE99),0)</f>
        <v/>
      </c>
      <c r="AG99">
        <f>SUMIFS($H$2:H98,$D$2:D98,D99,$E$2:E98,E99,$G$2:G98,"买入")</f>
        <v/>
      </c>
      <c r="AH99">
        <f>SUMIFS($K$2:K98,$D$2:D98,D99,$E$2:E98,E99,$G$2:G98,"买入")</f>
        <v/>
      </c>
      <c r="AI99">
        <f>IF(AG99&gt;0,AH99/AG99,"")</f>
        <v/>
      </c>
      <c r="AJ99">
        <f>IF(G99="卖出",IF(AI99="","",(L99-AI99)*H99),0)</f>
        <v/>
      </c>
      <c r="AK99">
        <f>IF(G99="卖出",AJ99-T99,"")</f>
        <v/>
      </c>
      <c r="AL99">
        <f>IF(G99="卖出","(L99-AI99)×H99 = ("&amp;TEXT(L99,"0.######")&amp;"-"&amp;TEXT(AI99,"0.######")&amp;")×"&amp;H99,"")</f>
        <v/>
      </c>
    </row>
    <row r="100">
      <c r="A100">
        <f>IF('交易流水'!A60&lt;&gt;"","流水","")</f>
        <v/>
      </c>
      <c r="B100">
        <f>'交易流水'!B60</f>
        <v/>
      </c>
      <c r="C100">
        <f>'交易流水'!X60</f>
        <v/>
      </c>
      <c r="D100">
        <f>IF(ISNUMBER(SEARCH("深港",C100)),"深港",IF(ISNUMBER(SEARCH("场内",C100)),"场内","其他"))</f>
        <v/>
      </c>
      <c r="E100">
        <f>'交易流水'!F60</f>
        <v/>
      </c>
      <c r="F100">
        <f>'交易流水'!G60</f>
        <v/>
      </c>
      <c r="G100">
        <f>'交易流水'!H60</f>
        <v/>
      </c>
      <c r="H100">
        <f>'交易流水'!K60</f>
        <v/>
      </c>
      <c r="I100">
        <f>'交易流水'!P60</f>
        <v/>
      </c>
      <c r="J100">
        <f>'交易流水'!L60</f>
        <v/>
      </c>
      <c r="K100">
        <f>'交易流水'!AR60</f>
        <v/>
      </c>
      <c r="L100">
        <f>IF(H100&gt;0,K100/H100,"")</f>
        <v/>
      </c>
      <c r="M100">
        <f>IF(G100="买入",H100,0)</f>
        <v/>
      </c>
      <c r="N100">
        <f>IF(G100="买入",K100,0)</f>
        <v/>
      </c>
      <c r="O100">
        <f>IF(G100="卖出",H100,0)</f>
        <v/>
      </c>
      <c r="P100">
        <f>IF(G100="卖出",K100,0)</f>
        <v/>
      </c>
      <c r="Q100">
        <f>SUMIFS($H$2:H99,$A$2:A99,"流水",$D$2:D99,D100,$E$2:E99,E100,$G$2:G99,"买入")</f>
        <v/>
      </c>
      <c r="R100">
        <f>SUMIFS($K$2:K99,$A$2:A99,"流水",$D$2:D99,D100,$E$2:E99,E100,$G$2:G99,"买入")</f>
        <v/>
      </c>
      <c r="S100">
        <f>IF(Q100&gt;0,R100/Q100,"")</f>
        <v/>
      </c>
      <c r="T100">
        <f>IF(G100="卖出",IF(S100="","",(L100-S100)*H100),0)</f>
        <v/>
      </c>
      <c r="U100" t="n">
        <v>0</v>
      </c>
      <c r="V100">
        <f>IF(AND(J100&gt;0,D100="深港"),K100/J100,"")</f>
        <v/>
      </c>
      <c r="W100">
        <f>IF(G100="卖出","(L100-S100)×H100 = ("&amp;TEXT(L100,"0.######")&amp;"-"&amp;TEXT(S100,"0.######")&amp;")×"&amp;H100,"")</f>
        <v/>
      </c>
      <c r="Y100">
        <f>IF(E100="","",IF(D100="深港",TEXT(--E100,"0000")&amp;".HK",IF(--E100&gt;=600000,TEXT(--E100,"000000")&amp;".SH",TEXT(--E100,"000000")&amp;".SZ")))</f>
        <v/>
      </c>
      <c r="Z100">
        <f>IF(Y100="","",IFERROR(INDEX('估值日行情'!$C$3:$C$61,MATCH(Y100,'估值日行情'!$A$3:$A$61,0)),""))</f>
        <v/>
      </c>
      <c r="AA100">
        <f>IF(D100="深港",IFERROR('FX_RATES_TO_CNY_HIST'!$B$3,""),1)</f>
        <v/>
      </c>
      <c r="AB100">
        <f>IF(Z100&lt;&gt;"",Z100*AA100,"")</f>
        <v/>
      </c>
      <c r="AC100">
        <f>SUMIFS($H$2:H100,$D$2:D100,D100,$E$2:E100,E100,$G$2:G100,"买入")-SUMIFS($H$2:H100,$D$2:D100,D100,$E$2:E100,E100,$G$2:G100,"卖出")</f>
        <v/>
      </c>
      <c r="AD100">
        <f>IF(D100="深港",IF(Q100&gt;0,SUMIFS($J$2:J99,$D$2:D99,D100,$E$2:E99,E100,$G$2:G99,"买入")/SUMIFS($H$2:H99,$D$2:D99,D100,$E$2:E99,E100,$G$2:G99,"买入"),""),S100)</f>
        <v/>
      </c>
      <c r="AE100">
        <f>IF(AC100&gt;0,AC100*Z100-AC100*AD100,0)</f>
        <v/>
      </c>
      <c r="AF100">
        <f>IF(AC100&gt;0,IF(D100="深港",AE100*AA100,AE100),0)</f>
        <v/>
      </c>
      <c r="AG100">
        <f>SUMIFS($H$2:H99,$D$2:D99,D100,$E$2:E99,E100,$G$2:G99,"买入")</f>
        <v/>
      </c>
      <c r="AH100">
        <f>SUMIFS($K$2:K99,$D$2:D99,D100,$E$2:E99,E100,$G$2:G99,"买入")</f>
        <v/>
      </c>
      <c r="AI100">
        <f>IF(AG100&gt;0,AH100/AG100,"")</f>
        <v/>
      </c>
      <c r="AJ100">
        <f>IF(G100="卖出",IF(AI100="","",(L100-AI100)*H100),0)</f>
        <v/>
      </c>
      <c r="AK100">
        <f>IF(G100="卖出",AJ100-T100,"")</f>
        <v/>
      </c>
      <c r="AL100">
        <f>IF(G100="卖出","(L100-AI100)×H100 = ("&amp;TEXT(L100,"0.######")&amp;"-"&amp;TEXT(AI100,"0.######")&amp;")×"&amp;H100,"")</f>
        <v/>
      </c>
    </row>
    <row r="101">
      <c r="A101">
        <f>IF('交易流水'!A61&lt;&gt;"","流水","")</f>
        <v/>
      </c>
      <c r="B101">
        <f>'交易流水'!B61</f>
        <v/>
      </c>
      <c r="C101">
        <f>'交易流水'!X61</f>
        <v/>
      </c>
      <c r="D101">
        <f>IF(ISNUMBER(SEARCH("深港",C101)),"深港",IF(ISNUMBER(SEARCH("场内",C101)),"场内","其他"))</f>
        <v/>
      </c>
      <c r="E101">
        <f>'交易流水'!F61</f>
        <v/>
      </c>
      <c r="F101">
        <f>'交易流水'!G61</f>
        <v/>
      </c>
      <c r="G101">
        <f>'交易流水'!H61</f>
        <v/>
      </c>
      <c r="H101">
        <f>'交易流水'!K61</f>
        <v/>
      </c>
      <c r="I101">
        <f>'交易流水'!P61</f>
        <v/>
      </c>
      <c r="J101">
        <f>'交易流水'!L61</f>
        <v/>
      </c>
      <c r="K101">
        <f>'交易流水'!AR61</f>
        <v/>
      </c>
      <c r="L101">
        <f>IF(H101&gt;0,K101/H101,"")</f>
        <v/>
      </c>
      <c r="M101">
        <f>IF(G101="买入",H101,0)</f>
        <v/>
      </c>
      <c r="N101">
        <f>IF(G101="买入",K101,0)</f>
        <v/>
      </c>
      <c r="O101">
        <f>IF(G101="卖出",H101,0)</f>
        <v/>
      </c>
      <c r="P101">
        <f>IF(G101="卖出",K101,0)</f>
        <v/>
      </c>
      <c r="Q101">
        <f>SUMIFS($H$2:H100,$A$2:A100,"流水",$D$2:D100,D101,$E$2:E100,E101,$G$2:G100,"买入")</f>
        <v/>
      </c>
      <c r="R101">
        <f>SUMIFS($K$2:K100,$A$2:A100,"流水",$D$2:D100,D101,$E$2:E100,E101,$G$2:G100,"买入")</f>
        <v/>
      </c>
      <c r="S101">
        <f>IF(Q101&gt;0,R101/Q101,"")</f>
        <v/>
      </c>
      <c r="T101">
        <f>IF(G101="卖出",IF(S101="","",(L101-S101)*H101),0)</f>
        <v/>
      </c>
      <c r="U101" t="n">
        <v>0</v>
      </c>
      <c r="V101">
        <f>IF(AND(J101&gt;0,D101="深港"),K101/J101,"")</f>
        <v/>
      </c>
      <c r="W101">
        <f>IF(G101="卖出","(L101-S101)×H101 = ("&amp;TEXT(L101,"0.######")&amp;"-"&amp;TEXT(S101,"0.######")&amp;")×"&amp;H101,"")</f>
        <v/>
      </c>
      <c r="Y101">
        <f>IF(E101="","",IF(D101="深港",TEXT(--E101,"0000")&amp;".HK",IF(--E101&gt;=600000,TEXT(--E101,"000000")&amp;".SH",TEXT(--E101,"000000")&amp;".SZ")))</f>
        <v/>
      </c>
      <c r="Z101">
        <f>IF(Y101="","",IFERROR(INDEX('估值日行情'!$C$3:$C$61,MATCH(Y101,'估值日行情'!$A$3:$A$61,0)),""))</f>
        <v/>
      </c>
      <c r="AA101">
        <f>IF(D101="深港",IFERROR('FX_RATES_TO_CNY_HIST'!$B$3,""),1)</f>
        <v/>
      </c>
      <c r="AB101">
        <f>IF(Z101&lt;&gt;"",Z101*AA101,"")</f>
        <v/>
      </c>
      <c r="AC101">
        <f>SUMIFS($H$2:H101,$D$2:D101,D101,$E$2:E101,E101,$G$2:G101,"买入")-SUMIFS($H$2:H101,$D$2:D101,D101,$E$2:E101,E101,$G$2:G101,"卖出")</f>
        <v/>
      </c>
      <c r="AD101">
        <f>IF(D101="深港",IF(Q101&gt;0,SUMIFS($J$2:J100,$D$2:D100,D101,$E$2:E100,E101,$G$2:G100,"买入")/SUMIFS($H$2:H100,$D$2:D100,D101,$E$2:E100,E101,$G$2:G100,"买入"),""),S101)</f>
        <v/>
      </c>
      <c r="AE101">
        <f>IF(AC101&gt;0,AC101*Z101-AC101*AD101,0)</f>
        <v/>
      </c>
      <c r="AF101">
        <f>IF(AC101&gt;0,IF(D101="深港",AE101*AA101,AE101),0)</f>
        <v/>
      </c>
      <c r="AG101">
        <f>SUMIFS($H$2:H100,$D$2:D100,D101,$E$2:E100,E101,$G$2:G100,"买入")</f>
        <v/>
      </c>
      <c r="AH101">
        <f>SUMIFS($K$2:K100,$D$2:D100,D101,$E$2:E100,E101,$G$2:G100,"买入")</f>
        <v/>
      </c>
      <c r="AI101">
        <f>IF(AG101&gt;0,AH101/AG101,"")</f>
        <v/>
      </c>
      <c r="AJ101">
        <f>IF(G101="卖出",IF(AI101="","",(L101-AI101)*H101),0)</f>
        <v/>
      </c>
      <c r="AK101">
        <f>IF(G101="卖出",AJ101-T101,"")</f>
        <v/>
      </c>
      <c r="AL101">
        <f>IF(G101="卖出","(L101-AI101)×H101 = ("&amp;TEXT(L101,"0.######")&amp;"-"&amp;TEXT(AI101,"0.######")&amp;")×"&amp;H101,"")</f>
        <v/>
      </c>
    </row>
    <row r="102">
      <c r="A102">
        <f>IF('交易流水'!A62&lt;&gt;"","流水","")</f>
        <v/>
      </c>
      <c r="B102">
        <f>'交易流水'!B62</f>
        <v/>
      </c>
      <c r="C102">
        <f>'交易流水'!X62</f>
        <v/>
      </c>
      <c r="D102">
        <f>IF(ISNUMBER(SEARCH("深港",C102)),"深港",IF(ISNUMBER(SEARCH("场内",C102)),"场内","其他"))</f>
        <v/>
      </c>
      <c r="E102">
        <f>'交易流水'!F62</f>
        <v/>
      </c>
      <c r="F102">
        <f>'交易流水'!G62</f>
        <v/>
      </c>
      <c r="G102">
        <f>'交易流水'!H62</f>
        <v/>
      </c>
      <c r="H102">
        <f>'交易流水'!K62</f>
        <v/>
      </c>
      <c r="I102">
        <f>'交易流水'!P62</f>
        <v/>
      </c>
      <c r="J102">
        <f>'交易流水'!L62</f>
        <v/>
      </c>
      <c r="K102">
        <f>'交易流水'!AR62</f>
        <v/>
      </c>
      <c r="L102">
        <f>IF(H102&gt;0,K102/H102,"")</f>
        <v/>
      </c>
      <c r="M102">
        <f>IF(G102="买入",H102,0)</f>
        <v/>
      </c>
      <c r="N102">
        <f>IF(G102="买入",K102,0)</f>
        <v/>
      </c>
      <c r="O102">
        <f>IF(G102="卖出",H102,0)</f>
        <v/>
      </c>
      <c r="P102">
        <f>IF(G102="卖出",K102,0)</f>
        <v/>
      </c>
      <c r="Q102">
        <f>SUMIFS($H$2:H101,$A$2:A101,"流水",$D$2:D101,D102,$E$2:E101,E102,$G$2:G101,"买入")</f>
        <v/>
      </c>
      <c r="R102">
        <f>SUMIFS($K$2:K101,$A$2:A101,"流水",$D$2:D101,D102,$E$2:E101,E102,$G$2:G101,"买入")</f>
        <v/>
      </c>
      <c r="S102">
        <f>IF(Q102&gt;0,R102/Q102,"")</f>
        <v/>
      </c>
      <c r="T102">
        <f>IF(G102="卖出",IF(S102="","",(L102-S102)*H102),0)</f>
        <v/>
      </c>
      <c r="U102" t="n">
        <v>4883.27</v>
      </c>
      <c r="V102">
        <f>IF(AND(J102&gt;0,D102="深港"),K102/J102,"")</f>
        <v/>
      </c>
      <c r="W102">
        <f>IF(G102="卖出","(L102-S102)×H102 = ("&amp;TEXT(L102,"0.######")&amp;"-"&amp;TEXT(S102,"0.######")&amp;")×"&amp;H102,"")</f>
        <v/>
      </c>
      <c r="X102" t="inlineStr">
        <is>
          <t>(L102-L28)×10000=(12.078145-12.061917)×10000=162.28 + (L102-L79)×10000=(12.078145-11.606045)×10000=4721.00 → 4883.27</t>
        </is>
      </c>
      <c r="Y102">
        <f>IF(E102="","",IF(D102="深港",TEXT(--E102,"0000")&amp;".HK",IF(--E102&gt;=600000,TEXT(--E102,"000000")&amp;".SH",TEXT(--E102,"000000")&amp;".SZ")))</f>
        <v/>
      </c>
      <c r="Z102">
        <f>IF(Y102="","",IFERROR(INDEX('估值日行情'!$C$3:$C$61,MATCH(Y102,'估值日行情'!$A$3:$A$61,0)),""))</f>
        <v/>
      </c>
      <c r="AA102">
        <f>IF(D102="深港",IFERROR('FX_RATES_TO_CNY_HIST'!$B$3,""),1)</f>
        <v/>
      </c>
      <c r="AB102">
        <f>IF(Z102&lt;&gt;"",Z102*AA102,"")</f>
        <v/>
      </c>
      <c r="AC102">
        <f>SUMIFS($H$2:H102,$D$2:D102,D102,$E$2:E102,E102,$G$2:G102,"买入")-SUMIFS($H$2:H102,$D$2:D102,D102,$E$2:E102,E102,$G$2:G102,"卖出")</f>
        <v/>
      </c>
      <c r="AD102">
        <f>IF(D102="深港",IF(Q102&gt;0,SUMIFS($J$2:J101,$D$2:D101,D102,$E$2:E101,E102,$G$2:G101,"买入")/SUMIFS($H$2:H101,$D$2:D101,D102,$E$2:E101,E102,$G$2:G101,"买入"),""),S102)</f>
        <v/>
      </c>
      <c r="AE102">
        <f>IF(AC102&gt;0,AC102*Z102-AC102*AD102,0)</f>
        <v/>
      </c>
      <c r="AF102">
        <f>IF(AC102&gt;0,IF(D102="深港",AE102*AA102,AE102),0)</f>
        <v/>
      </c>
      <c r="AG102">
        <f>SUMIFS($H$2:H101,$D$2:D101,D102,$E$2:E101,E102,$G$2:G101,"买入")</f>
        <v/>
      </c>
      <c r="AH102">
        <f>SUMIFS($K$2:K101,$D$2:D101,D102,$E$2:E101,E102,$G$2:G101,"买入")</f>
        <v/>
      </c>
      <c r="AI102">
        <f>IF(AG102&gt;0,AH102/AG102,"")</f>
        <v/>
      </c>
      <c r="AJ102">
        <f>IF(G102="卖出",IF(AI102="","",(L102-AI102)*H102),0)</f>
        <v/>
      </c>
      <c r="AK102">
        <f>IF(G102="卖出",AJ102-T102,"")</f>
        <v/>
      </c>
      <c r="AL102">
        <f>IF(G102="卖出","(L102-AI102)×H102 = ("&amp;TEXT(L102,"0.######")&amp;"-"&amp;TEXT(AI102,"0.######")&amp;")×"&amp;H102,"")</f>
        <v/>
      </c>
    </row>
    <row r="103">
      <c r="A103">
        <f>IF('交易流水'!A63&lt;&gt;"","流水","")</f>
        <v/>
      </c>
      <c r="B103">
        <f>'交易流水'!B63</f>
        <v/>
      </c>
      <c r="C103">
        <f>'交易流水'!X63</f>
        <v/>
      </c>
      <c r="D103">
        <f>IF(ISNUMBER(SEARCH("深港",C103)),"深港",IF(ISNUMBER(SEARCH("场内",C103)),"场内","其他"))</f>
        <v/>
      </c>
      <c r="E103">
        <f>'交易流水'!F63</f>
        <v/>
      </c>
      <c r="F103">
        <f>'交易流水'!G63</f>
        <v/>
      </c>
      <c r="G103">
        <f>'交易流水'!H63</f>
        <v/>
      </c>
      <c r="H103">
        <f>'交易流水'!K63</f>
        <v/>
      </c>
      <c r="I103">
        <f>'交易流水'!P63</f>
        <v/>
      </c>
      <c r="J103">
        <f>'交易流水'!L63</f>
        <v/>
      </c>
      <c r="K103">
        <f>'交易流水'!AR63</f>
        <v/>
      </c>
      <c r="L103">
        <f>IF(H103&gt;0,K103/H103,"")</f>
        <v/>
      </c>
      <c r="M103">
        <f>IF(G103="买入",H103,0)</f>
        <v/>
      </c>
      <c r="N103">
        <f>IF(G103="买入",K103,0)</f>
        <v/>
      </c>
      <c r="O103">
        <f>IF(G103="卖出",H103,0)</f>
        <v/>
      </c>
      <c r="P103">
        <f>IF(G103="卖出",K103,0)</f>
        <v/>
      </c>
      <c r="Q103">
        <f>SUMIFS($H$2:H102,$A$2:A102,"流水",$D$2:D102,D103,$E$2:E102,E103,$G$2:G102,"买入")</f>
        <v/>
      </c>
      <c r="R103">
        <f>SUMIFS($K$2:K102,$A$2:A102,"流水",$D$2:D102,D103,$E$2:E102,E103,$G$2:G102,"买入")</f>
        <v/>
      </c>
      <c r="S103">
        <f>IF(Q103&gt;0,R103/Q103,"")</f>
        <v/>
      </c>
      <c r="T103">
        <f>IF(G103="卖出",IF(S103="","",(L103-S103)*H103),0)</f>
        <v/>
      </c>
      <c r="U103" t="n">
        <v>-363593.76</v>
      </c>
      <c r="V103">
        <f>IF(AND(J103&gt;0,D103="深港"),K103/J103,"")</f>
        <v/>
      </c>
      <c r="W103">
        <f>IF(G103="卖出","(L103-S103)×H103 = ("&amp;TEXT(L103,"0.######")&amp;"-"&amp;TEXT(S103,"0.######")&amp;")×"&amp;H103,"")</f>
        <v/>
      </c>
      <c r="X103" t="inlineStr">
        <is>
          <t>(L103-L37)×800000=(5.969872-6.424364)×800000=-363593.76 → -363593.76</t>
        </is>
      </c>
      <c r="Y103">
        <f>IF(E103="","",IF(D103="深港",TEXT(--E103,"0000")&amp;".HK",IF(--E103&gt;=600000,TEXT(--E103,"000000")&amp;".SH",TEXT(--E103,"000000")&amp;".SZ")))</f>
        <v/>
      </c>
      <c r="Z103">
        <f>IF(Y103="","",IFERROR(INDEX('估值日行情'!$C$3:$C$61,MATCH(Y103,'估值日行情'!$A$3:$A$61,0)),""))</f>
        <v/>
      </c>
      <c r="AA103">
        <f>IF(D103="深港",IFERROR('FX_RATES_TO_CNY_HIST'!$B$3,""),1)</f>
        <v/>
      </c>
      <c r="AB103">
        <f>IF(Z103&lt;&gt;"",Z103*AA103,"")</f>
        <v/>
      </c>
      <c r="AC103">
        <f>SUMIFS($H$2:H103,$D$2:D103,D103,$E$2:E103,E103,$G$2:G103,"买入")-SUMIFS($H$2:H103,$D$2:D103,D103,$E$2:E103,E103,$G$2:G103,"卖出")</f>
        <v/>
      </c>
      <c r="AD103">
        <f>IF(D103="深港",IF(Q103&gt;0,SUMIFS($J$2:J102,$D$2:D102,D103,$E$2:E102,E103,$G$2:G102,"买入")/SUMIFS($H$2:H102,$D$2:D102,D103,$E$2:E102,E103,$G$2:G102,"买入"),""),S103)</f>
        <v/>
      </c>
      <c r="AE103">
        <f>IF(AC103&gt;0,AC103*Z103-AC103*AD103,0)</f>
        <v/>
      </c>
      <c r="AF103">
        <f>IF(AC103&gt;0,IF(D103="深港",AE103*AA103,AE103),0)</f>
        <v/>
      </c>
      <c r="AG103">
        <f>SUMIFS($H$2:H102,$D$2:D102,D103,$E$2:E102,E103,$G$2:G102,"买入")</f>
        <v/>
      </c>
      <c r="AH103">
        <f>SUMIFS($K$2:K102,$D$2:D102,D103,$E$2:E102,E103,$G$2:G102,"买入")</f>
        <v/>
      </c>
      <c r="AI103">
        <f>IF(AG103&gt;0,AH103/AG103,"")</f>
        <v/>
      </c>
      <c r="AJ103">
        <f>IF(G103="卖出",IF(AI103="","",(L103-AI103)*H103),0)</f>
        <v/>
      </c>
      <c r="AK103">
        <f>IF(G103="卖出",AJ103-T103,"")</f>
        <v/>
      </c>
      <c r="AL103">
        <f>IF(G103="卖出","(L103-AI103)×H103 = ("&amp;TEXT(L103,"0.######")&amp;"-"&amp;TEXT(AI103,"0.######")&amp;")×"&amp;H103,"")</f>
        <v/>
      </c>
    </row>
    <row r="104">
      <c r="A104">
        <f>IF('交易流水'!A64&lt;&gt;"","流水","")</f>
        <v/>
      </c>
      <c r="B104">
        <f>'交易流水'!B64</f>
        <v/>
      </c>
      <c r="C104">
        <f>'交易流水'!X64</f>
        <v/>
      </c>
      <c r="D104">
        <f>IF(ISNUMBER(SEARCH("深港",C104)),"深港",IF(ISNUMBER(SEARCH("场内",C104)),"场内","其他"))</f>
        <v/>
      </c>
      <c r="E104">
        <f>'交易流水'!F64</f>
        <v/>
      </c>
      <c r="F104">
        <f>'交易流水'!G64</f>
        <v/>
      </c>
      <c r="G104">
        <f>'交易流水'!H64</f>
        <v/>
      </c>
      <c r="H104">
        <f>'交易流水'!K64</f>
        <v/>
      </c>
      <c r="I104">
        <f>'交易流水'!P64</f>
        <v/>
      </c>
      <c r="J104">
        <f>'交易流水'!L64</f>
        <v/>
      </c>
      <c r="K104">
        <f>'交易流水'!AR64</f>
        <v/>
      </c>
      <c r="L104">
        <f>IF(H104&gt;0,K104/H104,"")</f>
        <v/>
      </c>
      <c r="M104">
        <f>IF(G104="买入",H104,0)</f>
        <v/>
      </c>
      <c r="N104">
        <f>IF(G104="买入",K104,0)</f>
        <v/>
      </c>
      <c r="O104">
        <f>IF(G104="卖出",H104,0)</f>
        <v/>
      </c>
      <c r="P104">
        <f>IF(G104="卖出",K104,0)</f>
        <v/>
      </c>
      <c r="Q104">
        <f>SUMIFS($H$2:H103,$A$2:A103,"流水",$D$2:D103,D104,$E$2:E103,E104,$G$2:G103,"买入")</f>
        <v/>
      </c>
      <c r="R104">
        <f>SUMIFS($K$2:K103,$A$2:A103,"流水",$D$2:D103,D104,$E$2:E103,E104,$G$2:G103,"买入")</f>
        <v/>
      </c>
      <c r="S104">
        <f>IF(Q104&gt;0,R104/Q104,"")</f>
        <v/>
      </c>
      <c r="T104">
        <f>IF(G104="卖出",IF(S104="","",(L104-S104)*H104),0)</f>
        <v/>
      </c>
      <c r="U104" t="n">
        <v>12787.42</v>
      </c>
      <c r="V104">
        <f>IF(AND(J104&gt;0,D104="深港"),K104/J104,"")</f>
        <v/>
      </c>
      <c r="W104">
        <f>IF(G104="卖出","(L104-S104)×H104 = ("&amp;TEXT(L104,"0.######")&amp;"-"&amp;TEXT(S104,"0.######")&amp;")×"&amp;H104,"")</f>
        <v/>
      </c>
      <c r="X104" t="inlineStr">
        <is>
          <t>(L104-L79)×12000=(12.084157-11.606045)×12000=5737.34 + (L104-L84)×28000=(12.084157-11.832368)×28000=7050.07 → 12787.42</t>
        </is>
      </c>
      <c r="Y104">
        <f>IF(E104="","",IF(D104="深港",TEXT(--E104,"0000")&amp;".HK",IF(--E104&gt;=600000,TEXT(--E104,"000000")&amp;".SH",TEXT(--E104,"000000")&amp;".SZ")))</f>
        <v/>
      </c>
      <c r="Z104">
        <f>IF(Y104="","",IFERROR(INDEX('估值日行情'!$C$3:$C$61,MATCH(Y104,'估值日行情'!$A$3:$A$61,0)),""))</f>
        <v/>
      </c>
      <c r="AA104">
        <f>IF(D104="深港",IFERROR('FX_RATES_TO_CNY_HIST'!$B$3,""),1)</f>
        <v/>
      </c>
      <c r="AB104">
        <f>IF(Z104&lt;&gt;"",Z104*AA104,"")</f>
        <v/>
      </c>
      <c r="AC104">
        <f>SUMIFS($H$2:H104,$D$2:D104,D104,$E$2:E104,E104,$G$2:G104,"买入")-SUMIFS($H$2:H104,$D$2:D104,D104,$E$2:E104,E104,$G$2:G104,"卖出")</f>
        <v/>
      </c>
      <c r="AD104">
        <f>IF(D104="深港",IF(Q104&gt;0,SUMIFS($J$2:J103,$D$2:D103,D104,$E$2:E103,E104,$G$2:G103,"买入")/SUMIFS($H$2:H103,$D$2:D103,D104,$E$2:E103,E104,$G$2:G103,"买入"),""),S104)</f>
        <v/>
      </c>
      <c r="AE104">
        <f>IF(AC104&gt;0,AC104*Z104-AC104*AD104,0)</f>
        <v/>
      </c>
      <c r="AF104">
        <f>IF(AC104&gt;0,IF(D104="深港",AE104*AA104,AE104),0)</f>
        <v/>
      </c>
      <c r="AG104">
        <f>SUMIFS($H$2:H103,$D$2:D103,D104,$E$2:E103,E104,$G$2:G103,"买入")</f>
        <v/>
      </c>
      <c r="AH104">
        <f>SUMIFS($K$2:K103,$D$2:D103,D104,$E$2:E103,E104,$G$2:G103,"买入")</f>
        <v/>
      </c>
      <c r="AI104">
        <f>IF(AG104&gt;0,AH104/AG104,"")</f>
        <v/>
      </c>
      <c r="AJ104">
        <f>IF(G104="卖出",IF(AI104="","",(L104-AI104)*H104),0)</f>
        <v/>
      </c>
      <c r="AK104">
        <f>IF(G104="卖出",AJ104-T104,"")</f>
        <v/>
      </c>
      <c r="AL104">
        <f>IF(G104="卖出","(L104-AI104)×H104 = ("&amp;TEXT(L104,"0.######")&amp;"-"&amp;TEXT(AI104,"0.######")&amp;")×"&amp;H104,"")</f>
        <v/>
      </c>
    </row>
    <row r="105">
      <c r="A105">
        <f>IF('交易流水'!A65&lt;&gt;"","流水","")</f>
        <v/>
      </c>
      <c r="B105">
        <f>'交易流水'!B65</f>
        <v/>
      </c>
      <c r="C105">
        <f>'交易流水'!X65</f>
        <v/>
      </c>
      <c r="D105">
        <f>IF(ISNUMBER(SEARCH("深港",C105)),"深港",IF(ISNUMBER(SEARCH("场内",C105)),"场内","其他"))</f>
        <v/>
      </c>
      <c r="E105">
        <f>'交易流水'!F65</f>
        <v/>
      </c>
      <c r="F105">
        <f>'交易流水'!G65</f>
        <v/>
      </c>
      <c r="G105">
        <f>'交易流水'!H65</f>
        <v/>
      </c>
      <c r="H105">
        <f>'交易流水'!K65</f>
        <v/>
      </c>
      <c r="I105">
        <f>'交易流水'!P65</f>
        <v/>
      </c>
      <c r="J105">
        <f>'交易流水'!L65</f>
        <v/>
      </c>
      <c r="K105">
        <f>'交易流水'!AR65</f>
        <v/>
      </c>
      <c r="L105">
        <f>IF(H105&gt;0,K105/H105,"")</f>
        <v/>
      </c>
      <c r="M105">
        <f>IF(G105="买入",H105,0)</f>
        <v/>
      </c>
      <c r="N105">
        <f>IF(G105="买入",K105,0)</f>
        <v/>
      </c>
      <c r="O105">
        <f>IF(G105="卖出",H105,0)</f>
        <v/>
      </c>
      <c r="P105">
        <f>IF(G105="卖出",K105,0)</f>
        <v/>
      </c>
      <c r="Q105">
        <f>SUMIFS($H$2:H104,$A$2:A104,"流水",$D$2:D104,D105,$E$2:E104,E105,$G$2:G104,"买入")</f>
        <v/>
      </c>
      <c r="R105">
        <f>SUMIFS($K$2:K104,$A$2:A104,"流水",$D$2:D104,D105,$E$2:E104,E105,$G$2:G104,"买入")</f>
        <v/>
      </c>
      <c r="S105">
        <f>IF(Q105&gt;0,R105/Q105,"")</f>
        <v/>
      </c>
      <c r="T105">
        <f>IF(G105="卖出",IF(S105="","",(L105-S105)*H105),0)</f>
        <v/>
      </c>
      <c r="U105" t="n">
        <v>-258323.95</v>
      </c>
      <c r="V105">
        <f>IF(AND(J105&gt;0,D105="深港"),K105/J105,"")</f>
        <v/>
      </c>
      <c r="W105">
        <f>IF(G105="卖出","(L105-S105)×H105 = ("&amp;TEXT(L105,"0.######")&amp;"-"&amp;TEXT(S105,"0.######")&amp;")×"&amp;H105,"")</f>
        <v/>
      </c>
      <c r="X105" t="inlineStr">
        <is>
          <t>(L105-L31)×300000=(4.407008-5.268088)×300000=-258323.95 → -258323.95</t>
        </is>
      </c>
      <c r="Y105">
        <f>IF(E105="","",IF(D105="深港",TEXT(--E105,"0000")&amp;".HK",IF(--E105&gt;=600000,TEXT(--E105,"000000")&amp;".SH",TEXT(--E105,"000000")&amp;".SZ")))</f>
        <v/>
      </c>
      <c r="Z105">
        <f>IF(Y105="","",IFERROR(INDEX('估值日行情'!$C$3:$C$61,MATCH(Y105,'估值日行情'!$A$3:$A$61,0)),""))</f>
        <v/>
      </c>
      <c r="AA105">
        <f>IF(D105="深港",IFERROR('FX_RATES_TO_CNY_HIST'!$B$3,""),1)</f>
        <v/>
      </c>
      <c r="AB105">
        <f>IF(Z105&lt;&gt;"",Z105*AA105,"")</f>
        <v/>
      </c>
      <c r="AC105">
        <f>SUMIFS($H$2:H105,$D$2:D105,D105,$E$2:E105,E105,$G$2:G105,"买入")-SUMIFS($H$2:H105,$D$2:D105,D105,$E$2:E105,E105,$G$2:G105,"卖出")</f>
        <v/>
      </c>
      <c r="AD105">
        <f>IF(D105="深港",IF(Q105&gt;0,SUMIFS($J$2:J104,$D$2:D104,D105,$E$2:E104,E105,$G$2:G104,"买入")/SUMIFS($H$2:H104,$D$2:D104,D105,$E$2:E104,E105,$G$2:G104,"买入"),""),S105)</f>
        <v/>
      </c>
      <c r="AE105">
        <f>IF(AC105&gt;0,AC105*Z105-AC105*AD105,0)</f>
        <v/>
      </c>
      <c r="AF105">
        <f>IF(AC105&gt;0,IF(D105="深港",AE105*AA105,AE105),0)</f>
        <v/>
      </c>
      <c r="AG105">
        <f>SUMIFS($H$2:H104,$D$2:D104,D105,$E$2:E104,E105,$G$2:G104,"买入")</f>
        <v/>
      </c>
      <c r="AH105">
        <f>SUMIFS($K$2:K104,$D$2:D104,D105,$E$2:E104,E105,$G$2:G104,"买入")</f>
        <v/>
      </c>
      <c r="AI105">
        <f>IF(AG105&gt;0,AH105/AG105,"")</f>
        <v/>
      </c>
      <c r="AJ105">
        <f>IF(G105="卖出",IF(AI105="","",(L105-AI105)*H105),0)</f>
        <v/>
      </c>
      <c r="AK105">
        <f>IF(G105="卖出",AJ105-T105,"")</f>
        <v/>
      </c>
      <c r="AL105">
        <f>IF(G105="卖出","(L105-AI105)×H105 = ("&amp;TEXT(L105,"0.######")&amp;"-"&amp;TEXT(AI105,"0.######")&amp;")×"&amp;H105,"")</f>
        <v/>
      </c>
    </row>
    <row r="106">
      <c r="A106">
        <f>IF('交易流水'!A66&lt;&gt;"","流水","")</f>
        <v/>
      </c>
      <c r="B106">
        <f>'交易流水'!B66</f>
        <v/>
      </c>
      <c r="C106">
        <f>'交易流水'!X66</f>
        <v/>
      </c>
      <c r="D106">
        <f>IF(ISNUMBER(SEARCH("深港",C106)),"深港",IF(ISNUMBER(SEARCH("场内",C106)),"场内","其他"))</f>
        <v/>
      </c>
      <c r="E106">
        <f>'交易流水'!F66</f>
        <v/>
      </c>
      <c r="F106">
        <f>'交易流水'!G66</f>
        <v/>
      </c>
      <c r="G106">
        <f>'交易流水'!H66</f>
        <v/>
      </c>
      <c r="H106">
        <f>'交易流水'!K66</f>
        <v/>
      </c>
      <c r="I106">
        <f>'交易流水'!P66</f>
        <v/>
      </c>
      <c r="J106">
        <f>'交易流水'!L66</f>
        <v/>
      </c>
      <c r="K106">
        <f>'交易流水'!AR66</f>
        <v/>
      </c>
      <c r="L106">
        <f>IF(H106&gt;0,K106/H106,"")</f>
        <v/>
      </c>
      <c r="M106">
        <f>IF(G106="买入",H106,0)</f>
        <v/>
      </c>
      <c r="N106">
        <f>IF(G106="买入",K106,0)</f>
        <v/>
      </c>
      <c r="O106">
        <f>IF(G106="卖出",H106,0)</f>
        <v/>
      </c>
      <c r="P106">
        <f>IF(G106="卖出",K106,0)</f>
        <v/>
      </c>
      <c r="Q106">
        <f>SUMIFS($H$2:H105,$A$2:A105,"流水",$D$2:D105,D106,$E$2:E105,E106,$G$2:G105,"买入")</f>
        <v/>
      </c>
      <c r="R106">
        <f>SUMIFS($K$2:K105,$A$2:A105,"流水",$D$2:D105,D106,$E$2:E105,E106,$G$2:G105,"买入")</f>
        <v/>
      </c>
      <c r="S106">
        <f>IF(Q106&gt;0,R106/Q106,"")</f>
        <v/>
      </c>
      <c r="T106">
        <f>IF(G106="卖出",IF(S106="","",(L106-S106)*H106),0)</f>
        <v/>
      </c>
      <c r="U106" t="n">
        <v>0</v>
      </c>
      <c r="V106">
        <f>IF(AND(J106&gt;0,D106="深港"),K106/J106,"")</f>
        <v/>
      </c>
      <c r="W106">
        <f>IF(G106="卖出","(L106-S106)×H106 = ("&amp;TEXT(L106,"0.######")&amp;"-"&amp;TEXT(S106,"0.######")&amp;")×"&amp;H106,"")</f>
        <v/>
      </c>
      <c r="Y106">
        <f>IF(E106="","",IF(D106="深港",TEXT(--E106,"0000")&amp;".HK",IF(--E106&gt;=600000,TEXT(--E106,"000000")&amp;".SH",TEXT(--E106,"000000")&amp;".SZ")))</f>
        <v/>
      </c>
      <c r="Z106">
        <f>IF(Y106="","",IFERROR(INDEX('估值日行情'!$C$3:$C$61,MATCH(Y106,'估值日行情'!$A$3:$A$61,0)),""))</f>
        <v/>
      </c>
      <c r="AA106">
        <f>IF(D106="深港",IFERROR('FX_RATES_TO_CNY_HIST'!$B$3,""),1)</f>
        <v/>
      </c>
      <c r="AB106">
        <f>IF(Z106&lt;&gt;"",Z106*AA106,"")</f>
        <v/>
      </c>
      <c r="AC106">
        <f>SUMIFS($H$2:H106,$D$2:D106,D106,$E$2:E106,E106,$G$2:G106,"买入")-SUMIFS($H$2:H106,$D$2:D106,D106,$E$2:E106,E106,$G$2:G106,"卖出")</f>
        <v/>
      </c>
      <c r="AD106">
        <f>IF(D106="深港",IF(Q106&gt;0,SUMIFS($J$2:J105,$D$2:D105,D106,$E$2:E105,E106,$G$2:G105,"买入")/SUMIFS($H$2:H105,$D$2:D105,D106,$E$2:E105,E106,$G$2:G105,"买入"),""),S106)</f>
        <v/>
      </c>
      <c r="AE106">
        <f>IF(AC106&gt;0,AC106*Z106-AC106*AD106,0)</f>
        <v/>
      </c>
      <c r="AF106">
        <f>IF(AC106&gt;0,IF(D106="深港",AE106*AA106,AE106),0)</f>
        <v/>
      </c>
      <c r="AG106">
        <f>SUMIFS($H$2:H105,$D$2:D105,D106,$E$2:E105,E106,$G$2:G105,"买入")</f>
        <v/>
      </c>
      <c r="AH106">
        <f>SUMIFS($K$2:K105,$D$2:D105,D106,$E$2:E105,E106,$G$2:G105,"买入")</f>
        <v/>
      </c>
      <c r="AI106">
        <f>IF(AG106&gt;0,AH106/AG106,"")</f>
        <v/>
      </c>
      <c r="AJ106">
        <f>IF(G106="卖出",IF(AI106="","",(L106-AI106)*H106),0)</f>
        <v/>
      </c>
      <c r="AK106">
        <f>IF(G106="卖出",AJ106-T106,"")</f>
        <v/>
      </c>
      <c r="AL106">
        <f>IF(G106="卖出","(L106-AI106)×H106 = ("&amp;TEXT(L106,"0.######")&amp;"-"&amp;TEXT(AI106,"0.######")&amp;")×"&amp;H106,"")</f>
        <v/>
      </c>
    </row>
    <row r="107">
      <c r="A107">
        <f>IF('交易流水'!A67&lt;&gt;"","流水","")</f>
        <v/>
      </c>
      <c r="B107">
        <f>'交易流水'!B67</f>
        <v/>
      </c>
      <c r="C107">
        <f>'交易流水'!X67</f>
        <v/>
      </c>
      <c r="D107">
        <f>IF(ISNUMBER(SEARCH("深港",C107)),"深港",IF(ISNUMBER(SEARCH("场内",C107)),"场内","其他"))</f>
        <v/>
      </c>
      <c r="E107">
        <f>'交易流水'!F67</f>
        <v/>
      </c>
      <c r="F107">
        <f>'交易流水'!G67</f>
        <v/>
      </c>
      <c r="G107">
        <f>'交易流水'!H67</f>
        <v/>
      </c>
      <c r="H107">
        <f>'交易流水'!K67</f>
        <v/>
      </c>
      <c r="I107">
        <f>'交易流水'!P67</f>
        <v/>
      </c>
      <c r="J107">
        <f>'交易流水'!L67</f>
        <v/>
      </c>
      <c r="K107">
        <f>'交易流水'!AR67</f>
        <v/>
      </c>
      <c r="L107">
        <f>IF(H107&gt;0,K107/H107,"")</f>
        <v/>
      </c>
      <c r="M107">
        <f>IF(G107="买入",H107,0)</f>
        <v/>
      </c>
      <c r="N107">
        <f>IF(G107="买入",K107,0)</f>
        <v/>
      </c>
      <c r="O107">
        <f>IF(G107="卖出",H107,0)</f>
        <v/>
      </c>
      <c r="P107">
        <f>IF(G107="卖出",K107,0)</f>
        <v/>
      </c>
      <c r="Q107">
        <f>SUMIFS($H$2:H106,$A$2:A106,"流水",$D$2:D106,D107,$E$2:E106,E107,$G$2:G106,"买入")</f>
        <v/>
      </c>
      <c r="R107">
        <f>SUMIFS($K$2:K106,$A$2:A106,"流水",$D$2:D106,D107,$E$2:E106,E107,$G$2:G106,"买入")</f>
        <v/>
      </c>
      <c r="S107">
        <f>IF(Q107&gt;0,R107/Q107,"")</f>
        <v/>
      </c>
      <c r="T107">
        <f>IF(G107="卖出",IF(S107="","",(L107-S107)*H107),0)</f>
        <v/>
      </c>
      <c r="U107" t="n">
        <v>0</v>
      </c>
      <c r="V107">
        <f>IF(AND(J107&gt;0,D107="深港"),K107/J107,"")</f>
        <v/>
      </c>
      <c r="W107">
        <f>IF(G107="卖出","(L107-S107)×H107 = ("&amp;TEXT(L107,"0.######")&amp;"-"&amp;TEXT(S107,"0.######")&amp;")×"&amp;H107,"")</f>
        <v/>
      </c>
      <c r="Y107">
        <f>IF(E107="","",IF(D107="深港",TEXT(--E107,"0000")&amp;".HK",IF(--E107&gt;=600000,TEXT(--E107,"000000")&amp;".SH",TEXT(--E107,"000000")&amp;".SZ")))</f>
        <v/>
      </c>
      <c r="Z107">
        <f>IF(Y107="","",IFERROR(INDEX('估值日行情'!$C$3:$C$61,MATCH(Y107,'估值日行情'!$A$3:$A$61,0)),""))</f>
        <v/>
      </c>
      <c r="AA107">
        <f>IF(D107="深港",IFERROR('FX_RATES_TO_CNY_HIST'!$B$3,""),1)</f>
        <v/>
      </c>
      <c r="AB107">
        <f>IF(Z107&lt;&gt;"",Z107*AA107,"")</f>
        <v/>
      </c>
      <c r="AC107">
        <f>SUMIFS($H$2:H107,$D$2:D107,D107,$E$2:E107,E107,$G$2:G107,"买入")-SUMIFS($H$2:H107,$D$2:D107,D107,$E$2:E107,E107,$G$2:G107,"卖出")</f>
        <v/>
      </c>
      <c r="AD107">
        <f>IF(D107="深港",IF(Q107&gt;0,SUMIFS($J$2:J106,$D$2:D106,D107,$E$2:E106,E107,$G$2:G106,"买入")/SUMIFS($H$2:H106,$D$2:D106,D107,$E$2:E106,E107,$G$2:G106,"买入"),""),S107)</f>
        <v/>
      </c>
      <c r="AE107">
        <f>IF(AC107&gt;0,AC107*Z107-AC107*AD107,0)</f>
        <v/>
      </c>
      <c r="AF107">
        <f>IF(AC107&gt;0,IF(D107="深港",AE107*AA107,AE107),0)</f>
        <v/>
      </c>
      <c r="AG107">
        <f>SUMIFS($H$2:H106,$D$2:D106,D107,$E$2:E106,E107,$G$2:G106,"买入")</f>
        <v/>
      </c>
      <c r="AH107">
        <f>SUMIFS($K$2:K106,$D$2:D106,D107,$E$2:E106,E107,$G$2:G106,"买入")</f>
        <v/>
      </c>
      <c r="AI107">
        <f>IF(AG107&gt;0,AH107/AG107,"")</f>
        <v/>
      </c>
      <c r="AJ107">
        <f>IF(G107="卖出",IF(AI107="","",(L107-AI107)*H107),0)</f>
        <v/>
      </c>
      <c r="AK107">
        <f>IF(G107="卖出",AJ107-T107,"")</f>
        <v/>
      </c>
      <c r="AL107">
        <f>IF(G107="卖出","(L107-AI107)×H107 = ("&amp;TEXT(L107,"0.######")&amp;"-"&amp;TEXT(AI107,"0.######")&amp;")×"&amp;H107,"")</f>
        <v/>
      </c>
    </row>
    <row r="108">
      <c r="A108">
        <f>IF('交易流水'!A68&lt;&gt;"","流水","")</f>
        <v/>
      </c>
      <c r="B108">
        <f>'交易流水'!B68</f>
        <v/>
      </c>
      <c r="C108">
        <f>'交易流水'!X68</f>
        <v/>
      </c>
      <c r="D108">
        <f>IF(ISNUMBER(SEARCH("深港",C108)),"深港",IF(ISNUMBER(SEARCH("场内",C108)),"场内","其他"))</f>
        <v/>
      </c>
      <c r="E108">
        <f>'交易流水'!F68</f>
        <v/>
      </c>
      <c r="F108">
        <f>'交易流水'!G68</f>
        <v/>
      </c>
      <c r="G108">
        <f>'交易流水'!H68</f>
        <v/>
      </c>
      <c r="H108">
        <f>'交易流水'!K68</f>
        <v/>
      </c>
      <c r="I108">
        <f>'交易流水'!P68</f>
        <v/>
      </c>
      <c r="J108">
        <f>'交易流水'!L68</f>
        <v/>
      </c>
      <c r="K108">
        <f>'交易流水'!AR68</f>
        <v/>
      </c>
      <c r="L108">
        <f>IF(H108&gt;0,K108/H108,"")</f>
        <v/>
      </c>
      <c r="M108">
        <f>IF(G108="买入",H108,0)</f>
        <v/>
      </c>
      <c r="N108">
        <f>IF(G108="买入",K108,0)</f>
        <v/>
      </c>
      <c r="O108">
        <f>IF(G108="卖出",H108,0)</f>
        <v/>
      </c>
      <c r="P108">
        <f>IF(G108="卖出",K108,0)</f>
        <v/>
      </c>
      <c r="Q108">
        <f>SUMIFS($H$2:H107,$A$2:A107,"流水",$D$2:D107,D108,$E$2:E107,E108,$G$2:G107,"买入")</f>
        <v/>
      </c>
      <c r="R108">
        <f>SUMIFS($K$2:K107,$A$2:A107,"流水",$D$2:D107,D108,$E$2:E107,E108,$G$2:G107,"买入")</f>
        <v/>
      </c>
      <c r="S108">
        <f>IF(Q108&gt;0,R108/Q108,"")</f>
        <v/>
      </c>
      <c r="T108">
        <f>IF(G108="卖出",IF(S108="","",(L108-S108)*H108),0)</f>
        <v/>
      </c>
      <c r="U108" t="n">
        <v>0</v>
      </c>
      <c r="V108">
        <f>IF(AND(J108&gt;0,D108="深港"),K108/J108,"")</f>
        <v/>
      </c>
      <c r="W108">
        <f>IF(G108="卖出","(L108-S108)×H108 = ("&amp;TEXT(L108,"0.######")&amp;"-"&amp;TEXT(S108,"0.######")&amp;")×"&amp;H108,"")</f>
        <v/>
      </c>
      <c r="Y108">
        <f>IF(E108="","",IF(D108="深港",TEXT(--E108,"0000")&amp;".HK",IF(--E108&gt;=600000,TEXT(--E108,"000000")&amp;".SH",TEXT(--E108,"000000")&amp;".SZ")))</f>
        <v/>
      </c>
      <c r="Z108">
        <f>IF(Y108="","",IFERROR(INDEX('估值日行情'!$C$3:$C$61,MATCH(Y108,'估值日行情'!$A$3:$A$61,0)),""))</f>
        <v/>
      </c>
      <c r="AA108">
        <f>IF(D108="深港",IFERROR('FX_RATES_TO_CNY_HIST'!$B$3,""),1)</f>
        <v/>
      </c>
      <c r="AB108">
        <f>IF(Z108&lt;&gt;"",Z108*AA108,"")</f>
        <v/>
      </c>
      <c r="AC108">
        <f>SUMIFS($H$2:H108,$D$2:D108,D108,$E$2:E108,E108,$G$2:G108,"买入")-SUMIFS($H$2:H108,$D$2:D108,D108,$E$2:E108,E108,$G$2:G108,"卖出")</f>
        <v/>
      </c>
      <c r="AD108">
        <f>IF(D108="深港",IF(Q108&gt;0,SUMIFS($J$2:J107,$D$2:D107,D108,$E$2:E107,E108,$G$2:G107,"买入")/SUMIFS($H$2:H107,$D$2:D107,D108,$E$2:E107,E108,$G$2:G107,"买入"),""),S108)</f>
        <v/>
      </c>
      <c r="AE108">
        <f>IF(AC108&gt;0,AC108*Z108-AC108*AD108,0)</f>
        <v/>
      </c>
      <c r="AF108">
        <f>IF(AC108&gt;0,IF(D108="深港",AE108*AA108,AE108),0)</f>
        <v/>
      </c>
      <c r="AG108">
        <f>SUMIFS($H$2:H107,$D$2:D107,D108,$E$2:E107,E108,$G$2:G107,"买入")</f>
        <v/>
      </c>
      <c r="AH108">
        <f>SUMIFS($K$2:K107,$D$2:D107,D108,$E$2:E107,E108,$G$2:G107,"买入")</f>
        <v/>
      </c>
      <c r="AI108">
        <f>IF(AG108&gt;0,AH108/AG108,"")</f>
        <v/>
      </c>
      <c r="AJ108">
        <f>IF(G108="卖出",IF(AI108="","",(L108-AI108)*H108),0)</f>
        <v/>
      </c>
      <c r="AK108">
        <f>IF(G108="卖出",AJ108-T108,"")</f>
        <v/>
      </c>
      <c r="AL108">
        <f>IF(G108="卖出","(L108-AI108)×H108 = ("&amp;TEXT(L108,"0.######")&amp;"-"&amp;TEXT(AI108,"0.######")&amp;")×"&amp;H108,"")</f>
        <v/>
      </c>
    </row>
    <row r="109">
      <c r="A109">
        <f>IF('交易流水'!A69&lt;&gt;"","流水","")</f>
        <v/>
      </c>
      <c r="B109">
        <f>'交易流水'!B69</f>
        <v/>
      </c>
      <c r="C109">
        <f>'交易流水'!X69</f>
        <v/>
      </c>
      <c r="D109">
        <f>IF(ISNUMBER(SEARCH("深港",C109)),"深港",IF(ISNUMBER(SEARCH("场内",C109)),"场内","其他"))</f>
        <v/>
      </c>
      <c r="E109">
        <f>'交易流水'!F69</f>
        <v/>
      </c>
      <c r="F109">
        <f>'交易流水'!G69</f>
        <v/>
      </c>
      <c r="G109">
        <f>'交易流水'!H69</f>
        <v/>
      </c>
      <c r="H109">
        <f>'交易流水'!K69</f>
        <v/>
      </c>
      <c r="I109">
        <f>'交易流水'!P69</f>
        <v/>
      </c>
      <c r="J109">
        <f>'交易流水'!L69</f>
        <v/>
      </c>
      <c r="K109">
        <f>'交易流水'!AR69</f>
        <v/>
      </c>
      <c r="L109">
        <f>IF(H109&gt;0,K109/H109,"")</f>
        <v/>
      </c>
      <c r="M109">
        <f>IF(G109="买入",H109,0)</f>
        <v/>
      </c>
      <c r="N109">
        <f>IF(G109="买入",K109,0)</f>
        <v/>
      </c>
      <c r="O109">
        <f>IF(G109="卖出",H109,0)</f>
        <v/>
      </c>
      <c r="P109">
        <f>IF(G109="卖出",K109,0)</f>
        <v/>
      </c>
      <c r="Q109">
        <f>SUMIFS($H$2:H108,$A$2:A108,"流水",$D$2:D108,D109,$E$2:E108,E109,$G$2:G108,"买入")</f>
        <v/>
      </c>
      <c r="R109">
        <f>SUMIFS($K$2:K108,$A$2:A108,"流水",$D$2:D108,D109,$E$2:E108,E109,$G$2:G108,"买入")</f>
        <v/>
      </c>
      <c r="S109">
        <f>IF(Q109&gt;0,R109/Q109,"")</f>
        <v/>
      </c>
      <c r="T109">
        <f>IF(G109="卖出",IF(S109="","",(L109-S109)*H109),0)</f>
        <v/>
      </c>
      <c r="U109" t="n">
        <v>0</v>
      </c>
      <c r="V109">
        <f>IF(AND(J109&gt;0,D109="深港"),K109/J109,"")</f>
        <v/>
      </c>
      <c r="W109">
        <f>IF(G109="卖出","(L109-S109)×H109 = ("&amp;TEXT(L109,"0.######")&amp;"-"&amp;TEXT(S109,"0.######")&amp;")×"&amp;H109,"")</f>
        <v/>
      </c>
      <c r="Y109">
        <f>IF(E109="","",IF(D109="深港",TEXT(--E109,"0000")&amp;".HK",IF(--E109&gt;=600000,TEXT(--E109,"000000")&amp;".SH",TEXT(--E109,"000000")&amp;".SZ")))</f>
        <v/>
      </c>
      <c r="Z109">
        <f>IF(Y109="","",IFERROR(INDEX('估值日行情'!$C$3:$C$61,MATCH(Y109,'估值日行情'!$A$3:$A$61,0)),""))</f>
        <v/>
      </c>
      <c r="AA109">
        <f>IF(D109="深港",IFERROR('FX_RATES_TO_CNY_HIST'!$B$3,""),1)</f>
        <v/>
      </c>
      <c r="AB109">
        <f>IF(Z109&lt;&gt;"",Z109*AA109,"")</f>
        <v/>
      </c>
      <c r="AC109">
        <f>SUMIFS($H$2:H109,$D$2:D109,D109,$E$2:E109,E109,$G$2:G109,"买入")-SUMIFS($H$2:H109,$D$2:D109,D109,$E$2:E109,E109,$G$2:G109,"卖出")</f>
        <v/>
      </c>
      <c r="AD109">
        <f>IF(D109="深港",IF(Q109&gt;0,SUMIFS($J$2:J108,$D$2:D108,D109,$E$2:E108,E109,$G$2:G108,"买入")/SUMIFS($H$2:H108,$D$2:D108,D109,$E$2:E108,E109,$G$2:G108,"买入"),""),S109)</f>
        <v/>
      </c>
      <c r="AE109">
        <f>IF(AC109&gt;0,AC109*Z109-AC109*AD109,0)</f>
        <v/>
      </c>
      <c r="AF109">
        <f>IF(AC109&gt;0,IF(D109="深港",AE109*AA109,AE109),0)</f>
        <v/>
      </c>
      <c r="AG109">
        <f>SUMIFS($H$2:H108,$D$2:D108,D109,$E$2:E108,E109,$G$2:G108,"买入")</f>
        <v/>
      </c>
      <c r="AH109">
        <f>SUMIFS($K$2:K108,$D$2:D108,D109,$E$2:E108,E109,$G$2:G108,"买入")</f>
        <v/>
      </c>
      <c r="AI109">
        <f>IF(AG109&gt;0,AH109/AG109,"")</f>
        <v/>
      </c>
      <c r="AJ109">
        <f>IF(G109="卖出",IF(AI109="","",(L109-AI109)*H109),0)</f>
        <v/>
      </c>
      <c r="AK109">
        <f>IF(G109="卖出",AJ109-T109,"")</f>
        <v/>
      </c>
      <c r="AL109">
        <f>IF(G109="卖出","(L109-AI109)×H109 = ("&amp;TEXT(L109,"0.######")&amp;"-"&amp;TEXT(AI109,"0.######")&amp;")×"&amp;H109,"")</f>
        <v/>
      </c>
    </row>
    <row r="110">
      <c r="A110">
        <f>IF('交易流水'!A70&lt;&gt;"","流水","")</f>
        <v/>
      </c>
      <c r="B110">
        <f>'交易流水'!B70</f>
        <v/>
      </c>
      <c r="C110">
        <f>'交易流水'!X70</f>
        <v/>
      </c>
      <c r="D110">
        <f>IF(ISNUMBER(SEARCH("深港",C110)),"深港",IF(ISNUMBER(SEARCH("场内",C110)),"场内","其他"))</f>
        <v/>
      </c>
      <c r="E110">
        <f>'交易流水'!F70</f>
        <v/>
      </c>
      <c r="F110">
        <f>'交易流水'!G70</f>
        <v/>
      </c>
      <c r="G110">
        <f>'交易流水'!H70</f>
        <v/>
      </c>
      <c r="H110">
        <f>'交易流水'!K70</f>
        <v/>
      </c>
      <c r="I110">
        <f>'交易流水'!P70</f>
        <v/>
      </c>
      <c r="J110">
        <f>'交易流水'!L70</f>
        <v/>
      </c>
      <c r="K110">
        <f>'交易流水'!AR70</f>
        <v/>
      </c>
      <c r="L110">
        <f>IF(H110&gt;0,K110/H110,"")</f>
        <v/>
      </c>
      <c r="M110">
        <f>IF(G110="买入",H110,0)</f>
        <v/>
      </c>
      <c r="N110">
        <f>IF(G110="买入",K110,0)</f>
        <v/>
      </c>
      <c r="O110">
        <f>IF(G110="卖出",H110,0)</f>
        <v/>
      </c>
      <c r="P110">
        <f>IF(G110="卖出",K110,0)</f>
        <v/>
      </c>
      <c r="Q110">
        <f>SUMIFS($H$2:H109,$A$2:A109,"流水",$D$2:D109,D110,$E$2:E109,E110,$G$2:G109,"买入")</f>
        <v/>
      </c>
      <c r="R110">
        <f>SUMIFS($K$2:K109,$A$2:A109,"流水",$D$2:D109,D110,$E$2:E109,E110,$G$2:G109,"买入")</f>
        <v/>
      </c>
      <c r="S110">
        <f>IF(Q110&gt;0,R110/Q110,"")</f>
        <v/>
      </c>
      <c r="T110">
        <f>IF(G110="卖出",IF(S110="","",(L110-S110)*H110),0)</f>
        <v/>
      </c>
      <c r="U110" t="n">
        <v>0</v>
      </c>
      <c r="V110">
        <f>IF(AND(J110&gt;0,D110="深港"),K110/J110,"")</f>
        <v/>
      </c>
      <c r="W110">
        <f>IF(G110="卖出","(L110-S110)×H110 = ("&amp;TEXT(L110,"0.######")&amp;"-"&amp;TEXT(S110,"0.######")&amp;")×"&amp;H110,"")</f>
        <v/>
      </c>
      <c r="Y110">
        <f>IF(E110="","",IF(D110="深港",TEXT(--E110,"0000")&amp;".HK",IF(--E110&gt;=600000,TEXT(--E110,"000000")&amp;".SH",TEXT(--E110,"000000")&amp;".SZ")))</f>
        <v/>
      </c>
      <c r="Z110">
        <f>IF(Y110="","",IFERROR(INDEX('估值日行情'!$C$3:$C$61,MATCH(Y110,'估值日行情'!$A$3:$A$61,0)),""))</f>
        <v/>
      </c>
      <c r="AA110">
        <f>IF(D110="深港",IFERROR('FX_RATES_TO_CNY_HIST'!$B$3,""),1)</f>
        <v/>
      </c>
      <c r="AB110">
        <f>IF(Z110&lt;&gt;"",Z110*AA110,"")</f>
        <v/>
      </c>
      <c r="AC110">
        <f>SUMIFS($H$2:H110,$D$2:D110,D110,$E$2:E110,E110,$G$2:G110,"买入")-SUMIFS($H$2:H110,$D$2:D110,D110,$E$2:E110,E110,$G$2:G110,"卖出")</f>
        <v/>
      </c>
      <c r="AD110">
        <f>IF(D110="深港",IF(Q110&gt;0,SUMIFS($J$2:J109,$D$2:D109,D110,$E$2:E109,E110,$G$2:G109,"买入")/SUMIFS($H$2:H109,$D$2:D109,D110,$E$2:E109,E110,$G$2:G109,"买入"),""),S110)</f>
        <v/>
      </c>
      <c r="AE110">
        <f>IF(AC110&gt;0,AC110*Z110-AC110*AD110,0)</f>
        <v/>
      </c>
      <c r="AF110">
        <f>IF(AC110&gt;0,IF(D110="深港",AE110*AA110,AE110),0)</f>
        <v/>
      </c>
      <c r="AG110">
        <f>SUMIFS($H$2:H109,$D$2:D109,D110,$E$2:E109,E110,$G$2:G109,"买入")</f>
        <v/>
      </c>
      <c r="AH110">
        <f>SUMIFS($K$2:K109,$D$2:D109,D110,$E$2:E109,E110,$G$2:G109,"买入")</f>
        <v/>
      </c>
      <c r="AI110">
        <f>IF(AG110&gt;0,AH110/AG110,"")</f>
        <v/>
      </c>
      <c r="AJ110">
        <f>IF(G110="卖出",IF(AI110="","",(L110-AI110)*H110),0)</f>
        <v/>
      </c>
      <c r="AK110">
        <f>IF(G110="卖出",AJ110-T110,"")</f>
        <v/>
      </c>
      <c r="AL110">
        <f>IF(G110="卖出","(L110-AI110)×H110 = ("&amp;TEXT(L110,"0.######")&amp;"-"&amp;TEXT(AI110,"0.######")&amp;")×"&amp;H110,"")</f>
        <v/>
      </c>
    </row>
    <row r="111">
      <c r="A111">
        <f>IF('交易流水'!A71&lt;&gt;"","流水","")</f>
        <v/>
      </c>
      <c r="B111">
        <f>'交易流水'!B71</f>
        <v/>
      </c>
      <c r="C111">
        <f>'交易流水'!X71</f>
        <v/>
      </c>
      <c r="D111">
        <f>IF(ISNUMBER(SEARCH("深港",C111)),"深港",IF(ISNUMBER(SEARCH("场内",C111)),"场内","其他"))</f>
        <v/>
      </c>
      <c r="E111">
        <f>'交易流水'!F71</f>
        <v/>
      </c>
      <c r="F111">
        <f>'交易流水'!G71</f>
        <v/>
      </c>
      <c r="G111">
        <f>'交易流水'!H71</f>
        <v/>
      </c>
      <c r="H111">
        <f>'交易流水'!K71</f>
        <v/>
      </c>
      <c r="I111">
        <f>'交易流水'!P71</f>
        <v/>
      </c>
      <c r="J111">
        <f>'交易流水'!L71</f>
        <v/>
      </c>
      <c r="K111">
        <f>'交易流水'!AR71</f>
        <v/>
      </c>
      <c r="L111">
        <f>IF(H111&gt;0,K111/H111,"")</f>
        <v/>
      </c>
      <c r="M111">
        <f>IF(G111="买入",H111,0)</f>
        <v/>
      </c>
      <c r="N111">
        <f>IF(G111="买入",K111,0)</f>
        <v/>
      </c>
      <c r="O111">
        <f>IF(G111="卖出",H111,0)</f>
        <v/>
      </c>
      <c r="P111">
        <f>IF(G111="卖出",K111,0)</f>
        <v/>
      </c>
      <c r="Q111">
        <f>SUMIFS($H$2:H110,$A$2:A110,"流水",$D$2:D110,D111,$E$2:E110,E111,$G$2:G110,"买入")</f>
        <v/>
      </c>
      <c r="R111">
        <f>SUMIFS($K$2:K110,$A$2:A110,"流水",$D$2:D110,D111,$E$2:E110,E111,$G$2:G110,"买入")</f>
        <v/>
      </c>
      <c r="S111">
        <f>IF(Q111&gt;0,R111/Q111,"")</f>
        <v/>
      </c>
      <c r="T111">
        <f>IF(G111="卖出",IF(S111="","",(L111-S111)*H111),0)</f>
        <v/>
      </c>
      <c r="U111" t="n">
        <v>0</v>
      </c>
      <c r="V111">
        <f>IF(AND(J111&gt;0,D111="深港"),K111/J111,"")</f>
        <v/>
      </c>
      <c r="W111">
        <f>IF(G111="卖出","(L111-S111)×H111 = ("&amp;TEXT(L111,"0.######")&amp;"-"&amp;TEXT(S111,"0.######")&amp;")×"&amp;H111,"")</f>
        <v/>
      </c>
      <c r="Y111">
        <f>IF(E111="","",IF(D111="深港",TEXT(--E111,"0000")&amp;".HK",IF(--E111&gt;=600000,TEXT(--E111,"000000")&amp;".SH",TEXT(--E111,"000000")&amp;".SZ")))</f>
        <v/>
      </c>
      <c r="Z111">
        <f>IF(Y111="","",IFERROR(INDEX('估值日行情'!$C$3:$C$61,MATCH(Y111,'估值日行情'!$A$3:$A$61,0)),""))</f>
        <v/>
      </c>
      <c r="AA111">
        <f>IF(D111="深港",IFERROR('FX_RATES_TO_CNY_HIST'!$B$3,""),1)</f>
        <v/>
      </c>
      <c r="AB111">
        <f>IF(Z111&lt;&gt;"",Z111*AA111,"")</f>
        <v/>
      </c>
      <c r="AC111">
        <f>SUMIFS($H$2:H111,$D$2:D111,D111,$E$2:E111,E111,$G$2:G111,"买入")-SUMIFS($H$2:H111,$D$2:D111,D111,$E$2:E111,E111,$G$2:G111,"卖出")</f>
        <v/>
      </c>
      <c r="AD111">
        <f>IF(D111="深港",IF(Q111&gt;0,SUMIFS($J$2:J110,$D$2:D110,D111,$E$2:E110,E111,$G$2:G110,"买入")/SUMIFS($H$2:H110,$D$2:D110,D111,$E$2:E110,E111,$G$2:G110,"买入"),""),S111)</f>
        <v/>
      </c>
      <c r="AE111">
        <f>IF(AC111&gt;0,AC111*Z111-AC111*AD111,0)</f>
        <v/>
      </c>
      <c r="AF111">
        <f>IF(AC111&gt;0,IF(D111="深港",AE111*AA111,AE111),0)</f>
        <v/>
      </c>
      <c r="AG111">
        <f>SUMIFS($H$2:H110,$D$2:D110,D111,$E$2:E110,E111,$G$2:G110,"买入")</f>
        <v/>
      </c>
      <c r="AH111">
        <f>SUMIFS($K$2:K110,$D$2:D110,D111,$E$2:E110,E111,$G$2:G110,"买入")</f>
        <v/>
      </c>
      <c r="AI111">
        <f>IF(AG111&gt;0,AH111/AG111,"")</f>
        <v/>
      </c>
      <c r="AJ111">
        <f>IF(G111="卖出",IF(AI111="","",(L111-AI111)*H111),0)</f>
        <v/>
      </c>
      <c r="AK111">
        <f>IF(G111="卖出",AJ111-T111,"")</f>
        <v/>
      </c>
      <c r="AL111">
        <f>IF(G111="卖出","(L111-AI111)×H111 = ("&amp;TEXT(L111,"0.######")&amp;"-"&amp;TEXT(AI111,"0.######")&amp;")×"&amp;H111,"")</f>
        <v/>
      </c>
    </row>
    <row r="112">
      <c r="A112">
        <f>IF('交易流水'!A72&lt;&gt;"","流水","")</f>
        <v/>
      </c>
      <c r="B112">
        <f>'交易流水'!B72</f>
        <v/>
      </c>
      <c r="C112">
        <f>'交易流水'!X72</f>
        <v/>
      </c>
      <c r="D112">
        <f>IF(ISNUMBER(SEARCH("深港",C112)),"深港",IF(ISNUMBER(SEARCH("场内",C112)),"场内","其他"))</f>
        <v/>
      </c>
      <c r="E112">
        <f>'交易流水'!F72</f>
        <v/>
      </c>
      <c r="F112">
        <f>'交易流水'!G72</f>
        <v/>
      </c>
      <c r="G112">
        <f>'交易流水'!H72</f>
        <v/>
      </c>
      <c r="H112">
        <f>'交易流水'!K72</f>
        <v/>
      </c>
      <c r="I112">
        <f>'交易流水'!P72</f>
        <v/>
      </c>
      <c r="J112">
        <f>'交易流水'!L72</f>
        <v/>
      </c>
      <c r="K112">
        <f>'交易流水'!AR72</f>
        <v/>
      </c>
      <c r="L112">
        <f>IF(H112&gt;0,K112/H112,"")</f>
        <v/>
      </c>
      <c r="M112">
        <f>IF(G112="买入",H112,0)</f>
        <v/>
      </c>
      <c r="N112">
        <f>IF(G112="买入",K112,0)</f>
        <v/>
      </c>
      <c r="O112">
        <f>IF(G112="卖出",H112,0)</f>
        <v/>
      </c>
      <c r="P112">
        <f>IF(G112="卖出",K112,0)</f>
        <v/>
      </c>
      <c r="Q112">
        <f>SUMIFS($H$2:H111,$A$2:A111,"流水",$D$2:D111,D112,$E$2:E111,E112,$G$2:G111,"买入")</f>
        <v/>
      </c>
      <c r="R112">
        <f>SUMIFS($K$2:K111,$A$2:A111,"流水",$D$2:D111,D112,$E$2:E111,E112,$G$2:G111,"买入")</f>
        <v/>
      </c>
      <c r="S112">
        <f>IF(Q112&gt;0,R112/Q112,"")</f>
        <v/>
      </c>
      <c r="T112">
        <f>IF(G112="卖出",IF(S112="","",(L112-S112)*H112),0)</f>
        <v/>
      </c>
      <c r="U112" t="n">
        <v>0</v>
      </c>
      <c r="V112">
        <f>IF(AND(J112&gt;0,D112="深港"),K112/J112,"")</f>
        <v/>
      </c>
      <c r="W112">
        <f>IF(G112="卖出","(L112-S112)×H112 = ("&amp;TEXT(L112,"0.######")&amp;"-"&amp;TEXT(S112,"0.######")&amp;")×"&amp;H112,"")</f>
        <v/>
      </c>
      <c r="Y112">
        <f>IF(E112="","",IF(D112="深港",TEXT(--E112,"0000")&amp;".HK",IF(--E112&gt;=600000,TEXT(--E112,"000000")&amp;".SH",TEXT(--E112,"000000")&amp;".SZ")))</f>
        <v/>
      </c>
      <c r="Z112">
        <f>IF(Y112="","",IFERROR(INDEX('估值日行情'!$C$3:$C$61,MATCH(Y112,'估值日行情'!$A$3:$A$61,0)),""))</f>
        <v/>
      </c>
      <c r="AA112">
        <f>IF(D112="深港",IFERROR('FX_RATES_TO_CNY_HIST'!$B$3,""),1)</f>
        <v/>
      </c>
      <c r="AB112">
        <f>IF(Z112&lt;&gt;"",Z112*AA112,"")</f>
        <v/>
      </c>
      <c r="AC112">
        <f>SUMIFS($H$2:H112,$D$2:D112,D112,$E$2:E112,E112,$G$2:G112,"买入")-SUMIFS($H$2:H112,$D$2:D112,D112,$E$2:E112,E112,$G$2:G112,"卖出")</f>
        <v/>
      </c>
      <c r="AD112">
        <f>IF(D112="深港",IF(Q112&gt;0,SUMIFS($J$2:J111,$D$2:D111,D112,$E$2:E111,E112,$G$2:G111,"买入")/SUMIFS($H$2:H111,$D$2:D111,D112,$E$2:E111,E112,$G$2:G111,"买入"),""),S112)</f>
        <v/>
      </c>
      <c r="AE112">
        <f>IF(AC112&gt;0,AC112*Z112-AC112*AD112,0)</f>
        <v/>
      </c>
      <c r="AF112">
        <f>IF(AC112&gt;0,IF(D112="深港",AE112*AA112,AE112),0)</f>
        <v/>
      </c>
      <c r="AG112">
        <f>SUMIFS($H$2:H111,$D$2:D111,D112,$E$2:E111,E112,$G$2:G111,"买入")</f>
        <v/>
      </c>
      <c r="AH112">
        <f>SUMIFS($K$2:K111,$D$2:D111,D112,$E$2:E111,E112,$G$2:G111,"买入")</f>
        <v/>
      </c>
      <c r="AI112">
        <f>IF(AG112&gt;0,AH112/AG112,"")</f>
        <v/>
      </c>
      <c r="AJ112">
        <f>IF(G112="卖出",IF(AI112="","",(L112-AI112)*H112),0)</f>
        <v/>
      </c>
      <c r="AK112">
        <f>IF(G112="卖出",AJ112-T112,"")</f>
        <v/>
      </c>
      <c r="AL112">
        <f>IF(G112="卖出","(L112-AI112)×H112 = ("&amp;TEXT(L112,"0.######")&amp;"-"&amp;TEXT(AI112,"0.######")&amp;")×"&amp;H112,"")</f>
        <v/>
      </c>
    </row>
    <row r="113">
      <c r="A113">
        <f>IF('交易流水'!A73&lt;&gt;"","流水","")</f>
        <v/>
      </c>
      <c r="B113">
        <f>'交易流水'!B73</f>
        <v/>
      </c>
      <c r="C113">
        <f>'交易流水'!X73</f>
        <v/>
      </c>
      <c r="D113">
        <f>IF(ISNUMBER(SEARCH("深港",C113)),"深港",IF(ISNUMBER(SEARCH("场内",C113)),"场内","其他"))</f>
        <v/>
      </c>
      <c r="E113">
        <f>'交易流水'!F73</f>
        <v/>
      </c>
      <c r="F113">
        <f>'交易流水'!G73</f>
        <v/>
      </c>
      <c r="G113">
        <f>'交易流水'!H73</f>
        <v/>
      </c>
      <c r="H113">
        <f>'交易流水'!K73</f>
        <v/>
      </c>
      <c r="I113">
        <f>'交易流水'!P73</f>
        <v/>
      </c>
      <c r="J113">
        <f>'交易流水'!L73</f>
        <v/>
      </c>
      <c r="K113">
        <f>'交易流水'!AR73</f>
        <v/>
      </c>
      <c r="L113">
        <f>IF(H113&gt;0,K113/H113,"")</f>
        <v/>
      </c>
      <c r="M113">
        <f>IF(G113="买入",H113,0)</f>
        <v/>
      </c>
      <c r="N113">
        <f>IF(G113="买入",K113,0)</f>
        <v/>
      </c>
      <c r="O113">
        <f>IF(G113="卖出",H113,0)</f>
        <v/>
      </c>
      <c r="P113">
        <f>IF(G113="卖出",K113,0)</f>
        <v/>
      </c>
      <c r="Q113">
        <f>SUMIFS($H$2:H112,$A$2:A112,"流水",$D$2:D112,D113,$E$2:E112,E113,$G$2:G112,"买入")</f>
        <v/>
      </c>
      <c r="R113">
        <f>SUMIFS($K$2:K112,$A$2:A112,"流水",$D$2:D112,D113,$E$2:E112,E113,$G$2:G112,"买入")</f>
        <v/>
      </c>
      <c r="S113">
        <f>IF(Q113&gt;0,R113/Q113,"")</f>
        <v/>
      </c>
      <c r="T113">
        <f>IF(G113="卖出",IF(S113="","",(L113-S113)*H113),0)</f>
        <v/>
      </c>
      <c r="U113" t="n">
        <v>0</v>
      </c>
      <c r="V113">
        <f>IF(AND(J113&gt;0,D113="深港"),K113/J113,"")</f>
        <v/>
      </c>
      <c r="W113">
        <f>IF(G113="卖出","(L113-S113)×H113 = ("&amp;TEXT(L113,"0.######")&amp;"-"&amp;TEXT(S113,"0.######")&amp;")×"&amp;H113,"")</f>
        <v/>
      </c>
      <c r="Y113">
        <f>IF(E113="","",IF(D113="深港",TEXT(--E113,"0000")&amp;".HK",IF(--E113&gt;=600000,TEXT(--E113,"000000")&amp;".SH",TEXT(--E113,"000000")&amp;".SZ")))</f>
        <v/>
      </c>
      <c r="Z113">
        <f>IF(Y113="","",IFERROR(INDEX('估值日行情'!$C$3:$C$61,MATCH(Y113,'估值日行情'!$A$3:$A$61,0)),""))</f>
        <v/>
      </c>
      <c r="AA113">
        <f>IF(D113="深港",IFERROR('FX_RATES_TO_CNY_HIST'!$B$3,""),1)</f>
        <v/>
      </c>
      <c r="AB113">
        <f>IF(Z113&lt;&gt;"",Z113*AA113,"")</f>
        <v/>
      </c>
      <c r="AC113">
        <f>SUMIFS($H$2:H113,$D$2:D113,D113,$E$2:E113,E113,$G$2:G113,"买入")-SUMIFS($H$2:H113,$D$2:D113,D113,$E$2:E113,E113,$G$2:G113,"卖出")</f>
        <v/>
      </c>
      <c r="AD113">
        <f>IF(D113="深港",IF(Q113&gt;0,SUMIFS($J$2:J112,$D$2:D112,D113,$E$2:E112,E113,$G$2:G112,"买入")/SUMIFS($H$2:H112,$D$2:D112,D113,$E$2:E112,E113,$G$2:G112,"买入"),""),S113)</f>
        <v/>
      </c>
      <c r="AE113">
        <f>IF(AC113&gt;0,AC113*Z113-AC113*AD113,0)</f>
        <v/>
      </c>
      <c r="AF113">
        <f>IF(AC113&gt;0,IF(D113="深港",AE113*AA113,AE113),0)</f>
        <v/>
      </c>
      <c r="AG113">
        <f>SUMIFS($H$2:H112,$D$2:D112,D113,$E$2:E112,E113,$G$2:G112,"买入")</f>
        <v/>
      </c>
      <c r="AH113">
        <f>SUMIFS($K$2:K112,$D$2:D112,D113,$E$2:E112,E113,$G$2:G112,"买入")</f>
        <v/>
      </c>
      <c r="AI113">
        <f>IF(AG113&gt;0,AH113/AG113,"")</f>
        <v/>
      </c>
      <c r="AJ113">
        <f>IF(G113="卖出",IF(AI113="","",(L113-AI113)*H113),0)</f>
        <v/>
      </c>
      <c r="AK113">
        <f>IF(G113="卖出",AJ113-T113,"")</f>
        <v/>
      </c>
      <c r="AL113">
        <f>IF(G113="卖出","(L113-AI113)×H113 = ("&amp;TEXT(L113,"0.######")&amp;"-"&amp;TEXT(AI113,"0.######")&amp;")×"&amp;H113,"")</f>
        <v/>
      </c>
    </row>
    <row r="114">
      <c r="A114">
        <f>IF('交易流水'!A74&lt;&gt;"","流水","")</f>
        <v/>
      </c>
      <c r="B114">
        <f>'交易流水'!B74</f>
        <v/>
      </c>
      <c r="C114">
        <f>'交易流水'!X74</f>
        <v/>
      </c>
      <c r="D114">
        <f>IF(ISNUMBER(SEARCH("深港",C114)),"深港",IF(ISNUMBER(SEARCH("场内",C114)),"场内","其他"))</f>
        <v/>
      </c>
      <c r="E114">
        <f>'交易流水'!F74</f>
        <v/>
      </c>
      <c r="F114">
        <f>'交易流水'!G74</f>
        <v/>
      </c>
      <c r="G114">
        <f>'交易流水'!H74</f>
        <v/>
      </c>
      <c r="H114">
        <f>'交易流水'!K74</f>
        <v/>
      </c>
      <c r="I114">
        <f>'交易流水'!P74</f>
        <v/>
      </c>
      <c r="J114">
        <f>'交易流水'!L74</f>
        <v/>
      </c>
      <c r="K114">
        <f>'交易流水'!AR74</f>
        <v/>
      </c>
      <c r="L114">
        <f>IF(H114&gt;0,K114/H114,"")</f>
        <v/>
      </c>
      <c r="M114">
        <f>IF(G114="买入",H114,0)</f>
        <v/>
      </c>
      <c r="N114">
        <f>IF(G114="买入",K114,0)</f>
        <v/>
      </c>
      <c r="O114">
        <f>IF(G114="卖出",H114,0)</f>
        <v/>
      </c>
      <c r="P114">
        <f>IF(G114="卖出",K114,0)</f>
        <v/>
      </c>
      <c r="Q114">
        <f>SUMIFS($H$2:H113,$A$2:A113,"流水",$D$2:D113,D114,$E$2:E113,E114,$G$2:G113,"买入")</f>
        <v/>
      </c>
      <c r="R114">
        <f>SUMIFS($K$2:K113,$A$2:A113,"流水",$D$2:D113,D114,$E$2:E113,E114,$G$2:G113,"买入")</f>
        <v/>
      </c>
      <c r="S114">
        <f>IF(Q114&gt;0,R114/Q114,"")</f>
        <v/>
      </c>
      <c r="T114">
        <f>IF(G114="卖出",IF(S114="","",(L114-S114)*H114),0)</f>
        <v/>
      </c>
      <c r="U114" t="n">
        <v>-143321.28</v>
      </c>
      <c r="V114">
        <f>IF(AND(J114&gt;0,D114="深港"),K114/J114,"")</f>
        <v/>
      </c>
      <c r="W114">
        <f>IF(G114="卖出","(L114-S114)×H114 = ("&amp;TEXT(L114,"0.######")&amp;"-"&amp;TEXT(S114,"0.######")&amp;")×"&amp;H114,"")</f>
        <v/>
      </c>
      <c r="X114" t="inlineStr">
        <is>
          <t>(L114-L31)×200000=(4.551481-5.268088)×200000=-143321.28 → -143321.28</t>
        </is>
      </c>
      <c r="Y114">
        <f>IF(E114="","",IF(D114="深港",TEXT(--E114,"0000")&amp;".HK",IF(--E114&gt;=600000,TEXT(--E114,"000000")&amp;".SH",TEXT(--E114,"000000")&amp;".SZ")))</f>
        <v/>
      </c>
      <c r="Z114">
        <f>IF(Y114="","",IFERROR(INDEX('估值日行情'!$C$3:$C$61,MATCH(Y114,'估值日行情'!$A$3:$A$61,0)),""))</f>
        <v/>
      </c>
      <c r="AA114">
        <f>IF(D114="深港",IFERROR('FX_RATES_TO_CNY_HIST'!$B$3,""),1)</f>
        <v/>
      </c>
      <c r="AB114">
        <f>IF(Z114&lt;&gt;"",Z114*AA114,"")</f>
        <v/>
      </c>
      <c r="AC114">
        <f>SUMIFS($H$2:H114,$D$2:D114,D114,$E$2:E114,E114,$G$2:G114,"买入")-SUMIFS($H$2:H114,$D$2:D114,D114,$E$2:E114,E114,$G$2:G114,"卖出")</f>
        <v/>
      </c>
      <c r="AD114">
        <f>IF(D114="深港",IF(Q114&gt;0,SUMIFS($J$2:J113,$D$2:D113,D114,$E$2:E113,E114,$G$2:G113,"买入")/SUMIFS($H$2:H113,$D$2:D113,D114,$E$2:E113,E114,$G$2:G113,"买入"),""),S114)</f>
        <v/>
      </c>
      <c r="AE114">
        <f>IF(AC114&gt;0,AC114*Z114-AC114*AD114,0)</f>
        <v/>
      </c>
      <c r="AF114">
        <f>IF(AC114&gt;0,IF(D114="深港",AE114*AA114,AE114),0)</f>
        <v/>
      </c>
      <c r="AG114">
        <f>SUMIFS($H$2:H113,$D$2:D113,D114,$E$2:E113,E114,$G$2:G113,"买入")</f>
        <v/>
      </c>
      <c r="AH114">
        <f>SUMIFS($K$2:K113,$D$2:D113,D114,$E$2:E113,E114,$G$2:G113,"买入")</f>
        <v/>
      </c>
      <c r="AI114">
        <f>IF(AG114&gt;0,AH114/AG114,"")</f>
        <v/>
      </c>
      <c r="AJ114">
        <f>IF(G114="卖出",IF(AI114="","",(L114-AI114)*H114),0)</f>
        <v/>
      </c>
      <c r="AK114">
        <f>IF(G114="卖出",AJ114-T114,"")</f>
        <v/>
      </c>
      <c r="AL114">
        <f>IF(G114="卖出","(L114-AI114)×H114 = ("&amp;TEXT(L114,"0.######")&amp;"-"&amp;TEXT(AI114,"0.######")&amp;")×"&amp;H114,"")</f>
        <v/>
      </c>
    </row>
    <row r="115">
      <c r="A115">
        <f>IF('交易流水'!A75&lt;&gt;"","流水","")</f>
        <v/>
      </c>
      <c r="B115">
        <f>'交易流水'!B75</f>
        <v/>
      </c>
      <c r="C115">
        <f>'交易流水'!X75</f>
        <v/>
      </c>
      <c r="D115">
        <f>IF(ISNUMBER(SEARCH("深港",C115)),"深港",IF(ISNUMBER(SEARCH("场内",C115)),"场内","其他"))</f>
        <v/>
      </c>
      <c r="E115">
        <f>'交易流水'!F75</f>
        <v/>
      </c>
      <c r="F115">
        <f>'交易流水'!G75</f>
        <v/>
      </c>
      <c r="G115">
        <f>'交易流水'!H75</f>
        <v/>
      </c>
      <c r="H115">
        <f>'交易流水'!K75</f>
        <v/>
      </c>
      <c r="I115">
        <f>'交易流水'!P75</f>
        <v/>
      </c>
      <c r="J115">
        <f>'交易流水'!L75</f>
        <v/>
      </c>
      <c r="K115">
        <f>'交易流水'!AR75</f>
        <v/>
      </c>
      <c r="L115">
        <f>IF(H115&gt;0,K115/H115,"")</f>
        <v/>
      </c>
      <c r="M115">
        <f>IF(G115="买入",H115,0)</f>
        <v/>
      </c>
      <c r="N115">
        <f>IF(G115="买入",K115,0)</f>
        <v/>
      </c>
      <c r="O115">
        <f>IF(G115="卖出",H115,0)</f>
        <v/>
      </c>
      <c r="P115">
        <f>IF(G115="卖出",K115,0)</f>
        <v/>
      </c>
      <c r="Q115">
        <f>SUMIFS($H$2:H114,$A$2:A114,"流水",$D$2:D114,D115,$E$2:E114,E115,$G$2:G114,"买入")</f>
        <v/>
      </c>
      <c r="R115">
        <f>SUMIFS($K$2:K114,$A$2:A114,"流水",$D$2:D114,D115,$E$2:E114,E115,$G$2:G114,"买入")</f>
        <v/>
      </c>
      <c r="S115">
        <f>IF(Q115&gt;0,R115/Q115,"")</f>
        <v/>
      </c>
      <c r="T115">
        <f>IF(G115="卖出",IF(S115="","",(L115-S115)*H115),0)</f>
        <v/>
      </c>
      <c r="U115" t="n">
        <v>0</v>
      </c>
      <c r="V115">
        <f>IF(AND(J115&gt;0,D115="深港"),K115/J115,"")</f>
        <v/>
      </c>
      <c r="W115">
        <f>IF(G115="卖出","(L115-S115)×H115 = ("&amp;TEXT(L115,"0.######")&amp;"-"&amp;TEXT(S115,"0.######")&amp;")×"&amp;H115,"")</f>
        <v/>
      </c>
      <c r="Y115">
        <f>IF(E115="","",IF(D115="深港",TEXT(--E115,"0000")&amp;".HK",IF(--E115&gt;=600000,TEXT(--E115,"000000")&amp;".SH",TEXT(--E115,"000000")&amp;".SZ")))</f>
        <v/>
      </c>
      <c r="Z115">
        <f>IF(Y115="","",IFERROR(INDEX('估值日行情'!$C$3:$C$61,MATCH(Y115,'估值日行情'!$A$3:$A$61,0)),""))</f>
        <v/>
      </c>
      <c r="AA115">
        <f>IF(D115="深港",IFERROR('FX_RATES_TO_CNY_HIST'!$B$3,""),1)</f>
        <v/>
      </c>
      <c r="AB115">
        <f>IF(Z115&lt;&gt;"",Z115*AA115,"")</f>
        <v/>
      </c>
      <c r="AC115">
        <f>SUMIFS($H$2:H115,$D$2:D115,D115,$E$2:E115,E115,$G$2:G115,"买入")-SUMIFS($H$2:H115,$D$2:D115,D115,$E$2:E115,E115,$G$2:G115,"卖出")</f>
        <v/>
      </c>
      <c r="AD115">
        <f>IF(D115="深港",IF(Q115&gt;0,SUMIFS($J$2:J114,$D$2:D114,D115,$E$2:E114,E115,$G$2:G114,"买入")/SUMIFS($H$2:H114,$D$2:D114,D115,$E$2:E114,E115,$G$2:G114,"买入"),""),S115)</f>
        <v/>
      </c>
      <c r="AE115">
        <f>IF(AC115&gt;0,AC115*Z115-AC115*AD115,0)</f>
        <v/>
      </c>
      <c r="AF115">
        <f>IF(AC115&gt;0,IF(D115="深港",AE115*AA115,AE115),0)</f>
        <v/>
      </c>
      <c r="AG115">
        <f>SUMIFS($H$2:H114,$D$2:D114,D115,$E$2:E114,E115,$G$2:G114,"买入")</f>
        <v/>
      </c>
      <c r="AH115">
        <f>SUMIFS($K$2:K114,$D$2:D114,D115,$E$2:E114,E115,$G$2:G114,"买入")</f>
        <v/>
      </c>
      <c r="AI115">
        <f>IF(AG115&gt;0,AH115/AG115,"")</f>
        <v/>
      </c>
      <c r="AJ115">
        <f>IF(G115="卖出",IF(AI115="","",(L115-AI115)*H115),0)</f>
        <v/>
      </c>
      <c r="AK115">
        <f>IF(G115="卖出",AJ115-T115,"")</f>
        <v/>
      </c>
      <c r="AL115">
        <f>IF(G115="卖出","(L115-AI115)×H115 = ("&amp;TEXT(L115,"0.######")&amp;"-"&amp;TEXT(AI115,"0.######")&amp;")×"&amp;H115,"")</f>
        <v/>
      </c>
    </row>
    <row r="116">
      <c r="A116">
        <f>IF('交易流水'!A76&lt;&gt;"","流水","")</f>
        <v/>
      </c>
      <c r="B116">
        <f>'交易流水'!B76</f>
        <v/>
      </c>
      <c r="C116">
        <f>'交易流水'!X76</f>
        <v/>
      </c>
      <c r="D116">
        <f>IF(ISNUMBER(SEARCH("深港",C116)),"深港",IF(ISNUMBER(SEARCH("场内",C116)),"场内","其他"))</f>
        <v/>
      </c>
      <c r="E116">
        <f>'交易流水'!F76</f>
        <v/>
      </c>
      <c r="F116">
        <f>'交易流水'!G76</f>
        <v/>
      </c>
      <c r="G116">
        <f>'交易流水'!H76</f>
        <v/>
      </c>
      <c r="H116">
        <f>'交易流水'!K76</f>
        <v/>
      </c>
      <c r="I116">
        <f>'交易流水'!P76</f>
        <v/>
      </c>
      <c r="J116">
        <f>'交易流水'!L76</f>
        <v/>
      </c>
      <c r="K116">
        <f>'交易流水'!AR76</f>
        <v/>
      </c>
      <c r="L116">
        <f>IF(H116&gt;0,K116/H116,"")</f>
        <v/>
      </c>
      <c r="M116">
        <f>IF(G116="买入",H116,0)</f>
        <v/>
      </c>
      <c r="N116">
        <f>IF(G116="买入",K116,0)</f>
        <v/>
      </c>
      <c r="O116">
        <f>IF(G116="卖出",H116,0)</f>
        <v/>
      </c>
      <c r="P116">
        <f>IF(G116="卖出",K116,0)</f>
        <v/>
      </c>
      <c r="Q116">
        <f>SUMIFS($H$2:H115,$A$2:A115,"流水",$D$2:D115,D116,$E$2:E115,E116,$G$2:G115,"买入")</f>
        <v/>
      </c>
      <c r="R116">
        <f>SUMIFS($K$2:K115,$A$2:A115,"流水",$D$2:D115,D116,$E$2:E115,E116,$G$2:G115,"买入")</f>
        <v/>
      </c>
      <c r="S116">
        <f>IF(Q116&gt;0,R116/Q116,"")</f>
        <v/>
      </c>
      <c r="T116">
        <f>IF(G116="卖出",IF(S116="","",(L116-S116)*H116),0)</f>
        <v/>
      </c>
      <c r="U116" t="n">
        <v>0</v>
      </c>
      <c r="V116">
        <f>IF(AND(J116&gt;0,D116="深港"),K116/J116,"")</f>
        <v/>
      </c>
      <c r="W116">
        <f>IF(G116="卖出","(L116-S116)×H116 = ("&amp;TEXT(L116,"0.######")&amp;"-"&amp;TEXT(S116,"0.######")&amp;")×"&amp;H116,"")</f>
        <v/>
      </c>
      <c r="Y116">
        <f>IF(E116="","",IF(D116="深港",TEXT(--E116,"0000")&amp;".HK",IF(--E116&gt;=600000,TEXT(--E116,"000000")&amp;".SH",TEXT(--E116,"000000")&amp;".SZ")))</f>
        <v/>
      </c>
      <c r="Z116">
        <f>IF(Y116="","",IFERROR(INDEX('估值日行情'!$C$3:$C$61,MATCH(Y116,'估值日行情'!$A$3:$A$61,0)),""))</f>
        <v/>
      </c>
      <c r="AA116">
        <f>IF(D116="深港",IFERROR('FX_RATES_TO_CNY_HIST'!$B$3,""),1)</f>
        <v/>
      </c>
      <c r="AB116">
        <f>IF(Z116&lt;&gt;"",Z116*AA116,"")</f>
        <v/>
      </c>
      <c r="AC116">
        <f>SUMIFS($H$2:H116,$D$2:D116,D116,$E$2:E116,E116,$G$2:G116,"买入")-SUMIFS($H$2:H116,$D$2:D116,D116,$E$2:E116,E116,$G$2:G116,"卖出")</f>
        <v/>
      </c>
      <c r="AD116">
        <f>IF(D116="深港",IF(Q116&gt;0,SUMIFS($J$2:J115,$D$2:D115,D116,$E$2:E115,E116,$G$2:G115,"买入")/SUMIFS($H$2:H115,$D$2:D115,D116,$E$2:E115,E116,$G$2:G115,"买入"),""),S116)</f>
        <v/>
      </c>
      <c r="AE116">
        <f>IF(AC116&gt;0,AC116*Z116-AC116*AD116,0)</f>
        <v/>
      </c>
      <c r="AF116">
        <f>IF(AC116&gt;0,IF(D116="深港",AE116*AA116,AE116),0)</f>
        <v/>
      </c>
      <c r="AG116">
        <f>SUMIFS($H$2:H115,$D$2:D115,D116,$E$2:E115,E116,$G$2:G115,"买入")</f>
        <v/>
      </c>
      <c r="AH116">
        <f>SUMIFS($K$2:K115,$D$2:D115,D116,$E$2:E115,E116,$G$2:G115,"买入")</f>
        <v/>
      </c>
      <c r="AI116">
        <f>IF(AG116&gt;0,AH116/AG116,"")</f>
        <v/>
      </c>
      <c r="AJ116">
        <f>IF(G116="卖出",IF(AI116="","",(L116-AI116)*H116),0)</f>
        <v/>
      </c>
      <c r="AK116">
        <f>IF(G116="卖出",AJ116-T116,"")</f>
        <v/>
      </c>
      <c r="AL116">
        <f>IF(G116="卖出","(L116-AI116)×H116 = ("&amp;TEXT(L116,"0.######")&amp;"-"&amp;TEXT(AI116,"0.######")&amp;")×"&amp;H116,"")</f>
        <v/>
      </c>
    </row>
    <row r="117">
      <c r="A117">
        <f>IF('交易流水'!A77&lt;&gt;"","流水","")</f>
        <v/>
      </c>
      <c r="B117">
        <f>'交易流水'!B77</f>
        <v/>
      </c>
      <c r="C117">
        <f>'交易流水'!X77</f>
        <v/>
      </c>
      <c r="D117">
        <f>IF(ISNUMBER(SEARCH("深港",C117)),"深港",IF(ISNUMBER(SEARCH("场内",C117)),"场内","其他"))</f>
        <v/>
      </c>
      <c r="E117">
        <f>'交易流水'!F77</f>
        <v/>
      </c>
      <c r="F117">
        <f>'交易流水'!G77</f>
        <v/>
      </c>
      <c r="G117">
        <f>'交易流水'!H77</f>
        <v/>
      </c>
      <c r="H117">
        <f>'交易流水'!K77</f>
        <v/>
      </c>
      <c r="I117">
        <f>'交易流水'!P77</f>
        <v/>
      </c>
      <c r="J117">
        <f>'交易流水'!L77</f>
        <v/>
      </c>
      <c r="K117">
        <f>'交易流水'!AR77</f>
        <v/>
      </c>
      <c r="L117">
        <f>IF(H117&gt;0,K117/H117,"")</f>
        <v/>
      </c>
      <c r="M117">
        <f>IF(G117="买入",H117,0)</f>
        <v/>
      </c>
      <c r="N117">
        <f>IF(G117="买入",K117,0)</f>
        <v/>
      </c>
      <c r="O117">
        <f>IF(G117="卖出",H117,0)</f>
        <v/>
      </c>
      <c r="P117">
        <f>IF(G117="卖出",K117,0)</f>
        <v/>
      </c>
      <c r="Q117">
        <f>SUMIFS($H$2:H116,$A$2:A116,"流水",$D$2:D116,D117,$E$2:E116,E117,$G$2:G116,"买入")</f>
        <v/>
      </c>
      <c r="R117">
        <f>SUMIFS($K$2:K116,$A$2:A116,"流水",$D$2:D116,D117,$E$2:E116,E117,$G$2:G116,"买入")</f>
        <v/>
      </c>
      <c r="S117">
        <f>IF(Q117&gt;0,R117/Q117,"")</f>
        <v/>
      </c>
      <c r="T117">
        <f>IF(G117="卖出",IF(S117="","",(L117-S117)*H117),0)</f>
        <v/>
      </c>
      <c r="U117" t="n">
        <v>0</v>
      </c>
      <c r="V117">
        <f>IF(AND(J117&gt;0,D117="深港"),K117/J117,"")</f>
        <v/>
      </c>
      <c r="W117">
        <f>IF(G117="卖出","(L117-S117)×H117 = ("&amp;TEXT(L117,"0.######")&amp;"-"&amp;TEXT(S117,"0.######")&amp;")×"&amp;H117,"")</f>
        <v/>
      </c>
      <c r="Y117">
        <f>IF(E117="","",IF(D117="深港",TEXT(--E117,"0000")&amp;".HK",IF(--E117&gt;=600000,TEXT(--E117,"000000")&amp;".SH",TEXT(--E117,"000000")&amp;".SZ")))</f>
        <v/>
      </c>
      <c r="Z117">
        <f>IF(Y117="","",IFERROR(INDEX('估值日行情'!$C$3:$C$61,MATCH(Y117,'估值日行情'!$A$3:$A$61,0)),""))</f>
        <v/>
      </c>
      <c r="AA117">
        <f>IF(D117="深港",IFERROR('FX_RATES_TO_CNY_HIST'!$B$3,""),1)</f>
        <v/>
      </c>
      <c r="AB117">
        <f>IF(Z117&lt;&gt;"",Z117*AA117,"")</f>
        <v/>
      </c>
      <c r="AC117">
        <f>SUMIFS($H$2:H117,$D$2:D117,D117,$E$2:E117,E117,$G$2:G117,"买入")-SUMIFS($H$2:H117,$D$2:D117,D117,$E$2:E117,E117,$G$2:G117,"卖出")</f>
        <v/>
      </c>
      <c r="AD117">
        <f>IF(D117="深港",IF(Q117&gt;0,SUMIFS($J$2:J116,$D$2:D116,D117,$E$2:E116,E117,$G$2:G116,"买入")/SUMIFS($H$2:H116,$D$2:D116,D117,$E$2:E116,E117,$G$2:G116,"买入"),""),S117)</f>
        <v/>
      </c>
      <c r="AE117">
        <f>IF(AC117&gt;0,AC117*Z117-AC117*AD117,0)</f>
        <v/>
      </c>
      <c r="AF117">
        <f>IF(AC117&gt;0,IF(D117="深港",AE117*AA117,AE117),0)</f>
        <v/>
      </c>
      <c r="AG117">
        <f>SUMIFS($H$2:H116,$D$2:D116,D117,$E$2:E116,E117,$G$2:G116,"买入")</f>
        <v/>
      </c>
      <c r="AH117">
        <f>SUMIFS($K$2:K116,$D$2:D116,D117,$E$2:E116,E117,$G$2:G116,"买入")</f>
        <v/>
      </c>
      <c r="AI117">
        <f>IF(AG117&gt;0,AH117/AG117,"")</f>
        <v/>
      </c>
      <c r="AJ117">
        <f>IF(G117="卖出",IF(AI117="","",(L117-AI117)*H117),0)</f>
        <v/>
      </c>
      <c r="AK117">
        <f>IF(G117="卖出",AJ117-T117,"")</f>
        <v/>
      </c>
      <c r="AL117">
        <f>IF(G117="卖出","(L117-AI117)×H117 = ("&amp;TEXT(L117,"0.######")&amp;"-"&amp;TEXT(AI117,"0.######")&amp;")×"&amp;H117,"")</f>
        <v/>
      </c>
    </row>
    <row r="118">
      <c r="A118">
        <f>IF('交易流水'!A78&lt;&gt;"","流水","")</f>
        <v/>
      </c>
      <c r="B118">
        <f>'交易流水'!B78</f>
        <v/>
      </c>
      <c r="C118">
        <f>'交易流水'!X78</f>
        <v/>
      </c>
      <c r="D118">
        <f>IF(ISNUMBER(SEARCH("深港",C118)),"深港",IF(ISNUMBER(SEARCH("场内",C118)),"场内","其他"))</f>
        <v/>
      </c>
      <c r="E118">
        <f>'交易流水'!F78</f>
        <v/>
      </c>
      <c r="F118">
        <f>'交易流水'!G78</f>
        <v/>
      </c>
      <c r="G118">
        <f>'交易流水'!H78</f>
        <v/>
      </c>
      <c r="H118">
        <f>'交易流水'!K78</f>
        <v/>
      </c>
      <c r="I118">
        <f>'交易流水'!P78</f>
        <v/>
      </c>
      <c r="J118">
        <f>'交易流水'!L78</f>
        <v/>
      </c>
      <c r="K118">
        <f>'交易流水'!AR78</f>
        <v/>
      </c>
      <c r="L118">
        <f>IF(H118&gt;0,K118/H118,"")</f>
        <v/>
      </c>
      <c r="M118">
        <f>IF(G118="买入",H118,0)</f>
        <v/>
      </c>
      <c r="N118">
        <f>IF(G118="买入",K118,0)</f>
        <v/>
      </c>
      <c r="O118">
        <f>IF(G118="卖出",H118,0)</f>
        <v/>
      </c>
      <c r="P118">
        <f>IF(G118="卖出",K118,0)</f>
        <v/>
      </c>
      <c r="Q118">
        <f>SUMIFS($H$2:H117,$A$2:A117,"流水",$D$2:D117,D118,$E$2:E117,E118,$G$2:G117,"买入")</f>
        <v/>
      </c>
      <c r="R118">
        <f>SUMIFS($K$2:K117,$A$2:A117,"流水",$D$2:D117,D118,$E$2:E117,E118,$G$2:G117,"买入")</f>
        <v/>
      </c>
      <c r="S118">
        <f>IF(Q118&gt;0,R118/Q118,"")</f>
        <v/>
      </c>
      <c r="T118">
        <f>IF(G118="卖出",IF(S118="","",(L118-S118)*H118),0)</f>
        <v/>
      </c>
      <c r="U118" t="n">
        <v>-69642.75</v>
      </c>
      <c r="V118">
        <f>IF(AND(J118&gt;0,D118="深港"),K118/J118,"")</f>
        <v/>
      </c>
      <c r="W118">
        <f>IF(G118="卖出","(L118-S118)×H118 = ("&amp;TEXT(L118,"0.######")&amp;"-"&amp;TEXT(S118,"0.######")&amp;")×"&amp;H118,"")</f>
        <v/>
      </c>
      <c r="X118" t="inlineStr">
        <is>
          <t>(L118-L22)×40000=(6.283313-8.024382)×40000=-69642.75 → -69642.75</t>
        </is>
      </c>
      <c r="Y118">
        <f>IF(E118="","",IF(D118="深港",TEXT(--E118,"0000")&amp;".HK",IF(--E118&gt;=600000,TEXT(--E118,"000000")&amp;".SH",TEXT(--E118,"000000")&amp;".SZ")))</f>
        <v/>
      </c>
      <c r="Z118">
        <f>IF(Y118="","",IFERROR(INDEX('估值日行情'!$C$3:$C$61,MATCH(Y118,'估值日行情'!$A$3:$A$61,0)),""))</f>
        <v/>
      </c>
      <c r="AA118">
        <f>IF(D118="深港",IFERROR('FX_RATES_TO_CNY_HIST'!$B$3,""),1)</f>
        <v/>
      </c>
      <c r="AB118">
        <f>IF(Z118&lt;&gt;"",Z118*AA118,"")</f>
        <v/>
      </c>
      <c r="AC118">
        <f>SUMIFS($H$2:H118,$D$2:D118,D118,$E$2:E118,E118,$G$2:G118,"买入")-SUMIFS($H$2:H118,$D$2:D118,D118,$E$2:E118,E118,$G$2:G118,"卖出")</f>
        <v/>
      </c>
      <c r="AD118">
        <f>IF(D118="深港",IF(Q118&gt;0,SUMIFS($J$2:J117,$D$2:D117,D118,$E$2:E117,E118,$G$2:G117,"买入")/SUMIFS($H$2:H117,$D$2:D117,D118,$E$2:E117,E118,$G$2:G117,"买入"),""),S118)</f>
        <v/>
      </c>
      <c r="AE118">
        <f>IF(AC118&gt;0,AC118*Z118-AC118*AD118,0)</f>
        <v/>
      </c>
      <c r="AF118">
        <f>IF(AC118&gt;0,IF(D118="深港",AE118*AA118,AE118),0)</f>
        <v/>
      </c>
      <c r="AG118">
        <f>SUMIFS($H$2:H117,$D$2:D117,D118,$E$2:E117,E118,$G$2:G117,"买入")</f>
        <v/>
      </c>
      <c r="AH118">
        <f>SUMIFS($K$2:K117,$D$2:D117,D118,$E$2:E117,E118,$G$2:G117,"买入")</f>
        <v/>
      </c>
      <c r="AI118">
        <f>IF(AG118&gt;0,AH118/AG118,"")</f>
        <v/>
      </c>
      <c r="AJ118">
        <f>IF(G118="卖出",IF(AI118="","",(L118-AI118)*H118),0)</f>
        <v/>
      </c>
      <c r="AK118">
        <f>IF(G118="卖出",AJ118-T118,"")</f>
        <v/>
      </c>
      <c r="AL118">
        <f>IF(G118="卖出","(L118-AI118)×H118 = ("&amp;TEXT(L118,"0.######")&amp;"-"&amp;TEXT(AI118,"0.######")&amp;")×"&amp;H118,"")</f>
        <v/>
      </c>
    </row>
    <row r="119">
      <c r="A119">
        <f>IF('交易流水'!A79&lt;&gt;"","流水","")</f>
        <v/>
      </c>
      <c r="B119">
        <f>'交易流水'!B79</f>
        <v/>
      </c>
      <c r="C119">
        <f>'交易流水'!X79</f>
        <v/>
      </c>
      <c r="D119">
        <f>IF(ISNUMBER(SEARCH("深港",C119)),"深港",IF(ISNUMBER(SEARCH("场内",C119)),"场内","其他"))</f>
        <v/>
      </c>
      <c r="E119">
        <f>'交易流水'!F79</f>
        <v/>
      </c>
      <c r="F119">
        <f>'交易流水'!G79</f>
        <v/>
      </c>
      <c r="G119">
        <f>'交易流水'!H79</f>
        <v/>
      </c>
      <c r="H119">
        <f>'交易流水'!K79</f>
        <v/>
      </c>
      <c r="I119">
        <f>'交易流水'!P79</f>
        <v/>
      </c>
      <c r="J119">
        <f>'交易流水'!L79</f>
        <v/>
      </c>
      <c r="K119">
        <f>'交易流水'!AR79</f>
        <v/>
      </c>
      <c r="L119">
        <f>IF(H119&gt;0,K119/H119,"")</f>
        <v/>
      </c>
      <c r="M119">
        <f>IF(G119="买入",H119,0)</f>
        <v/>
      </c>
      <c r="N119">
        <f>IF(G119="买入",K119,0)</f>
        <v/>
      </c>
      <c r="O119">
        <f>IF(G119="卖出",H119,0)</f>
        <v/>
      </c>
      <c r="P119">
        <f>IF(G119="卖出",K119,0)</f>
        <v/>
      </c>
      <c r="Q119">
        <f>SUMIFS($H$2:H118,$A$2:A118,"流水",$D$2:D118,D119,$E$2:E118,E119,$G$2:G118,"买入")</f>
        <v/>
      </c>
      <c r="R119">
        <f>SUMIFS($K$2:K118,$A$2:A118,"流水",$D$2:D118,D119,$E$2:E118,E119,$G$2:G118,"买入")</f>
        <v/>
      </c>
      <c r="S119">
        <f>IF(Q119&gt;0,R119/Q119,"")</f>
        <v/>
      </c>
      <c r="T119">
        <f>IF(G119="卖出",IF(S119="","",(L119-S119)*H119),0)</f>
        <v/>
      </c>
      <c r="U119" t="n">
        <v>0</v>
      </c>
      <c r="V119">
        <f>IF(AND(J119&gt;0,D119="深港"),K119/J119,"")</f>
        <v/>
      </c>
      <c r="W119">
        <f>IF(G119="卖出","(L119-S119)×H119 = ("&amp;TEXT(L119,"0.######")&amp;"-"&amp;TEXT(S119,"0.######")&amp;")×"&amp;H119,"")</f>
        <v/>
      </c>
      <c r="Y119">
        <f>IF(E119="","",IF(D119="深港",TEXT(--E119,"0000")&amp;".HK",IF(--E119&gt;=600000,TEXT(--E119,"000000")&amp;".SH",TEXT(--E119,"000000")&amp;".SZ")))</f>
        <v/>
      </c>
      <c r="Z119">
        <f>IF(Y119="","",IFERROR(INDEX('估值日行情'!$C$3:$C$61,MATCH(Y119,'估值日行情'!$A$3:$A$61,0)),""))</f>
        <v/>
      </c>
      <c r="AA119">
        <f>IF(D119="深港",IFERROR('FX_RATES_TO_CNY_HIST'!$B$3,""),1)</f>
        <v/>
      </c>
      <c r="AB119">
        <f>IF(Z119&lt;&gt;"",Z119*AA119,"")</f>
        <v/>
      </c>
      <c r="AC119">
        <f>SUMIFS($H$2:H119,$D$2:D119,D119,$E$2:E119,E119,$G$2:G119,"买入")-SUMIFS($H$2:H119,$D$2:D119,D119,$E$2:E119,E119,$G$2:G119,"卖出")</f>
        <v/>
      </c>
      <c r="AD119">
        <f>IF(D119="深港",IF(Q119&gt;0,SUMIFS($J$2:J118,$D$2:D118,D119,$E$2:E118,E119,$G$2:G118,"买入")/SUMIFS($H$2:H118,$D$2:D118,D119,$E$2:E118,E119,$G$2:G118,"买入"),""),S119)</f>
        <v/>
      </c>
      <c r="AE119">
        <f>IF(AC119&gt;0,AC119*Z119-AC119*AD119,0)</f>
        <v/>
      </c>
      <c r="AF119">
        <f>IF(AC119&gt;0,IF(D119="深港",AE119*AA119,AE119),0)</f>
        <v/>
      </c>
      <c r="AG119">
        <f>SUMIFS($H$2:H118,$D$2:D118,D119,$E$2:E118,E119,$G$2:G118,"买入")</f>
        <v/>
      </c>
      <c r="AH119">
        <f>SUMIFS($K$2:K118,$D$2:D118,D119,$E$2:E118,E119,$G$2:G118,"买入")</f>
        <v/>
      </c>
      <c r="AI119">
        <f>IF(AG119&gt;0,AH119/AG119,"")</f>
        <v/>
      </c>
      <c r="AJ119">
        <f>IF(G119="卖出",IF(AI119="","",(L119-AI119)*H119),0)</f>
        <v/>
      </c>
      <c r="AK119">
        <f>IF(G119="卖出",AJ119-T119,"")</f>
        <v/>
      </c>
      <c r="AL119">
        <f>IF(G119="卖出","(L119-AI119)×H119 = ("&amp;TEXT(L119,"0.######")&amp;"-"&amp;TEXT(AI119,"0.######")&amp;")×"&amp;H119,"")</f>
        <v/>
      </c>
    </row>
    <row r="120">
      <c r="A120">
        <f>IF('交易流水'!A80&lt;&gt;"","流水","")</f>
        <v/>
      </c>
      <c r="B120">
        <f>'交易流水'!B80</f>
        <v/>
      </c>
      <c r="C120">
        <f>'交易流水'!X80</f>
        <v/>
      </c>
      <c r="D120">
        <f>IF(ISNUMBER(SEARCH("深港",C120)),"深港",IF(ISNUMBER(SEARCH("场内",C120)),"场内","其他"))</f>
        <v/>
      </c>
      <c r="E120">
        <f>'交易流水'!F80</f>
        <v/>
      </c>
      <c r="F120">
        <f>'交易流水'!G80</f>
        <v/>
      </c>
      <c r="G120">
        <f>'交易流水'!H80</f>
        <v/>
      </c>
      <c r="H120">
        <f>'交易流水'!K80</f>
        <v/>
      </c>
      <c r="I120">
        <f>'交易流水'!P80</f>
        <v/>
      </c>
      <c r="J120">
        <f>'交易流水'!L80</f>
        <v/>
      </c>
      <c r="K120">
        <f>'交易流水'!AR80</f>
        <v/>
      </c>
      <c r="L120">
        <f>IF(H120&gt;0,K120/H120,"")</f>
        <v/>
      </c>
      <c r="M120">
        <f>IF(G120="买入",H120,0)</f>
        <v/>
      </c>
      <c r="N120">
        <f>IF(G120="买入",K120,0)</f>
        <v/>
      </c>
      <c r="O120">
        <f>IF(G120="卖出",H120,0)</f>
        <v/>
      </c>
      <c r="P120">
        <f>IF(G120="卖出",K120,0)</f>
        <v/>
      </c>
      <c r="Q120">
        <f>SUMIFS($H$2:H119,$A$2:A119,"流水",$D$2:D119,D120,$E$2:E119,E120,$G$2:G119,"买入")</f>
        <v/>
      </c>
      <c r="R120">
        <f>SUMIFS($K$2:K119,$A$2:A119,"流水",$D$2:D119,D120,$E$2:E119,E120,$G$2:G119,"买入")</f>
        <v/>
      </c>
      <c r="S120">
        <f>IF(Q120&gt;0,R120/Q120,"")</f>
        <v/>
      </c>
      <c r="T120">
        <f>IF(G120="卖出",IF(S120="","",(L120-S120)*H120),0)</f>
        <v/>
      </c>
      <c r="U120" t="n">
        <v>254609.55</v>
      </c>
      <c r="V120">
        <f>IF(AND(J120&gt;0,D120="深港"),K120/J120,"")</f>
        <v/>
      </c>
      <c r="W120">
        <f>IF(G120="卖出","(L120-S120)×H120 = ("&amp;TEXT(L120,"0.######")&amp;"-"&amp;TEXT(S120,"0.######")&amp;")×"&amp;H120,"")</f>
        <v/>
      </c>
      <c r="X120" t="inlineStr">
        <is>
          <t>(L120-L32)×200000=(6.063000-4.789952)×200000=254609.55 → 254609.55</t>
        </is>
      </c>
      <c r="Y120">
        <f>IF(E120="","",IF(D120="深港",TEXT(--E120,"0000")&amp;".HK",IF(--E120&gt;=600000,TEXT(--E120,"000000")&amp;".SH",TEXT(--E120,"000000")&amp;".SZ")))</f>
        <v/>
      </c>
      <c r="Z120">
        <f>IF(Y120="","",IFERROR(INDEX('估值日行情'!$C$3:$C$61,MATCH(Y120,'估值日行情'!$A$3:$A$61,0)),""))</f>
        <v/>
      </c>
      <c r="AA120">
        <f>IF(D120="深港",IFERROR('FX_RATES_TO_CNY_HIST'!$B$3,""),1)</f>
        <v/>
      </c>
      <c r="AB120">
        <f>IF(Z120&lt;&gt;"",Z120*AA120,"")</f>
        <v/>
      </c>
      <c r="AC120">
        <f>SUMIFS($H$2:H120,$D$2:D120,D120,$E$2:E120,E120,$G$2:G120,"买入")-SUMIFS($H$2:H120,$D$2:D120,D120,$E$2:E120,E120,$G$2:G120,"卖出")</f>
        <v/>
      </c>
      <c r="AD120">
        <f>IF(D120="深港",IF(Q120&gt;0,SUMIFS($J$2:J119,$D$2:D119,D120,$E$2:E119,E120,$G$2:G119,"买入")/SUMIFS($H$2:H119,$D$2:D119,D120,$E$2:E119,E120,$G$2:G119,"买入"),""),S120)</f>
        <v/>
      </c>
      <c r="AE120">
        <f>IF(AC120&gt;0,AC120*Z120-AC120*AD120,0)</f>
        <v/>
      </c>
      <c r="AF120">
        <f>IF(AC120&gt;0,IF(D120="深港",AE120*AA120,AE120),0)</f>
        <v/>
      </c>
      <c r="AG120">
        <f>SUMIFS($H$2:H119,$D$2:D119,D120,$E$2:E119,E120,$G$2:G119,"买入")</f>
        <v/>
      </c>
      <c r="AH120">
        <f>SUMIFS($K$2:K119,$D$2:D119,D120,$E$2:E119,E120,$G$2:G119,"买入")</f>
        <v/>
      </c>
      <c r="AI120">
        <f>IF(AG120&gt;0,AH120/AG120,"")</f>
        <v/>
      </c>
      <c r="AJ120">
        <f>IF(G120="卖出",IF(AI120="","",(L120-AI120)*H120),0)</f>
        <v/>
      </c>
      <c r="AK120">
        <f>IF(G120="卖出",AJ120-T120,"")</f>
        <v/>
      </c>
      <c r="AL120">
        <f>IF(G120="卖出","(L120-AI120)×H120 = ("&amp;TEXT(L120,"0.######")&amp;"-"&amp;TEXT(AI120,"0.######")&amp;")×"&amp;H120,"")</f>
        <v/>
      </c>
    </row>
    <row r="121">
      <c r="A121">
        <f>IF('交易流水'!A81&lt;&gt;"","流水","")</f>
        <v/>
      </c>
      <c r="B121">
        <f>'交易流水'!B81</f>
        <v/>
      </c>
      <c r="C121">
        <f>'交易流水'!X81</f>
        <v/>
      </c>
      <c r="D121">
        <f>IF(ISNUMBER(SEARCH("深港",C121)),"深港",IF(ISNUMBER(SEARCH("场内",C121)),"场内","其他"))</f>
        <v/>
      </c>
      <c r="E121">
        <f>'交易流水'!F81</f>
        <v/>
      </c>
      <c r="F121">
        <f>'交易流水'!G81</f>
        <v/>
      </c>
      <c r="G121">
        <f>'交易流水'!H81</f>
        <v/>
      </c>
      <c r="H121">
        <f>'交易流水'!K81</f>
        <v/>
      </c>
      <c r="I121">
        <f>'交易流水'!P81</f>
        <v/>
      </c>
      <c r="J121">
        <f>'交易流水'!L81</f>
        <v/>
      </c>
      <c r="K121">
        <f>'交易流水'!AR81</f>
        <v/>
      </c>
      <c r="L121">
        <f>IF(H121&gt;0,K121/H121,"")</f>
        <v/>
      </c>
      <c r="M121">
        <f>IF(G121="买入",H121,0)</f>
        <v/>
      </c>
      <c r="N121">
        <f>IF(G121="买入",K121,0)</f>
        <v/>
      </c>
      <c r="O121">
        <f>IF(G121="卖出",H121,0)</f>
        <v/>
      </c>
      <c r="P121">
        <f>IF(G121="卖出",K121,0)</f>
        <v/>
      </c>
      <c r="Q121">
        <f>SUMIFS($H$2:H120,$A$2:A120,"流水",$D$2:D120,D121,$E$2:E120,E121,$G$2:G120,"买入")</f>
        <v/>
      </c>
      <c r="R121">
        <f>SUMIFS($K$2:K120,$A$2:A120,"流水",$D$2:D120,D121,$E$2:E120,E121,$G$2:G120,"买入")</f>
        <v/>
      </c>
      <c r="S121">
        <f>IF(Q121&gt;0,R121/Q121,"")</f>
        <v/>
      </c>
      <c r="T121">
        <f>IF(G121="卖出",IF(S121="","",(L121-S121)*H121),0)</f>
        <v/>
      </c>
      <c r="U121" t="n">
        <v>15097.72</v>
      </c>
      <c r="V121">
        <f>IF(AND(J121&gt;0,D121="深港"),K121/J121,"")</f>
        <v/>
      </c>
      <c r="W121">
        <f>IF(G121="卖出","(L121-S121)×H121 = ("&amp;TEXT(L121,"0.######")&amp;"-"&amp;TEXT(S121,"0.######")&amp;")×"&amp;H121,"")</f>
        <v/>
      </c>
      <c r="X121" t="inlineStr">
        <is>
          <t>(L121-L39)×100000=(4.406250-4.255273)×100000=15097.72 → 15097.72</t>
        </is>
      </c>
      <c r="Y121">
        <f>IF(E121="","",IF(D121="深港",TEXT(--E121,"0000")&amp;".HK",IF(--E121&gt;=600000,TEXT(--E121,"000000")&amp;".SH",TEXT(--E121,"000000")&amp;".SZ")))</f>
        <v/>
      </c>
      <c r="Z121">
        <f>IF(Y121="","",IFERROR(INDEX('估值日行情'!$C$3:$C$61,MATCH(Y121,'估值日行情'!$A$3:$A$61,0)),""))</f>
        <v/>
      </c>
      <c r="AA121">
        <f>IF(D121="深港",IFERROR('FX_RATES_TO_CNY_HIST'!$B$3,""),1)</f>
        <v/>
      </c>
      <c r="AB121">
        <f>IF(Z121&lt;&gt;"",Z121*AA121,"")</f>
        <v/>
      </c>
      <c r="AC121">
        <f>SUMIFS($H$2:H121,$D$2:D121,D121,$E$2:E121,E121,$G$2:G121,"买入")-SUMIFS($H$2:H121,$D$2:D121,D121,$E$2:E121,E121,$G$2:G121,"卖出")</f>
        <v/>
      </c>
      <c r="AD121">
        <f>IF(D121="深港",IF(Q121&gt;0,SUMIFS($J$2:J120,$D$2:D120,D121,$E$2:E120,E121,$G$2:G120,"买入")/SUMIFS($H$2:H120,$D$2:D120,D121,$E$2:E120,E121,$G$2:G120,"买入"),""),S121)</f>
        <v/>
      </c>
      <c r="AE121">
        <f>IF(AC121&gt;0,AC121*Z121-AC121*AD121,0)</f>
        <v/>
      </c>
      <c r="AF121">
        <f>IF(AC121&gt;0,IF(D121="深港",AE121*AA121,AE121),0)</f>
        <v/>
      </c>
      <c r="AG121">
        <f>SUMIFS($H$2:H120,$D$2:D120,D121,$E$2:E120,E121,$G$2:G120,"买入")</f>
        <v/>
      </c>
      <c r="AH121">
        <f>SUMIFS($K$2:K120,$D$2:D120,D121,$E$2:E120,E121,$G$2:G120,"买入")</f>
        <v/>
      </c>
      <c r="AI121">
        <f>IF(AG121&gt;0,AH121/AG121,"")</f>
        <v/>
      </c>
      <c r="AJ121">
        <f>IF(G121="卖出",IF(AI121="","",(L121-AI121)*H121),0)</f>
        <v/>
      </c>
      <c r="AK121">
        <f>IF(G121="卖出",AJ121-T121,"")</f>
        <v/>
      </c>
      <c r="AL121">
        <f>IF(G121="卖出","(L121-AI121)×H121 = ("&amp;TEXT(L121,"0.######")&amp;"-"&amp;TEXT(AI121,"0.######")&amp;")×"&amp;H121,"")</f>
        <v/>
      </c>
    </row>
    <row r="122">
      <c r="A122">
        <f>IF('交易流水'!A82&lt;&gt;"","流水","")</f>
        <v/>
      </c>
      <c r="B122">
        <f>'交易流水'!B82</f>
        <v/>
      </c>
      <c r="C122">
        <f>'交易流水'!X82</f>
        <v/>
      </c>
      <c r="D122">
        <f>IF(ISNUMBER(SEARCH("深港",C122)),"深港",IF(ISNUMBER(SEARCH("场内",C122)),"场内","其他"))</f>
        <v/>
      </c>
      <c r="E122">
        <f>'交易流水'!F82</f>
        <v/>
      </c>
      <c r="F122">
        <f>'交易流水'!G82</f>
        <v/>
      </c>
      <c r="G122">
        <f>'交易流水'!H82</f>
        <v/>
      </c>
      <c r="H122">
        <f>'交易流水'!K82</f>
        <v/>
      </c>
      <c r="I122">
        <f>'交易流水'!P82</f>
        <v/>
      </c>
      <c r="J122">
        <f>'交易流水'!L82</f>
        <v/>
      </c>
      <c r="K122">
        <f>'交易流水'!AR82</f>
        <v/>
      </c>
      <c r="L122">
        <f>IF(H122&gt;0,K122/H122,"")</f>
        <v/>
      </c>
      <c r="M122">
        <f>IF(G122="买入",H122,0)</f>
        <v/>
      </c>
      <c r="N122">
        <f>IF(G122="买入",K122,0)</f>
        <v/>
      </c>
      <c r="O122">
        <f>IF(G122="卖出",H122,0)</f>
        <v/>
      </c>
      <c r="P122">
        <f>IF(G122="卖出",K122,0)</f>
        <v/>
      </c>
      <c r="Q122">
        <f>SUMIFS($H$2:H121,$A$2:A121,"流水",$D$2:D121,D122,$E$2:E121,E122,$G$2:G121,"买入")</f>
        <v/>
      </c>
      <c r="R122">
        <f>SUMIFS($K$2:K121,$A$2:A121,"流水",$D$2:D121,D122,$E$2:E121,E122,$G$2:G121,"买入")</f>
        <v/>
      </c>
      <c r="S122">
        <f>IF(Q122&gt;0,R122/Q122,"")</f>
        <v/>
      </c>
      <c r="T122">
        <f>IF(G122="卖出",IF(S122="","",(L122-S122)*H122),0)</f>
        <v/>
      </c>
      <c r="U122" t="n">
        <v>0</v>
      </c>
      <c r="V122">
        <f>IF(AND(J122&gt;0,D122="深港"),K122/J122,"")</f>
        <v/>
      </c>
      <c r="W122">
        <f>IF(G122="卖出","(L122-S122)×H122 = ("&amp;TEXT(L122,"0.######")&amp;"-"&amp;TEXT(S122,"0.######")&amp;")×"&amp;H122,"")</f>
        <v/>
      </c>
      <c r="Y122">
        <f>IF(E122="","",IF(D122="深港",TEXT(--E122,"0000")&amp;".HK",IF(--E122&gt;=600000,TEXT(--E122,"000000")&amp;".SH",TEXT(--E122,"000000")&amp;".SZ")))</f>
        <v/>
      </c>
      <c r="Z122">
        <f>IF(Y122="","",IFERROR(INDEX('估值日行情'!$C$3:$C$61,MATCH(Y122,'估值日行情'!$A$3:$A$61,0)),""))</f>
        <v/>
      </c>
      <c r="AA122">
        <f>IF(D122="深港",IFERROR('FX_RATES_TO_CNY_HIST'!$B$3,""),1)</f>
        <v/>
      </c>
      <c r="AB122">
        <f>IF(Z122&lt;&gt;"",Z122*AA122,"")</f>
        <v/>
      </c>
      <c r="AC122">
        <f>SUMIFS($H$2:H122,$D$2:D122,D122,$E$2:E122,E122,$G$2:G122,"买入")-SUMIFS($H$2:H122,$D$2:D122,D122,$E$2:E122,E122,$G$2:G122,"卖出")</f>
        <v/>
      </c>
      <c r="AD122">
        <f>IF(D122="深港",IF(Q122&gt;0,SUMIFS($J$2:J121,$D$2:D121,D122,$E$2:E121,E122,$G$2:G121,"买入")/SUMIFS($H$2:H121,$D$2:D121,D122,$E$2:E121,E122,$G$2:G121,"买入"),""),S122)</f>
        <v/>
      </c>
      <c r="AE122">
        <f>IF(AC122&gt;0,AC122*Z122-AC122*AD122,0)</f>
        <v/>
      </c>
      <c r="AF122">
        <f>IF(AC122&gt;0,IF(D122="深港",AE122*AA122,AE122),0)</f>
        <v/>
      </c>
      <c r="AG122">
        <f>SUMIFS($H$2:H121,$D$2:D121,D122,$E$2:E121,E122,$G$2:G121,"买入")</f>
        <v/>
      </c>
      <c r="AH122">
        <f>SUMIFS($K$2:K121,$D$2:D121,D122,$E$2:E121,E122,$G$2:G121,"买入")</f>
        <v/>
      </c>
      <c r="AI122">
        <f>IF(AG122&gt;0,AH122/AG122,"")</f>
        <v/>
      </c>
      <c r="AJ122">
        <f>IF(G122="卖出",IF(AI122="","",(L122-AI122)*H122),0)</f>
        <v/>
      </c>
      <c r="AK122">
        <f>IF(G122="卖出",AJ122-T122,"")</f>
        <v/>
      </c>
      <c r="AL122">
        <f>IF(G122="卖出","(L122-AI122)×H122 = ("&amp;TEXT(L122,"0.######")&amp;"-"&amp;TEXT(AI122,"0.######")&amp;")×"&amp;H122,"")</f>
        <v/>
      </c>
    </row>
    <row r="123">
      <c r="A123">
        <f>IF('交易流水'!A83&lt;&gt;"","流水","")</f>
        <v/>
      </c>
      <c r="B123">
        <f>'交易流水'!B83</f>
        <v/>
      </c>
      <c r="C123">
        <f>'交易流水'!X83</f>
        <v/>
      </c>
      <c r="D123">
        <f>IF(ISNUMBER(SEARCH("深港",C123)),"深港",IF(ISNUMBER(SEARCH("场内",C123)),"场内","其他"))</f>
        <v/>
      </c>
      <c r="E123">
        <f>'交易流水'!F83</f>
        <v/>
      </c>
      <c r="F123">
        <f>'交易流水'!G83</f>
        <v/>
      </c>
      <c r="G123">
        <f>'交易流水'!H83</f>
        <v/>
      </c>
      <c r="H123">
        <f>'交易流水'!K83</f>
        <v/>
      </c>
      <c r="I123">
        <f>'交易流水'!P83</f>
        <v/>
      </c>
      <c r="J123">
        <f>'交易流水'!L83</f>
        <v/>
      </c>
      <c r="K123">
        <f>'交易流水'!AR83</f>
        <v/>
      </c>
      <c r="L123">
        <f>IF(H123&gt;0,K123/H123,"")</f>
        <v/>
      </c>
      <c r="M123">
        <f>IF(G123="买入",H123,0)</f>
        <v/>
      </c>
      <c r="N123">
        <f>IF(G123="买入",K123,0)</f>
        <v/>
      </c>
      <c r="O123">
        <f>IF(G123="卖出",H123,0)</f>
        <v/>
      </c>
      <c r="P123">
        <f>IF(G123="卖出",K123,0)</f>
        <v/>
      </c>
      <c r="Q123">
        <f>SUMIFS($H$2:H122,$A$2:A122,"流水",$D$2:D122,D123,$E$2:E122,E123,$G$2:G122,"买入")</f>
        <v/>
      </c>
      <c r="R123">
        <f>SUMIFS($K$2:K122,$A$2:A122,"流水",$D$2:D122,D123,$E$2:E122,E123,$G$2:G122,"买入")</f>
        <v/>
      </c>
      <c r="S123">
        <f>IF(Q123&gt;0,R123/Q123,"")</f>
        <v/>
      </c>
      <c r="T123">
        <f>IF(G123="卖出",IF(S123="","",(L123-S123)*H123),0)</f>
        <v/>
      </c>
      <c r="U123" t="n">
        <v>0</v>
      </c>
      <c r="V123">
        <f>IF(AND(J123&gt;0,D123="深港"),K123/J123,"")</f>
        <v/>
      </c>
      <c r="W123">
        <f>IF(G123="卖出","(L123-S123)×H123 = ("&amp;TEXT(L123,"0.######")&amp;"-"&amp;TEXT(S123,"0.######")&amp;")×"&amp;H123,"")</f>
        <v/>
      </c>
      <c r="Y123">
        <f>IF(E123="","",IF(D123="深港",TEXT(--E123,"0000")&amp;".HK",IF(--E123&gt;=600000,TEXT(--E123,"000000")&amp;".SH",TEXT(--E123,"000000")&amp;".SZ")))</f>
        <v/>
      </c>
      <c r="Z123">
        <f>IF(Y123="","",IFERROR(INDEX('估值日行情'!$C$3:$C$61,MATCH(Y123,'估值日行情'!$A$3:$A$61,0)),""))</f>
        <v/>
      </c>
      <c r="AA123">
        <f>IF(D123="深港",IFERROR('FX_RATES_TO_CNY_HIST'!$B$3,""),1)</f>
        <v/>
      </c>
      <c r="AB123">
        <f>IF(Z123&lt;&gt;"",Z123*AA123,"")</f>
        <v/>
      </c>
      <c r="AC123">
        <f>SUMIFS($H$2:H123,$D$2:D123,D123,$E$2:E123,E123,$G$2:G123,"买入")-SUMIFS($H$2:H123,$D$2:D123,D123,$E$2:E123,E123,$G$2:G123,"卖出")</f>
        <v/>
      </c>
      <c r="AD123">
        <f>IF(D123="深港",IF(Q123&gt;0,SUMIFS($J$2:J122,$D$2:D122,D123,$E$2:E122,E123,$G$2:G122,"买入")/SUMIFS($H$2:H122,$D$2:D122,D123,$E$2:E122,E123,$G$2:G122,"买入"),""),S123)</f>
        <v/>
      </c>
      <c r="AE123">
        <f>IF(AC123&gt;0,AC123*Z123-AC123*AD123,0)</f>
        <v/>
      </c>
      <c r="AF123">
        <f>IF(AC123&gt;0,IF(D123="深港",AE123*AA123,AE123),0)</f>
        <v/>
      </c>
      <c r="AG123">
        <f>SUMIFS($H$2:H122,$D$2:D122,D123,$E$2:E122,E123,$G$2:G122,"买入")</f>
        <v/>
      </c>
      <c r="AH123">
        <f>SUMIFS($K$2:K122,$D$2:D122,D123,$E$2:E122,E123,$G$2:G122,"买入")</f>
        <v/>
      </c>
      <c r="AI123">
        <f>IF(AG123&gt;0,AH123/AG123,"")</f>
        <v/>
      </c>
      <c r="AJ123">
        <f>IF(G123="卖出",IF(AI123="","",(L123-AI123)*H123),0)</f>
        <v/>
      </c>
      <c r="AK123">
        <f>IF(G123="卖出",AJ123-T123,"")</f>
        <v/>
      </c>
      <c r="AL123">
        <f>IF(G123="卖出","(L123-AI123)×H123 = ("&amp;TEXT(L123,"0.######")&amp;"-"&amp;TEXT(AI123,"0.######")&amp;")×"&amp;H123,"")</f>
        <v/>
      </c>
    </row>
    <row r="124">
      <c r="A124">
        <f>IF('交易流水'!A84&lt;&gt;"","流水","")</f>
        <v/>
      </c>
      <c r="B124">
        <f>'交易流水'!B84</f>
        <v/>
      </c>
      <c r="C124">
        <f>'交易流水'!X84</f>
        <v/>
      </c>
      <c r="D124">
        <f>IF(ISNUMBER(SEARCH("深港",C124)),"深港",IF(ISNUMBER(SEARCH("场内",C124)),"场内","其他"))</f>
        <v/>
      </c>
      <c r="E124">
        <f>'交易流水'!F84</f>
        <v/>
      </c>
      <c r="F124">
        <f>'交易流水'!G84</f>
        <v/>
      </c>
      <c r="G124">
        <f>'交易流水'!H84</f>
        <v/>
      </c>
      <c r="H124">
        <f>'交易流水'!K84</f>
        <v/>
      </c>
      <c r="I124">
        <f>'交易流水'!P84</f>
        <v/>
      </c>
      <c r="J124">
        <f>'交易流水'!L84</f>
        <v/>
      </c>
      <c r="K124">
        <f>'交易流水'!AR84</f>
        <v/>
      </c>
      <c r="L124">
        <f>IF(H124&gt;0,K124/H124,"")</f>
        <v/>
      </c>
      <c r="M124">
        <f>IF(G124="买入",H124,0)</f>
        <v/>
      </c>
      <c r="N124">
        <f>IF(G124="买入",K124,0)</f>
        <v/>
      </c>
      <c r="O124">
        <f>IF(G124="卖出",H124,0)</f>
        <v/>
      </c>
      <c r="P124">
        <f>IF(G124="卖出",K124,0)</f>
        <v/>
      </c>
      <c r="Q124">
        <f>SUMIFS($H$2:H123,$A$2:A123,"流水",$D$2:D123,D124,$E$2:E123,E124,$G$2:G123,"买入")</f>
        <v/>
      </c>
      <c r="R124">
        <f>SUMIFS($K$2:K123,$A$2:A123,"流水",$D$2:D123,D124,$E$2:E123,E124,$G$2:G123,"买入")</f>
        <v/>
      </c>
      <c r="S124">
        <f>IF(Q124&gt;0,R124/Q124,"")</f>
        <v/>
      </c>
      <c r="T124">
        <f>IF(G124="卖出",IF(S124="","",(L124-S124)*H124),0)</f>
        <v/>
      </c>
      <c r="U124" t="n">
        <v>0</v>
      </c>
      <c r="V124">
        <f>IF(AND(J124&gt;0,D124="深港"),K124/J124,"")</f>
        <v/>
      </c>
      <c r="W124">
        <f>IF(G124="卖出","(L124-S124)×H124 = ("&amp;TEXT(L124,"0.######")&amp;"-"&amp;TEXT(S124,"0.######")&amp;")×"&amp;H124,"")</f>
        <v/>
      </c>
      <c r="Y124">
        <f>IF(E124="","",IF(D124="深港",TEXT(--E124,"0000")&amp;".HK",IF(--E124&gt;=600000,TEXT(--E124,"000000")&amp;".SH",TEXT(--E124,"000000")&amp;".SZ")))</f>
        <v/>
      </c>
      <c r="Z124">
        <f>IF(Y124="","",IFERROR(INDEX('估值日行情'!$C$3:$C$61,MATCH(Y124,'估值日行情'!$A$3:$A$61,0)),""))</f>
        <v/>
      </c>
      <c r="AA124">
        <f>IF(D124="深港",IFERROR('FX_RATES_TO_CNY_HIST'!$B$3,""),1)</f>
        <v/>
      </c>
      <c r="AB124">
        <f>IF(Z124&lt;&gt;"",Z124*AA124,"")</f>
        <v/>
      </c>
      <c r="AC124">
        <f>SUMIFS($H$2:H124,$D$2:D124,D124,$E$2:E124,E124,$G$2:G124,"买入")-SUMIFS($H$2:H124,$D$2:D124,D124,$E$2:E124,E124,$G$2:G124,"卖出")</f>
        <v/>
      </c>
      <c r="AD124">
        <f>IF(D124="深港",IF(Q124&gt;0,SUMIFS($J$2:J123,$D$2:D123,D124,$E$2:E123,E124,$G$2:G123,"买入")/SUMIFS($H$2:H123,$D$2:D123,D124,$E$2:E123,E124,$G$2:G123,"买入"),""),S124)</f>
        <v/>
      </c>
      <c r="AE124">
        <f>IF(AC124&gt;0,AC124*Z124-AC124*AD124,0)</f>
        <v/>
      </c>
      <c r="AF124">
        <f>IF(AC124&gt;0,IF(D124="深港",AE124*AA124,AE124),0)</f>
        <v/>
      </c>
      <c r="AG124">
        <f>SUMIFS($H$2:H123,$D$2:D123,D124,$E$2:E123,E124,$G$2:G123,"买入")</f>
        <v/>
      </c>
      <c r="AH124">
        <f>SUMIFS($K$2:K123,$D$2:D123,D124,$E$2:E123,E124,$G$2:G123,"买入")</f>
        <v/>
      </c>
      <c r="AI124">
        <f>IF(AG124&gt;0,AH124/AG124,"")</f>
        <v/>
      </c>
      <c r="AJ124">
        <f>IF(G124="卖出",IF(AI124="","",(L124-AI124)*H124),0)</f>
        <v/>
      </c>
      <c r="AK124">
        <f>IF(G124="卖出",AJ124-T124,"")</f>
        <v/>
      </c>
      <c r="AL124">
        <f>IF(G124="卖出","(L124-AI124)×H124 = ("&amp;TEXT(L124,"0.######")&amp;"-"&amp;TEXT(AI124,"0.######")&amp;")×"&amp;H124,"")</f>
        <v/>
      </c>
    </row>
    <row r="125">
      <c r="A125">
        <f>IF('交易流水'!A85&lt;&gt;"","流水","")</f>
        <v/>
      </c>
      <c r="B125">
        <f>'交易流水'!B85</f>
        <v/>
      </c>
      <c r="C125">
        <f>'交易流水'!X85</f>
        <v/>
      </c>
      <c r="D125">
        <f>IF(ISNUMBER(SEARCH("深港",C125)),"深港",IF(ISNUMBER(SEARCH("场内",C125)),"场内","其他"))</f>
        <v/>
      </c>
      <c r="E125">
        <f>'交易流水'!F85</f>
        <v/>
      </c>
      <c r="F125">
        <f>'交易流水'!G85</f>
        <v/>
      </c>
      <c r="G125">
        <f>'交易流水'!H85</f>
        <v/>
      </c>
      <c r="H125">
        <f>'交易流水'!K85</f>
        <v/>
      </c>
      <c r="I125">
        <f>'交易流水'!P85</f>
        <v/>
      </c>
      <c r="J125">
        <f>'交易流水'!L85</f>
        <v/>
      </c>
      <c r="K125">
        <f>'交易流水'!AR85</f>
        <v/>
      </c>
      <c r="L125">
        <f>IF(H125&gt;0,K125/H125,"")</f>
        <v/>
      </c>
      <c r="M125">
        <f>IF(G125="买入",H125,0)</f>
        <v/>
      </c>
      <c r="N125">
        <f>IF(G125="买入",K125,0)</f>
        <v/>
      </c>
      <c r="O125">
        <f>IF(G125="卖出",H125,0)</f>
        <v/>
      </c>
      <c r="P125">
        <f>IF(G125="卖出",K125,0)</f>
        <v/>
      </c>
      <c r="Q125">
        <f>SUMIFS($H$2:H124,$A$2:A124,"流水",$D$2:D124,D125,$E$2:E124,E125,$G$2:G124,"买入")</f>
        <v/>
      </c>
      <c r="R125">
        <f>SUMIFS($K$2:K124,$A$2:A124,"流水",$D$2:D124,D125,$E$2:E124,E125,$G$2:G124,"买入")</f>
        <v/>
      </c>
      <c r="S125">
        <f>IF(Q125&gt;0,R125/Q125,"")</f>
        <v/>
      </c>
      <c r="T125">
        <f>IF(G125="卖出",IF(S125="","",(L125-S125)*H125),0)</f>
        <v/>
      </c>
      <c r="U125" t="n">
        <v>93114.24000000001</v>
      </c>
      <c r="V125">
        <f>IF(AND(J125&gt;0,D125="深港"),K125/J125,"")</f>
        <v/>
      </c>
      <c r="W125">
        <f>IF(G125="卖出","(L125-S125)×H125 = ("&amp;TEXT(L125,"0.######")&amp;"-"&amp;TEXT(S125,"0.######")&amp;")×"&amp;H125,"")</f>
        <v/>
      </c>
      <c r="X125" t="inlineStr">
        <is>
          <t>(L125-L26)×200000=(7.436140-6.970569)×200000=93114.24 → 93114.24</t>
        </is>
      </c>
      <c r="Y125">
        <f>IF(E125="","",IF(D125="深港",TEXT(--E125,"0000")&amp;".HK",IF(--E125&gt;=600000,TEXT(--E125,"000000")&amp;".SH",TEXT(--E125,"000000")&amp;".SZ")))</f>
        <v/>
      </c>
      <c r="Z125">
        <f>IF(Y125="","",IFERROR(INDEX('估值日行情'!$C$3:$C$61,MATCH(Y125,'估值日行情'!$A$3:$A$61,0)),""))</f>
        <v/>
      </c>
      <c r="AA125">
        <f>IF(D125="深港",IFERROR('FX_RATES_TO_CNY_HIST'!$B$3,""),1)</f>
        <v/>
      </c>
      <c r="AB125">
        <f>IF(Z125&lt;&gt;"",Z125*AA125,"")</f>
        <v/>
      </c>
      <c r="AC125">
        <f>SUMIFS($H$2:H125,$D$2:D125,D125,$E$2:E125,E125,$G$2:G125,"买入")-SUMIFS($H$2:H125,$D$2:D125,D125,$E$2:E125,E125,$G$2:G125,"卖出")</f>
        <v/>
      </c>
      <c r="AD125">
        <f>IF(D125="深港",IF(Q125&gt;0,SUMIFS($J$2:J124,$D$2:D124,D125,$E$2:E124,E125,$G$2:G124,"买入")/SUMIFS($H$2:H124,$D$2:D124,D125,$E$2:E124,E125,$G$2:G124,"买入"),""),S125)</f>
        <v/>
      </c>
      <c r="AE125">
        <f>IF(AC125&gt;0,AC125*Z125-AC125*AD125,0)</f>
        <v/>
      </c>
      <c r="AF125">
        <f>IF(AC125&gt;0,IF(D125="深港",AE125*AA125,AE125),0)</f>
        <v/>
      </c>
      <c r="AG125">
        <f>SUMIFS($H$2:H124,$D$2:D124,D125,$E$2:E124,E125,$G$2:G124,"买入")</f>
        <v/>
      </c>
      <c r="AH125">
        <f>SUMIFS($K$2:K124,$D$2:D124,D125,$E$2:E124,E125,$G$2:G124,"买入")</f>
        <v/>
      </c>
      <c r="AI125">
        <f>IF(AG125&gt;0,AH125/AG125,"")</f>
        <v/>
      </c>
      <c r="AJ125">
        <f>IF(G125="卖出",IF(AI125="","",(L125-AI125)*H125),0)</f>
        <v/>
      </c>
      <c r="AK125">
        <f>IF(G125="卖出",AJ125-T125,"")</f>
        <v/>
      </c>
      <c r="AL125">
        <f>IF(G125="卖出","(L125-AI125)×H125 = ("&amp;TEXT(L125,"0.######")&amp;"-"&amp;TEXT(AI125,"0.######")&amp;")×"&amp;H125,"")</f>
        <v/>
      </c>
    </row>
    <row r="126">
      <c r="A126">
        <f>IF('交易流水'!A86&lt;&gt;"","流水","")</f>
        <v/>
      </c>
      <c r="B126">
        <f>'交易流水'!B86</f>
        <v/>
      </c>
      <c r="C126">
        <f>'交易流水'!X86</f>
        <v/>
      </c>
      <c r="D126">
        <f>IF(ISNUMBER(SEARCH("深港",C126)),"深港",IF(ISNUMBER(SEARCH("场内",C126)),"场内","其他"))</f>
        <v/>
      </c>
      <c r="E126">
        <f>'交易流水'!F86</f>
        <v/>
      </c>
      <c r="F126">
        <f>'交易流水'!G86</f>
        <v/>
      </c>
      <c r="G126">
        <f>'交易流水'!H86</f>
        <v/>
      </c>
      <c r="H126">
        <f>'交易流水'!K86</f>
        <v/>
      </c>
      <c r="I126">
        <f>'交易流水'!P86</f>
        <v/>
      </c>
      <c r="J126">
        <f>'交易流水'!L86</f>
        <v/>
      </c>
      <c r="K126">
        <f>'交易流水'!AR86</f>
        <v/>
      </c>
      <c r="L126">
        <f>IF(H126&gt;0,K126/H126,"")</f>
        <v/>
      </c>
      <c r="M126">
        <f>IF(G126="买入",H126,0)</f>
        <v/>
      </c>
      <c r="N126">
        <f>IF(G126="买入",K126,0)</f>
        <v/>
      </c>
      <c r="O126">
        <f>IF(G126="卖出",H126,0)</f>
        <v/>
      </c>
      <c r="P126">
        <f>IF(G126="卖出",K126,0)</f>
        <v/>
      </c>
      <c r="Q126">
        <f>SUMIFS($H$2:H125,$A$2:A125,"流水",$D$2:D125,D126,$E$2:E125,E126,$G$2:G125,"买入")</f>
        <v/>
      </c>
      <c r="R126">
        <f>SUMIFS($K$2:K125,$A$2:A125,"流水",$D$2:D125,D126,$E$2:E125,E126,$G$2:G125,"买入")</f>
        <v/>
      </c>
      <c r="S126">
        <f>IF(Q126&gt;0,R126/Q126,"")</f>
        <v/>
      </c>
      <c r="T126">
        <f>IF(G126="卖出",IF(S126="","",(L126-S126)*H126),0)</f>
        <v/>
      </c>
      <c r="U126" t="n">
        <v>0</v>
      </c>
      <c r="V126">
        <f>IF(AND(J126&gt;0,D126="深港"),K126/J126,"")</f>
        <v/>
      </c>
      <c r="W126">
        <f>IF(G126="卖出","(L126-S126)×H126 = ("&amp;TEXT(L126,"0.######")&amp;"-"&amp;TEXT(S126,"0.######")&amp;")×"&amp;H126,"")</f>
        <v/>
      </c>
      <c r="Y126">
        <f>IF(E126="","",IF(D126="深港",TEXT(--E126,"0000")&amp;".HK",IF(--E126&gt;=600000,TEXT(--E126,"000000")&amp;".SH",TEXT(--E126,"000000")&amp;".SZ")))</f>
        <v/>
      </c>
      <c r="Z126">
        <f>IF(Y126="","",IFERROR(INDEX('估值日行情'!$C$3:$C$61,MATCH(Y126,'估值日行情'!$A$3:$A$61,0)),""))</f>
        <v/>
      </c>
      <c r="AA126">
        <f>IF(D126="深港",IFERROR('FX_RATES_TO_CNY_HIST'!$B$3,""),1)</f>
        <v/>
      </c>
      <c r="AB126">
        <f>IF(Z126&lt;&gt;"",Z126*AA126,"")</f>
        <v/>
      </c>
      <c r="AC126">
        <f>SUMIFS($H$2:H126,$D$2:D126,D126,$E$2:E126,E126,$G$2:G126,"买入")-SUMIFS($H$2:H126,$D$2:D126,D126,$E$2:E126,E126,$G$2:G126,"卖出")</f>
        <v/>
      </c>
      <c r="AD126">
        <f>IF(D126="深港",IF(Q126&gt;0,SUMIFS($J$2:J125,$D$2:D125,D126,$E$2:E125,E126,$G$2:G125,"买入")/SUMIFS($H$2:H125,$D$2:D125,D126,$E$2:E125,E126,$G$2:G125,"买入"),""),S126)</f>
        <v/>
      </c>
      <c r="AE126">
        <f>IF(AC126&gt;0,AC126*Z126-AC126*AD126,0)</f>
        <v/>
      </c>
      <c r="AF126">
        <f>IF(AC126&gt;0,IF(D126="深港",AE126*AA126,AE126),0)</f>
        <v/>
      </c>
      <c r="AG126">
        <f>SUMIFS($H$2:H125,$D$2:D125,D126,$E$2:E125,E126,$G$2:G125,"买入")</f>
        <v/>
      </c>
      <c r="AH126">
        <f>SUMIFS($K$2:K125,$D$2:D125,D126,$E$2:E125,E126,$G$2:G125,"买入")</f>
        <v/>
      </c>
      <c r="AI126">
        <f>IF(AG126&gt;0,AH126/AG126,"")</f>
        <v/>
      </c>
      <c r="AJ126">
        <f>IF(G126="卖出",IF(AI126="","",(L126-AI126)*H126),0)</f>
        <v/>
      </c>
      <c r="AK126">
        <f>IF(G126="卖出",AJ126-T126,"")</f>
        <v/>
      </c>
      <c r="AL126">
        <f>IF(G126="卖出","(L126-AI126)×H126 = ("&amp;TEXT(L126,"0.######")&amp;"-"&amp;TEXT(AI126,"0.######")&amp;")×"&amp;H126,"")</f>
        <v/>
      </c>
    </row>
    <row r="127">
      <c r="A127">
        <f>IF('交易流水'!A87&lt;&gt;"","流水","")</f>
        <v/>
      </c>
      <c r="B127">
        <f>'交易流水'!B87</f>
        <v/>
      </c>
      <c r="C127">
        <f>'交易流水'!X87</f>
        <v/>
      </c>
      <c r="D127">
        <f>IF(ISNUMBER(SEARCH("深港",C127)),"深港",IF(ISNUMBER(SEARCH("场内",C127)),"场内","其他"))</f>
        <v/>
      </c>
      <c r="E127">
        <f>'交易流水'!F87</f>
        <v/>
      </c>
      <c r="F127">
        <f>'交易流水'!G87</f>
        <v/>
      </c>
      <c r="G127">
        <f>'交易流水'!H87</f>
        <v/>
      </c>
      <c r="H127">
        <f>'交易流水'!K87</f>
        <v/>
      </c>
      <c r="I127">
        <f>'交易流水'!P87</f>
        <v/>
      </c>
      <c r="J127">
        <f>'交易流水'!L87</f>
        <v/>
      </c>
      <c r="K127">
        <f>'交易流水'!AR87</f>
        <v/>
      </c>
      <c r="L127">
        <f>IF(H127&gt;0,K127/H127,"")</f>
        <v/>
      </c>
      <c r="M127">
        <f>IF(G127="买入",H127,0)</f>
        <v/>
      </c>
      <c r="N127">
        <f>IF(G127="买入",K127,0)</f>
        <v/>
      </c>
      <c r="O127">
        <f>IF(G127="卖出",H127,0)</f>
        <v/>
      </c>
      <c r="P127">
        <f>IF(G127="卖出",K127,0)</f>
        <v/>
      </c>
      <c r="Q127">
        <f>SUMIFS($H$2:H126,$A$2:A126,"流水",$D$2:D126,D127,$E$2:E126,E127,$G$2:G126,"买入")</f>
        <v/>
      </c>
      <c r="R127">
        <f>SUMIFS($K$2:K126,$A$2:A126,"流水",$D$2:D126,D127,$E$2:E126,E127,$G$2:G126,"买入")</f>
        <v/>
      </c>
      <c r="S127">
        <f>IF(Q127&gt;0,R127/Q127,"")</f>
        <v/>
      </c>
      <c r="T127">
        <f>IF(G127="卖出",IF(S127="","",(L127-S127)*H127),0)</f>
        <v/>
      </c>
      <c r="U127" t="n">
        <v>0</v>
      </c>
      <c r="V127">
        <f>IF(AND(J127&gt;0,D127="深港"),K127/J127,"")</f>
        <v/>
      </c>
      <c r="W127">
        <f>IF(G127="卖出","(L127-S127)×H127 = ("&amp;TEXT(L127,"0.######")&amp;"-"&amp;TEXT(S127,"0.######")&amp;")×"&amp;H127,"")</f>
        <v/>
      </c>
      <c r="Y127">
        <f>IF(E127="","",IF(D127="深港",TEXT(--E127,"0000")&amp;".HK",IF(--E127&gt;=600000,TEXT(--E127,"000000")&amp;".SH",TEXT(--E127,"000000")&amp;".SZ")))</f>
        <v/>
      </c>
      <c r="Z127">
        <f>IF(Y127="","",IFERROR(INDEX('估值日行情'!$C$3:$C$61,MATCH(Y127,'估值日行情'!$A$3:$A$61,0)),""))</f>
        <v/>
      </c>
      <c r="AA127">
        <f>IF(D127="深港",IFERROR('FX_RATES_TO_CNY_HIST'!$B$3,""),1)</f>
        <v/>
      </c>
      <c r="AB127">
        <f>IF(Z127&lt;&gt;"",Z127*AA127,"")</f>
        <v/>
      </c>
      <c r="AC127">
        <f>SUMIFS($H$2:H127,$D$2:D127,D127,$E$2:E127,E127,$G$2:G127,"买入")-SUMIFS($H$2:H127,$D$2:D127,D127,$E$2:E127,E127,$G$2:G127,"卖出")</f>
        <v/>
      </c>
      <c r="AD127">
        <f>IF(D127="深港",IF(Q127&gt;0,SUMIFS($J$2:J126,$D$2:D126,D127,$E$2:E126,E127,$G$2:G126,"买入")/SUMIFS($H$2:H126,$D$2:D126,D127,$E$2:E126,E127,$G$2:G126,"买入"),""),S127)</f>
        <v/>
      </c>
      <c r="AE127">
        <f>IF(AC127&gt;0,AC127*Z127-AC127*AD127,0)</f>
        <v/>
      </c>
      <c r="AF127">
        <f>IF(AC127&gt;0,IF(D127="深港",AE127*AA127,AE127),0)</f>
        <v/>
      </c>
      <c r="AG127">
        <f>SUMIFS($H$2:H126,$D$2:D126,D127,$E$2:E126,E127,$G$2:G126,"买入")</f>
        <v/>
      </c>
      <c r="AH127">
        <f>SUMIFS($K$2:K126,$D$2:D126,D127,$E$2:E126,E127,$G$2:G126,"买入")</f>
        <v/>
      </c>
      <c r="AI127">
        <f>IF(AG127&gt;0,AH127/AG127,"")</f>
        <v/>
      </c>
      <c r="AJ127">
        <f>IF(G127="卖出",IF(AI127="","",(L127-AI127)*H127),0)</f>
        <v/>
      </c>
      <c r="AK127">
        <f>IF(G127="卖出",AJ127-T127,"")</f>
        <v/>
      </c>
      <c r="AL127">
        <f>IF(G127="卖出","(L127-AI127)×H127 = ("&amp;TEXT(L127,"0.######")&amp;"-"&amp;TEXT(AI127,"0.######")&amp;")×"&amp;H127,"")</f>
        <v/>
      </c>
    </row>
    <row r="128">
      <c r="A128">
        <f>IF('交易流水'!A88&lt;&gt;"","流水","")</f>
        <v/>
      </c>
      <c r="B128">
        <f>'交易流水'!B88</f>
        <v/>
      </c>
      <c r="C128">
        <f>'交易流水'!X88</f>
        <v/>
      </c>
      <c r="D128">
        <f>IF(ISNUMBER(SEARCH("深港",C128)),"深港",IF(ISNUMBER(SEARCH("场内",C128)),"场内","其他"))</f>
        <v/>
      </c>
      <c r="E128">
        <f>'交易流水'!F88</f>
        <v/>
      </c>
      <c r="F128">
        <f>'交易流水'!G88</f>
        <v/>
      </c>
      <c r="G128">
        <f>'交易流水'!H88</f>
        <v/>
      </c>
      <c r="H128">
        <f>'交易流水'!K88</f>
        <v/>
      </c>
      <c r="I128">
        <f>'交易流水'!P88</f>
        <v/>
      </c>
      <c r="J128">
        <f>'交易流水'!L88</f>
        <v/>
      </c>
      <c r="K128">
        <f>'交易流水'!AR88</f>
        <v/>
      </c>
      <c r="L128">
        <f>IF(H128&gt;0,K128/H128,"")</f>
        <v/>
      </c>
      <c r="M128">
        <f>IF(G128="买入",H128,0)</f>
        <v/>
      </c>
      <c r="N128">
        <f>IF(G128="买入",K128,0)</f>
        <v/>
      </c>
      <c r="O128">
        <f>IF(G128="卖出",H128,0)</f>
        <v/>
      </c>
      <c r="P128">
        <f>IF(G128="卖出",K128,0)</f>
        <v/>
      </c>
      <c r="Q128">
        <f>SUMIFS($H$2:H127,$A$2:A127,"流水",$D$2:D127,D128,$E$2:E127,E128,$G$2:G127,"买入")</f>
        <v/>
      </c>
      <c r="R128">
        <f>SUMIFS($K$2:K127,$A$2:A127,"流水",$D$2:D127,D128,$E$2:E127,E128,$G$2:G127,"买入")</f>
        <v/>
      </c>
      <c r="S128">
        <f>IF(Q128&gt;0,R128/Q128,"")</f>
        <v/>
      </c>
      <c r="T128">
        <f>IF(G128="卖出",IF(S128="","",(L128-S128)*H128),0)</f>
        <v/>
      </c>
      <c r="U128" t="n">
        <v>266785.55</v>
      </c>
      <c r="V128">
        <f>IF(AND(J128&gt;0,D128="深港"),K128/J128,"")</f>
        <v/>
      </c>
      <c r="W128">
        <f>IF(G128="卖出","(L128-S128)×H128 = ("&amp;TEXT(L128,"0.######")&amp;"-"&amp;TEXT(S128,"0.######")&amp;")×"&amp;H128,"")</f>
        <v/>
      </c>
      <c r="X128" t="inlineStr">
        <is>
          <t>(L128-L32)×200000=(6.123880-4.789952)×200000=266785.55 → 266785.55</t>
        </is>
      </c>
      <c r="Y128">
        <f>IF(E128="","",IF(D128="深港",TEXT(--E128,"0000")&amp;".HK",IF(--E128&gt;=600000,TEXT(--E128,"000000")&amp;".SH",TEXT(--E128,"000000")&amp;".SZ")))</f>
        <v/>
      </c>
      <c r="Z128">
        <f>IF(Y128="","",IFERROR(INDEX('估值日行情'!$C$3:$C$61,MATCH(Y128,'估值日行情'!$A$3:$A$61,0)),""))</f>
        <v/>
      </c>
      <c r="AA128">
        <f>IF(D128="深港",IFERROR('FX_RATES_TO_CNY_HIST'!$B$3,""),1)</f>
        <v/>
      </c>
      <c r="AB128">
        <f>IF(Z128&lt;&gt;"",Z128*AA128,"")</f>
        <v/>
      </c>
      <c r="AC128">
        <f>SUMIFS($H$2:H128,$D$2:D128,D128,$E$2:E128,E128,$G$2:G128,"买入")-SUMIFS($H$2:H128,$D$2:D128,D128,$E$2:E128,E128,$G$2:G128,"卖出")</f>
        <v/>
      </c>
      <c r="AD128">
        <f>IF(D128="深港",IF(Q128&gt;0,SUMIFS($J$2:J127,$D$2:D127,D128,$E$2:E127,E128,$G$2:G127,"买入")/SUMIFS($H$2:H127,$D$2:D127,D128,$E$2:E127,E128,$G$2:G127,"买入"),""),S128)</f>
        <v/>
      </c>
      <c r="AE128">
        <f>IF(AC128&gt;0,AC128*Z128-AC128*AD128,0)</f>
        <v/>
      </c>
      <c r="AF128">
        <f>IF(AC128&gt;0,IF(D128="深港",AE128*AA128,AE128),0)</f>
        <v/>
      </c>
      <c r="AG128">
        <f>SUMIFS($H$2:H127,$D$2:D127,D128,$E$2:E127,E128,$G$2:G127,"买入")</f>
        <v/>
      </c>
      <c r="AH128">
        <f>SUMIFS($K$2:K127,$D$2:D127,D128,$E$2:E127,E128,$G$2:G127,"买入")</f>
        <v/>
      </c>
      <c r="AI128">
        <f>IF(AG128&gt;0,AH128/AG128,"")</f>
        <v/>
      </c>
      <c r="AJ128">
        <f>IF(G128="卖出",IF(AI128="","",(L128-AI128)*H128),0)</f>
        <v/>
      </c>
      <c r="AK128">
        <f>IF(G128="卖出",AJ128-T128,"")</f>
        <v/>
      </c>
      <c r="AL128">
        <f>IF(G128="卖出","(L128-AI128)×H128 = ("&amp;TEXT(L128,"0.######")&amp;"-"&amp;TEXT(AI128,"0.######")&amp;")×"&amp;H128,"")</f>
        <v/>
      </c>
    </row>
    <row r="129">
      <c r="A129">
        <f>IF('交易流水'!A89&lt;&gt;"","流水","")</f>
        <v/>
      </c>
      <c r="B129">
        <f>'交易流水'!B89</f>
        <v/>
      </c>
      <c r="C129">
        <f>'交易流水'!X89</f>
        <v/>
      </c>
      <c r="D129">
        <f>IF(ISNUMBER(SEARCH("深港",C129)),"深港",IF(ISNUMBER(SEARCH("场内",C129)),"场内","其他"))</f>
        <v/>
      </c>
      <c r="E129">
        <f>'交易流水'!F89</f>
        <v/>
      </c>
      <c r="F129">
        <f>'交易流水'!G89</f>
        <v/>
      </c>
      <c r="G129">
        <f>'交易流水'!H89</f>
        <v/>
      </c>
      <c r="H129">
        <f>'交易流水'!K89</f>
        <v/>
      </c>
      <c r="I129">
        <f>'交易流水'!P89</f>
        <v/>
      </c>
      <c r="J129">
        <f>'交易流水'!L89</f>
        <v/>
      </c>
      <c r="K129">
        <f>'交易流水'!AR89</f>
        <v/>
      </c>
      <c r="L129">
        <f>IF(H129&gt;0,K129/H129,"")</f>
        <v/>
      </c>
      <c r="M129">
        <f>IF(G129="买入",H129,0)</f>
        <v/>
      </c>
      <c r="N129">
        <f>IF(G129="买入",K129,0)</f>
        <v/>
      </c>
      <c r="O129">
        <f>IF(G129="卖出",H129,0)</f>
        <v/>
      </c>
      <c r="P129">
        <f>IF(G129="卖出",K129,0)</f>
        <v/>
      </c>
      <c r="Q129">
        <f>SUMIFS($H$2:H128,$A$2:A128,"流水",$D$2:D128,D129,$E$2:E128,E129,$G$2:G128,"买入")</f>
        <v/>
      </c>
      <c r="R129">
        <f>SUMIFS($K$2:K128,$A$2:A128,"流水",$D$2:D128,D129,$E$2:E128,E129,$G$2:G128,"买入")</f>
        <v/>
      </c>
      <c r="S129">
        <f>IF(Q129&gt;0,R129/Q129,"")</f>
        <v/>
      </c>
      <c r="T129">
        <f>IF(G129="卖出",IF(S129="","",(L129-S129)*H129),0)</f>
        <v/>
      </c>
      <c r="U129" t="n">
        <v>0</v>
      </c>
      <c r="V129">
        <f>IF(AND(J129&gt;0,D129="深港"),K129/J129,"")</f>
        <v/>
      </c>
      <c r="W129">
        <f>IF(G129="卖出","(L129-S129)×H129 = ("&amp;TEXT(L129,"0.######")&amp;"-"&amp;TEXT(S129,"0.######")&amp;")×"&amp;H129,"")</f>
        <v/>
      </c>
      <c r="Y129">
        <f>IF(E129="","",IF(D129="深港",TEXT(--E129,"0000")&amp;".HK",IF(--E129&gt;=600000,TEXT(--E129,"000000")&amp;".SH",TEXT(--E129,"000000")&amp;".SZ")))</f>
        <v/>
      </c>
      <c r="Z129">
        <f>IF(Y129="","",IFERROR(INDEX('估值日行情'!$C$3:$C$61,MATCH(Y129,'估值日行情'!$A$3:$A$61,0)),""))</f>
        <v/>
      </c>
      <c r="AA129">
        <f>IF(D129="深港",IFERROR('FX_RATES_TO_CNY_HIST'!$B$3,""),1)</f>
        <v/>
      </c>
      <c r="AB129">
        <f>IF(Z129&lt;&gt;"",Z129*AA129,"")</f>
        <v/>
      </c>
      <c r="AC129">
        <f>SUMIFS($H$2:H129,$D$2:D129,D129,$E$2:E129,E129,$G$2:G129,"买入")-SUMIFS($H$2:H129,$D$2:D129,D129,$E$2:E129,E129,$G$2:G129,"卖出")</f>
        <v/>
      </c>
      <c r="AD129">
        <f>IF(D129="深港",IF(Q129&gt;0,SUMIFS($J$2:J128,$D$2:D128,D129,$E$2:E128,E129,$G$2:G128,"买入")/SUMIFS($H$2:H128,$D$2:D128,D129,$E$2:E128,E129,$G$2:G128,"买入"),""),S129)</f>
        <v/>
      </c>
      <c r="AE129">
        <f>IF(AC129&gt;0,AC129*Z129-AC129*AD129,0)</f>
        <v/>
      </c>
      <c r="AF129">
        <f>IF(AC129&gt;0,IF(D129="深港",AE129*AA129,AE129),0)</f>
        <v/>
      </c>
      <c r="AG129">
        <f>SUMIFS($H$2:H128,$D$2:D128,D129,$E$2:E128,E129,$G$2:G128,"买入")</f>
        <v/>
      </c>
      <c r="AH129">
        <f>SUMIFS($K$2:K128,$D$2:D128,D129,$E$2:E128,E129,$G$2:G128,"买入")</f>
        <v/>
      </c>
      <c r="AI129">
        <f>IF(AG129&gt;0,AH129/AG129,"")</f>
        <v/>
      </c>
      <c r="AJ129">
        <f>IF(G129="卖出",IF(AI129="","",(L129-AI129)*H129),0)</f>
        <v/>
      </c>
      <c r="AK129">
        <f>IF(G129="卖出",AJ129-T129,"")</f>
        <v/>
      </c>
      <c r="AL129">
        <f>IF(G129="卖出","(L129-AI129)×H129 = ("&amp;TEXT(L129,"0.######")&amp;"-"&amp;TEXT(AI129,"0.######")&amp;")×"&amp;H129,"")</f>
        <v/>
      </c>
    </row>
    <row r="130">
      <c r="A130">
        <f>IF('交易流水'!A90&lt;&gt;"","流水","")</f>
        <v/>
      </c>
      <c r="B130">
        <f>'交易流水'!B90</f>
        <v/>
      </c>
      <c r="C130">
        <f>'交易流水'!X90</f>
        <v/>
      </c>
      <c r="D130">
        <f>IF(ISNUMBER(SEARCH("深港",C130)),"深港",IF(ISNUMBER(SEARCH("场内",C130)),"场内","其他"))</f>
        <v/>
      </c>
      <c r="E130">
        <f>'交易流水'!F90</f>
        <v/>
      </c>
      <c r="F130">
        <f>'交易流水'!G90</f>
        <v/>
      </c>
      <c r="G130">
        <f>'交易流水'!H90</f>
        <v/>
      </c>
      <c r="H130">
        <f>'交易流水'!K90</f>
        <v/>
      </c>
      <c r="I130">
        <f>'交易流水'!P90</f>
        <v/>
      </c>
      <c r="J130">
        <f>'交易流水'!L90</f>
        <v/>
      </c>
      <c r="K130">
        <f>'交易流水'!AR90</f>
        <v/>
      </c>
      <c r="L130">
        <f>IF(H130&gt;0,K130/H130,"")</f>
        <v/>
      </c>
      <c r="M130">
        <f>IF(G130="买入",H130,0)</f>
        <v/>
      </c>
      <c r="N130">
        <f>IF(G130="买入",K130,0)</f>
        <v/>
      </c>
      <c r="O130">
        <f>IF(G130="卖出",H130,0)</f>
        <v/>
      </c>
      <c r="P130">
        <f>IF(G130="卖出",K130,0)</f>
        <v/>
      </c>
      <c r="Q130">
        <f>SUMIFS($H$2:H129,$A$2:A129,"流水",$D$2:D129,D130,$E$2:E129,E130,$G$2:G129,"买入")</f>
        <v/>
      </c>
      <c r="R130">
        <f>SUMIFS($K$2:K129,$A$2:A129,"流水",$D$2:D129,D130,$E$2:E129,E130,$G$2:G129,"买入")</f>
        <v/>
      </c>
      <c r="S130">
        <f>IF(Q130&gt;0,R130/Q130,"")</f>
        <v/>
      </c>
      <c r="T130">
        <f>IF(G130="卖出",IF(S130="","",(L130-S130)*H130),0)</f>
        <v/>
      </c>
      <c r="U130" t="n">
        <v>0</v>
      </c>
      <c r="V130">
        <f>IF(AND(J130&gt;0,D130="深港"),K130/J130,"")</f>
        <v/>
      </c>
      <c r="W130">
        <f>IF(G130="卖出","(L130-S130)×H130 = ("&amp;TEXT(L130,"0.######")&amp;"-"&amp;TEXT(S130,"0.######")&amp;")×"&amp;H130,"")</f>
        <v/>
      </c>
      <c r="Y130">
        <f>IF(E130="","",IF(D130="深港",TEXT(--E130,"0000")&amp;".HK",IF(--E130&gt;=600000,TEXT(--E130,"000000")&amp;".SH",TEXT(--E130,"000000")&amp;".SZ")))</f>
        <v/>
      </c>
      <c r="Z130">
        <f>IF(Y130="","",IFERROR(INDEX('估值日行情'!$C$3:$C$61,MATCH(Y130,'估值日行情'!$A$3:$A$61,0)),""))</f>
        <v/>
      </c>
      <c r="AA130">
        <f>IF(D130="深港",IFERROR('FX_RATES_TO_CNY_HIST'!$B$3,""),1)</f>
        <v/>
      </c>
      <c r="AB130">
        <f>IF(Z130&lt;&gt;"",Z130*AA130,"")</f>
        <v/>
      </c>
      <c r="AC130">
        <f>SUMIFS($H$2:H130,$D$2:D130,D130,$E$2:E130,E130,$G$2:G130,"买入")-SUMIFS($H$2:H130,$D$2:D130,D130,$E$2:E130,E130,$G$2:G130,"卖出")</f>
        <v/>
      </c>
      <c r="AD130">
        <f>IF(D130="深港",IF(Q130&gt;0,SUMIFS($J$2:J129,$D$2:D129,D130,$E$2:E129,E130,$G$2:G129,"买入")/SUMIFS($H$2:H129,$D$2:D129,D130,$E$2:E129,E130,$G$2:G129,"买入"),""),S130)</f>
        <v/>
      </c>
      <c r="AE130">
        <f>IF(AC130&gt;0,AC130*Z130-AC130*AD130,0)</f>
        <v/>
      </c>
      <c r="AF130">
        <f>IF(AC130&gt;0,IF(D130="深港",AE130*AA130,AE130),0)</f>
        <v/>
      </c>
      <c r="AG130">
        <f>SUMIFS($H$2:H129,$D$2:D129,D130,$E$2:E129,E130,$G$2:G129,"买入")</f>
        <v/>
      </c>
      <c r="AH130">
        <f>SUMIFS($K$2:K129,$D$2:D129,D130,$E$2:E129,E130,$G$2:G129,"买入")</f>
        <v/>
      </c>
      <c r="AI130">
        <f>IF(AG130&gt;0,AH130/AG130,"")</f>
        <v/>
      </c>
      <c r="AJ130">
        <f>IF(G130="卖出",IF(AI130="","",(L130-AI130)*H130),0)</f>
        <v/>
      </c>
      <c r="AK130">
        <f>IF(G130="卖出",AJ130-T130,"")</f>
        <v/>
      </c>
      <c r="AL130">
        <f>IF(G130="卖出","(L130-AI130)×H130 = ("&amp;TEXT(L130,"0.######")&amp;"-"&amp;TEXT(AI130,"0.######")&amp;")×"&amp;H130,"")</f>
        <v/>
      </c>
    </row>
    <row r="131">
      <c r="A131">
        <f>IF('交易流水'!A91&lt;&gt;"","流水","")</f>
        <v/>
      </c>
      <c r="B131">
        <f>'交易流水'!B91</f>
        <v/>
      </c>
      <c r="C131">
        <f>'交易流水'!X91</f>
        <v/>
      </c>
      <c r="D131">
        <f>IF(ISNUMBER(SEARCH("深港",C131)),"深港",IF(ISNUMBER(SEARCH("场内",C131)),"场内","其他"))</f>
        <v/>
      </c>
      <c r="E131">
        <f>'交易流水'!F91</f>
        <v/>
      </c>
      <c r="F131">
        <f>'交易流水'!G91</f>
        <v/>
      </c>
      <c r="G131">
        <f>'交易流水'!H91</f>
        <v/>
      </c>
      <c r="H131">
        <f>'交易流水'!K91</f>
        <v/>
      </c>
      <c r="I131">
        <f>'交易流水'!P91</f>
        <v/>
      </c>
      <c r="J131">
        <f>'交易流水'!L91</f>
        <v/>
      </c>
      <c r="K131">
        <f>'交易流水'!AR91</f>
        <v/>
      </c>
      <c r="L131">
        <f>IF(H131&gt;0,K131/H131,"")</f>
        <v/>
      </c>
      <c r="M131">
        <f>IF(G131="买入",H131,0)</f>
        <v/>
      </c>
      <c r="N131">
        <f>IF(G131="买入",K131,0)</f>
        <v/>
      </c>
      <c r="O131">
        <f>IF(G131="卖出",H131,0)</f>
        <v/>
      </c>
      <c r="P131">
        <f>IF(G131="卖出",K131,0)</f>
        <v/>
      </c>
      <c r="Q131">
        <f>SUMIFS($H$2:H130,$A$2:A130,"流水",$D$2:D130,D131,$E$2:E130,E131,$G$2:G130,"买入")</f>
        <v/>
      </c>
      <c r="R131">
        <f>SUMIFS($K$2:K130,$A$2:A130,"流水",$D$2:D130,D131,$E$2:E130,E131,$G$2:G130,"买入")</f>
        <v/>
      </c>
      <c r="S131">
        <f>IF(Q131&gt;0,R131/Q131,"")</f>
        <v/>
      </c>
      <c r="T131">
        <f>IF(G131="卖出",IF(S131="","",(L131-S131)*H131),0)</f>
        <v/>
      </c>
      <c r="U131" t="n">
        <v>0</v>
      </c>
      <c r="V131">
        <f>IF(AND(J131&gt;0,D131="深港"),K131/J131,"")</f>
        <v/>
      </c>
      <c r="W131">
        <f>IF(G131="卖出","(L131-S131)×H131 = ("&amp;TEXT(L131,"0.######")&amp;"-"&amp;TEXT(S131,"0.######")&amp;")×"&amp;H131,"")</f>
        <v/>
      </c>
      <c r="Y131">
        <f>IF(E131="","",IF(D131="深港",TEXT(--E131,"0000")&amp;".HK",IF(--E131&gt;=600000,TEXT(--E131,"000000")&amp;".SH",TEXT(--E131,"000000")&amp;".SZ")))</f>
        <v/>
      </c>
      <c r="Z131">
        <f>IF(Y131="","",IFERROR(INDEX('估值日行情'!$C$3:$C$61,MATCH(Y131,'估值日行情'!$A$3:$A$61,0)),""))</f>
        <v/>
      </c>
      <c r="AA131">
        <f>IF(D131="深港",IFERROR('FX_RATES_TO_CNY_HIST'!$B$3,""),1)</f>
        <v/>
      </c>
      <c r="AB131">
        <f>IF(Z131&lt;&gt;"",Z131*AA131,"")</f>
        <v/>
      </c>
      <c r="AC131">
        <f>SUMIFS($H$2:H131,$D$2:D131,D131,$E$2:E131,E131,$G$2:G131,"买入")-SUMIFS($H$2:H131,$D$2:D131,D131,$E$2:E131,E131,$G$2:G131,"卖出")</f>
        <v/>
      </c>
      <c r="AD131">
        <f>IF(D131="深港",IF(Q131&gt;0,SUMIFS($J$2:J130,$D$2:D130,D131,$E$2:E130,E131,$G$2:G130,"买入")/SUMIFS($H$2:H130,$D$2:D130,D131,$E$2:E130,E131,$G$2:G130,"买入"),""),S131)</f>
        <v/>
      </c>
      <c r="AE131">
        <f>IF(AC131&gt;0,AC131*Z131-AC131*AD131,0)</f>
        <v/>
      </c>
      <c r="AF131">
        <f>IF(AC131&gt;0,IF(D131="深港",AE131*AA131,AE131),0)</f>
        <v/>
      </c>
      <c r="AG131">
        <f>SUMIFS($H$2:H130,$D$2:D130,D131,$E$2:E130,E131,$G$2:G130,"买入")</f>
        <v/>
      </c>
      <c r="AH131">
        <f>SUMIFS($K$2:K130,$D$2:D130,D131,$E$2:E130,E131,$G$2:G130,"买入")</f>
        <v/>
      </c>
      <c r="AI131">
        <f>IF(AG131&gt;0,AH131/AG131,"")</f>
        <v/>
      </c>
      <c r="AJ131">
        <f>IF(G131="卖出",IF(AI131="","",(L131-AI131)*H131),0)</f>
        <v/>
      </c>
      <c r="AK131">
        <f>IF(G131="卖出",AJ131-T131,"")</f>
        <v/>
      </c>
      <c r="AL131">
        <f>IF(G131="卖出","(L131-AI131)×H131 = ("&amp;TEXT(L131,"0.######")&amp;"-"&amp;TEXT(AI131,"0.######")&amp;")×"&amp;H131,"")</f>
        <v/>
      </c>
    </row>
    <row r="132">
      <c r="A132">
        <f>IF('交易流水'!A92&lt;&gt;"","流水","")</f>
        <v/>
      </c>
      <c r="B132">
        <f>'交易流水'!B92</f>
        <v/>
      </c>
      <c r="C132">
        <f>'交易流水'!X92</f>
        <v/>
      </c>
      <c r="D132">
        <f>IF(ISNUMBER(SEARCH("深港",C132)),"深港",IF(ISNUMBER(SEARCH("场内",C132)),"场内","其他"))</f>
        <v/>
      </c>
      <c r="E132">
        <f>'交易流水'!F92</f>
        <v/>
      </c>
      <c r="F132">
        <f>'交易流水'!G92</f>
        <v/>
      </c>
      <c r="G132">
        <f>'交易流水'!H92</f>
        <v/>
      </c>
      <c r="H132">
        <f>'交易流水'!K92</f>
        <v/>
      </c>
      <c r="I132">
        <f>'交易流水'!P92</f>
        <v/>
      </c>
      <c r="J132">
        <f>'交易流水'!L92</f>
        <v/>
      </c>
      <c r="K132">
        <f>'交易流水'!AR92</f>
        <v/>
      </c>
      <c r="L132">
        <f>IF(H132&gt;0,K132/H132,"")</f>
        <v/>
      </c>
      <c r="M132">
        <f>IF(G132="买入",H132,0)</f>
        <v/>
      </c>
      <c r="N132">
        <f>IF(G132="买入",K132,0)</f>
        <v/>
      </c>
      <c r="O132">
        <f>IF(G132="卖出",H132,0)</f>
        <v/>
      </c>
      <c r="P132">
        <f>IF(G132="卖出",K132,0)</f>
        <v/>
      </c>
      <c r="Q132">
        <f>SUMIFS($H$2:H131,$A$2:A131,"流水",$D$2:D131,D132,$E$2:E131,E132,$G$2:G131,"买入")</f>
        <v/>
      </c>
      <c r="R132">
        <f>SUMIFS($K$2:K131,$A$2:A131,"流水",$D$2:D131,D132,$E$2:E131,E132,$G$2:G131,"买入")</f>
        <v/>
      </c>
      <c r="S132">
        <f>IF(Q132&gt;0,R132/Q132,"")</f>
        <v/>
      </c>
      <c r="T132">
        <f>IF(G132="卖出",IF(S132="","",(L132-S132)*H132),0)</f>
        <v/>
      </c>
      <c r="U132" t="n">
        <v>0</v>
      </c>
      <c r="V132">
        <f>IF(AND(J132&gt;0,D132="深港"),K132/J132,"")</f>
        <v/>
      </c>
      <c r="W132">
        <f>IF(G132="卖出","(L132-S132)×H132 = ("&amp;TEXT(L132,"0.######")&amp;"-"&amp;TEXT(S132,"0.######")&amp;")×"&amp;H132,"")</f>
        <v/>
      </c>
      <c r="Y132">
        <f>IF(E132="","",IF(D132="深港",TEXT(--E132,"0000")&amp;".HK",IF(--E132&gt;=600000,TEXT(--E132,"000000")&amp;".SH",TEXT(--E132,"000000")&amp;".SZ")))</f>
        <v/>
      </c>
      <c r="Z132">
        <f>IF(Y132="","",IFERROR(INDEX('估值日行情'!$C$3:$C$61,MATCH(Y132,'估值日行情'!$A$3:$A$61,0)),""))</f>
        <v/>
      </c>
      <c r="AA132">
        <f>IF(D132="深港",IFERROR('FX_RATES_TO_CNY_HIST'!$B$3,""),1)</f>
        <v/>
      </c>
      <c r="AB132">
        <f>IF(Z132&lt;&gt;"",Z132*AA132,"")</f>
        <v/>
      </c>
      <c r="AC132">
        <f>SUMIFS($H$2:H132,$D$2:D132,D132,$E$2:E132,E132,$G$2:G132,"买入")-SUMIFS($H$2:H132,$D$2:D132,D132,$E$2:E132,E132,$G$2:G132,"卖出")</f>
        <v/>
      </c>
      <c r="AD132">
        <f>IF(D132="深港",IF(Q132&gt;0,SUMIFS($J$2:J131,$D$2:D131,D132,$E$2:E131,E132,$G$2:G131,"买入")/SUMIFS($H$2:H131,$D$2:D131,D132,$E$2:E131,E132,$G$2:G131,"买入"),""),S132)</f>
        <v/>
      </c>
      <c r="AE132">
        <f>IF(AC132&gt;0,AC132*Z132-AC132*AD132,0)</f>
        <v/>
      </c>
      <c r="AF132">
        <f>IF(AC132&gt;0,IF(D132="深港",AE132*AA132,AE132),0)</f>
        <v/>
      </c>
      <c r="AG132">
        <f>SUMIFS($H$2:H131,$D$2:D131,D132,$E$2:E131,E132,$G$2:G131,"买入")</f>
        <v/>
      </c>
      <c r="AH132">
        <f>SUMIFS($K$2:K131,$D$2:D131,D132,$E$2:E131,E132,$G$2:G131,"买入")</f>
        <v/>
      </c>
      <c r="AI132">
        <f>IF(AG132&gt;0,AH132/AG132,"")</f>
        <v/>
      </c>
      <c r="AJ132">
        <f>IF(G132="卖出",IF(AI132="","",(L132-AI132)*H132),0)</f>
        <v/>
      </c>
      <c r="AK132">
        <f>IF(G132="卖出",AJ132-T132,"")</f>
        <v/>
      </c>
      <c r="AL132">
        <f>IF(G132="卖出","(L132-AI132)×H132 = ("&amp;TEXT(L132,"0.######")&amp;"-"&amp;TEXT(AI132,"0.######")&amp;")×"&amp;H132,"")</f>
        <v/>
      </c>
    </row>
    <row r="133">
      <c r="A133">
        <f>IF('交易流水'!A93&lt;&gt;"","流水","")</f>
        <v/>
      </c>
      <c r="B133">
        <f>'交易流水'!B93</f>
        <v/>
      </c>
      <c r="C133">
        <f>'交易流水'!X93</f>
        <v/>
      </c>
      <c r="D133">
        <f>IF(ISNUMBER(SEARCH("深港",C133)),"深港",IF(ISNUMBER(SEARCH("场内",C133)),"场内","其他"))</f>
        <v/>
      </c>
      <c r="E133">
        <f>'交易流水'!F93</f>
        <v/>
      </c>
      <c r="F133">
        <f>'交易流水'!G93</f>
        <v/>
      </c>
      <c r="G133">
        <f>'交易流水'!H93</f>
        <v/>
      </c>
      <c r="H133">
        <f>'交易流水'!K93</f>
        <v/>
      </c>
      <c r="I133">
        <f>'交易流水'!P93</f>
        <v/>
      </c>
      <c r="J133">
        <f>'交易流水'!L93</f>
        <v/>
      </c>
      <c r="K133">
        <f>'交易流水'!AR93</f>
        <v/>
      </c>
      <c r="L133">
        <f>IF(H133&gt;0,K133/H133,"")</f>
        <v/>
      </c>
      <c r="M133">
        <f>IF(G133="买入",H133,0)</f>
        <v/>
      </c>
      <c r="N133">
        <f>IF(G133="买入",K133,0)</f>
        <v/>
      </c>
      <c r="O133">
        <f>IF(G133="卖出",H133,0)</f>
        <v/>
      </c>
      <c r="P133">
        <f>IF(G133="卖出",K133,0)</f>
        <v/>
      </c>
      <c r="Q133">
        <f>SUMIFS($H$2:H132,$A$2:A132,"流水",$D$2:D132,D133,$E$2:E132,E133,$G$2:G132,"买入")</f>
        <v/>
      </c>
      <c r="R133">
        <f>SUMIFS($K$2:K132,$A$2:A132,"流水",$D$2:D132,D133,$E$2:E132,E133,$G$2:G132,"买入")</f>
        <v/>
      </c>
      <c r="S133">
        <f>IF(Q133&gt;0,R133/Q133,"")</f>
        <v/>
      </c>
      <c r="T133">
        <f>IF(G133="卖出",IF(S133="","",(L133-S133)*H133),0)</f>
        <v/>
      </c>
      <c r="U133" t="n">
        <v>90600</v>
      </c>
      <c r="V133">
        <f>IF(AND(J133&gt;0,D133="深港"),K133/J133,"")</f>
        <v/>
      </c>
      <c r="W133">
        <f>IF(G133="卖出","(L133-S133)×H133 = ("&amp;TEXT(L133,"0.######")&amp;"-"&amp;TEXT(S133,"0.######")&amp;")×"&amp;H133,"")</f>
        <v/>
      </c>
      <c r="X133" t="inlineStr">
        <is>
          <t>(L133-L67)×120000=(9.200000-8.630000)×120000=68400.00 + (L133-L73)×30000=(9.200000-8.460000)×30000=22200.00 → 90600.0</t>
        </is>
      </c>
      <c r="Y133">
        <f>IF(E133="","",IF(D133="深港",TEXT(--E133,"0000")&amp;".HK",IF(--E133&gt;=600000,TEXT(--E133,"000000")&amp;".SH",TEXT(--E133,"000000")&amp;".SZ")))</f>
        <v/>
      </c>
      <c r="Z133">
        <f>IF(Y133="","",IFERROR(INDEX('估值日行情'!$C$3:$C$61,MATCH(Y133,'估值日行情'!$A$3:$A$61,0)),""))</f>
        <v/>
      </c>
      <c r="AA133">
        <f>IF(D133="深港",IFERROR('FX_RATES_TO_CNY_HIST'!$B$3,""),1)</f>
        <v/>
      </c>
      <c r="AB133">
        <f>IF(Z133&lt;&gt;"",Z133*AA133,"")</f>
        <v/>
      </c>
      <c r="AC133">
        <f>SUMIFS($H$2:H133,$D$2:D133,D133,$E$2:E133,E133,$G$2:G133,"买入")-SUMIFS($H$2:H133,$D$2:D133,D133,$E$2:E133,E133,$G$2:G133,"卖出")</f>
        <v/>
      </c>
      <c r="AD133">
        <f>IF(D133="深港",IF(Q133&gt;0,SUMIFS($J$2:J132,$D$2:D132,D133,$E$2:E132,E133,$G$2:G132,"买入")/SUMIFS($H$2:H132,$D$2:D132,D133,$E$2:E132,E133,$G$2:G132,"买入"),""),S133)</f>
        <v/>
      </c>
      <c r="AE133">
        <f>IF(AC133&gt;0,AC133*Z133-AC133*AD133,0)</f>
        <v/>
      </c>
      <c r="AF133">
        <f>IF(AC133&gt;0,IF(D133="深港",AE133*AA133,AE133),0)</f>
        <v/>
      </c>
      <c r="AG133">
        <f>SUMIFS($H$2:H132,$D$2:D132,D133,$E$2:E132,E133,$G$2:G132,"买入")</f>
        <v/>
      </c>
      <c r="AH133">
        <f>SUMIFS($K$2:K132,$D$2:D132,D133,$E$2:E132,E133,$G$2:G132,"买入")</f>
        <v/>
      </c>
      <c r="AI133">
        <f>IF(AG133&gt;0,AH133/AG133,"")</f>
        <v/>
      </c>
      <c r="AJ133">
        <f>IF(G133="卖出",IF(AI133="","",(L133-AI133)*H133),0)</f>
        <v/>
      </c>
      <c r="AK133">
        <f>IF(G133="卖出",AJ133-T133,"")</f>
        <v/>
      </c>
      <c r="AL133">
        <f>IF(G133="卖出","(L133-AI133)×H133 = ("&amp;TEXT(L133,"0.######")&amp;"-"&amp;TEXT(AI133,"0.######")&amp;")×"&amp;H133,"")</f>
        <v/>
      </c>
    </row>
    <row r="134">
      <c r="A134">
        <f>IF('交易流水'!A94&lt;&gt;"","流水","")</f>
        <v/>
      </c>
      <c r="B134">
        <f>'交易流水'!B94</f>
        <v/>
      </c>
      <c r="C134">
        <f>'交易流水'!X94</f>
        <v/>
      </c>
      <c r="D134">
        <f>IF(ISNUMBER(SEARCH("深港",C134)),"深港",IF(ISNUMBER(SEARCH("场内",C134)),"场内","其他"))</f>
        <v/>
      </c>
      <c r="E134">
        <f>'交易流水'!F94</f>
        <v/>
      </c>
      <c r="F134">
        <f>'交易流水'!G94</f>
        <v/>
      </c>
      <c r="G134">
        <f>'交易流水'!H94</f>
        <v/>
      </c>
      <c r="H134">
        <f>'交易流水'!K94</f>
        <v/>
      </c>
      <c r="I134">
        <f>'交易流水'!P94</f>
        <v/>
      </c>
      <c r="J134">
        <f>'交易流水'!L94</f>
        <v/>
      </c>
      <c r="K134">
        <f>'交易流水'!AR94</f>
        <v/>
      </c>
      <c r="L134">
        <f>IF(H134&gt;0,K134/H134,"")</f>
        <v/>
      </c>
      <c r="M134">
        <f>IF(G134="买入",H134,0)</f>
        <v/>
      </c>
      <c r="N134">
        <f>IF(G134="买入",K134,0)</f>
        <v/>
      </c>
      <c r="O134">
        <f>IF(G134="卖出",H134,0)</f>
        <v/>
      </c>
      <c r="P134">
        <f>IF(G134="卖出",K134,0)</f>
        <v/>
      </c>
      <c r="Q134">
        <f>SUMIFS($H$2:H133,$A$2:A133,"流水",$D$2:D133,D134,$E$2:E133,E134,$G$2:G133,"买入")</f>
        <v/>
      </c>
      <c r="R134">
        <f>SUMIFS($K$2:K133,$A$2:A133,"流水",$D$2:D133,D134,$E$2:E133,E134,$G$2:G133,"买入")</f>
        <v/>
      </c>
      <c r="S134">
        <f>IF(Q134&gt;0,R134/Q134,"")</f>
        <v/>
      </c>
      <c r="T134">
        <f>IF(G134="卖出",IF(S134="","",(L134-S134)*H134),0)</f>
        <v/>
      </c>
      <c r="U134" t="n">
        <v>59877.94</v>
      </c>
      <c r="V134">
        <f>IF(AND(J134&gt;0,D134="深港"),K134/J134,"")</f>
        <v/>
      </c>
      <c r="W134">
        <f>IF(G134="卖出","(L134-S134)×H134 = ("&amp;TEXT(L134,"0.######")&amp;"-"&amp;TEXT(S134,"0.######")&amp;")×"&amp;H134,"")</f>
        <v/>
      </c>
      <c r="X134" t="inlineStr">
        <is>
          <t>(L134-L29)×300000=(6.871061-6.671468)×300000=59877.94 → 59877.94</t>
        </is>
      </c>
      <c r="Y134">
        <f>IF(E134="","",IF(D134="深港",TEXT(--E134,"0000")&amp;".HK",IF(--E134&gt;=600000,TEXT(--E134,"000000")&amp;".SH",TEXT(--E134,"000000")&amp;".SZ")))</f>
        <v/>
      </c>
      <c r="Z134">
        <f>IF(Y134="","",IFERROR(INDEX('估值日行情'!$C$3:$C$61,MATCH(Y134,'估值日行情'!$A$3:$A$61,0)),""))</f>
        <v/>
      </c>
      <c r="AA134">
        <f>IF(D134="深港",IFERROR('FX_RATES_TO_CNY_HIST'!$B$3,""),1)</f>
        <v/>
      </c>
      <c r="AB134">
        <f>IF(Z134&lt;&gt;"",Z134*AA134,"")</f>
        <v/>
      </c>
      <c r="AC134">
        <f>SUMIFS($H$2:H134,$D$2:D134,D134,$E$2:E134,E134,$G$2:G134,"买入")-SUMIFS($H$2:H134,$D$2:D134,D134,$E$2:E134,E134,$G$2:G134,"卖出")</f>
        <v/>
      </c>
      <c r="AD134">
        <f>IF(D134="深港",IF(Q134&gt;0,SUMIFS($J$2:J133,$D$2:D133,D134,$E$2:E133,E134,$G$2:G133,"买入")/SUMIFS($H$2:H133,$D$2:D133,D134,$E$2:E133,E134,$G$2:G133,"买入"),""),S134)</f>
        <v/>
      </c>
      <c r="AE134">
        <f>IF(AC134&gt;0,AC134*Z134-AC134*AD134,0)</f>
        <v/>
      </c>
      <c r="AF134">
        <f>IF(AC134&gt;0,IF(D134="深港",AE134*AA134,AE134),0)</f>
        <v/>
      </c>
      <c r="AG134">
        <f>SUMIFS($H$2:H133,$D$2:D133,D134,$E$2:E133,E134,$G$2:G133,"买入")</f>
        <v/>
      </c>
      <c r="AH134">
        <f>SUMIFS($K$2:K133,$D$2:D133,D134,$E$2:E133,E134,$G$2:G133,"买入")</f>
        <v/>
      </c>
      <c r="AI134">
        <f>IF(AG134&gt;0,AH134/AG134,"")</f>
        <v/>
      </c>
      <c r="AJ134">
        <f>IF(G134="卖出",IF(AI134="","",(L134-AI134)*H134),0)</f>
        <v/>
      </c>
      <c r="AK134">
        <f>IF(G134="卖出",AJ134-T134,"")</f>
        <v/>
      </c>
      <c r="AL134">
        <f>IF(G134="卖出","(L134-AI134)×H134 = ("&amp;TEXT(L134,"0.######")&amp;"-"&amp;TEXT(AI134,"0.######")&amp;")×"&amp;H134,"")</f>
        <v/>
      </c>
    </row>
    <row r="135">
      <c r="A135">
        <f>IF('交易流水'!A95&lt;&gt;"","流水","")</f>
        <v/>
      </c>
      <c r="B135">
        <f>'交易流水'!B95</f>
        <v/>
      </c>
      <c r="C135">
        <f>'交易流水'!X95</f>
        <v/>
      </c>
      <c r="D135">
        <f>IF(ISNUMBER(SEARCH("深港",C135)),"深港",IF(ISNUMBER(SEARCH("场内",C135)),"场内","其他"))</f>
        <v/>
      </c>
      <c r="E135">
        <f>'交易流水'!F95</f>
        <v/>
      </c>
      <c r="F135">
        <f>'交易流水'!G95</f>
        <v/>
      </c>
      <c r="G135">
        <f>'交易流水'!H95</f>
        <v/>
      </c>
      <c r="H135">
        <f>'交易流水'!K95</f>
        <v/>
      </c>
      <c r="I135">
        <f>'交易流水'!P95</f>
        <v/>
      </c>
      <c r="J135">
        <f>'交易流水'!L95</f>
        <v/>
      </c>
      <c r="K135">
        <f>'交易流水'!AR95</f>
        <v/>
      </c>
      <c r="L135">
        <f>IF(H135&gt;0,K135/H135,"")</f>
        <v/>
      </c>
      <c r="M135">
        <f>IF(G135="买入",H135,0)</f>
        <v/>
      </c>
      <c r="N135">
        <f>IF(G135="买入",K135,0)</f>
        <v/>
      </c>
      <c r="O135">
        <f>IF(G135="卖出",H135,0)</f>
        <v/>
      </c>
      <c r="P135">
        <f>IF(G135="卖出",K135,0)</f>
        <v/>
      </c>
      <c r="Q135">
        <f>SUMIFS($H$2:H134,$A$2:A134,"流水",$D$2:D134,D135,$E$2:E134,E135,$G$2:G134,"买入")</f>
        <v/>
      </c>
      <c r="R135">
        <f>SUMIFS($K$2:K134,$A$2:A134,"流水",$D$2:D134,D135,$E$2:E134,E135,$G$2:G134,"买入")</f>
        <v/>
      </c>
      <c r="S135">
        <f>IF(Q135&gt;0,R135/Q135,"")</f>
        <v/>
      </c>
      <c r="T135">
        <f>IF(G135="卖出",IF(S135="","",(L135-S135)*H135),0)</f>
        <v/>
      </c>
      <c r="U135" t="n">
        <v>129534.59</v>
      </c>
      <c r="V135">
        <f>IF(AND(J135&gt;0,D135="深港"),K135/J135,"")</f>
        <v/>
      </c>
      <c r="W135">
        <f>IF(G135="卖出","(L135-S135)×H135 = ("&amp;TEXT(L135,"0.######")&amp;"-"&amp;TEXT(S135,"0.######")&amp;")×"&amp;H135,"")</f>
        <v/>
      </c>
      <c r="X135" t="inlineStr">
        <is>
          <t>(L135-L32)×100000=(6.085298-4.789952)×100000=129534.59 → 129534.59</t>
        </is>
      </c>
      <c r="Y135">
        <f>IF(E135="","",IF(D135="深港",TEXT(--E135,"0000")&amp;".HK",IF(--E135&gt;=600000,TEXT(--E135,"000000")&amp;".SH",TEXT(--E135,"000000")&amp;".SZ")))</f>
        <v/>
      </c>
      <c r="Z135">
        <f>IF(Y135="","",IFERROR(INDEX('估值日行情'!$C$3:$C$61,MATCH(Y135,'估值日行情'!$A$3:$A$61,0)),""))</f>
        <v/>
      </c>
      <c r="AA135">
        <f>IF(D135="深港",IFERROR('FX_RATES_TO_CNY_HIST'!$B$3,""),1)</f>
        <v/>
      </c>
      <c r="AB135">
        <f>IF(Z135&lt;&gt;"",Z135*AA135,"")</f>
        <v/>
      </c>
      <c r="AC135">
        <f>SUMIFS($H$2:H135,$D$2:D135,D135,$E$2:E135,E135,$G$2:G135,"买入")-SUMIFS($H$2:H135,$D$2:D135,D135,$E$2:E135,E135,$G$2:G135,"卖出")</f>
        <v/>
      </c>
      <c r="AD135">
        <f>IF(D135="深港",IF(Q135&gt;0,SUMIFS($J$2:J134,$D$2:D134,D135,$E$2:E134,E135,$G$2:G134,"买入")/SUMIFS($H$2:H134,$D$2:D134,D135,$E$2:E134,E135,$G$2:G134,"买入"),""),S135)</f>
        <v/>
      </c>
      <c r="AE135">
        <f>IF(AC135&gt;0,AC135*Z135-AC135*AD135,0)</f>
        <v/>
      </c>
      <c r="AF135">
        <f>IF(AC135&gt;0,IF(D135="深港",AE135*AA135,AE135),0)</f>
        <v/>
      </c>
      <c r="AG135">
        <f>SUMIFS($H$2:H134,$D$2:D134,D135,$E$2:E134,E135,$G$2:G134,"买入")</f>
        <v/>
      </c>
      <c r="AH135">
        <f>SUMIFS($K$2:K134,$D$2:D134,D135,$E$2:E134,E135,$G$2:G134,"买入")</f>
        <v/>
      </c>
      <c r="AI135">
        <f>IF(AG135&gt;0,AH135/AG135,"")</f>
        <v/>
      </c>
      <c r="AJ135">
        <f>IF(G135="卖出",IF(AI135="","",(L135-AI135)*H135),0)</f>
        <v/>
      </c>
      <c r="AK135">
        <f>IF(G135="卖出",AJ135-T135,"")</f>
        <v/>
      </c>
      <c r="AL135">
        <f>IF(G135="卖出","(L135-AI135)×H135 = ("&amp;TEXT(L135,"0.######")&amp;"-"&amp;TEXT(AI135,"0.######")&amp;")×"&amp;H135,"")</f>
        <v/>
      </c>
    </row>
    <row r="136">
      <c r="A136">
        <f>IF('交易流水'!A96&lt;&gt;"","流水","")</f>
        <v/>
      </c>
      <c r="B136">
        <f>'交易流水'!B96</f>
        <v/>
      </c>
      <c r="C136">
        <f>'交易流水'!X96</f>
        <v/>
      </c>
      <c r="D136">
        <f>IF(ISNUMBER(SEARCH("深港",C136)),"深港",IF(ISNUMBER(SEARCH("场内",C136)),"场内","其他"))</f>
        <v/>
      </c>
      <c r="E136">
        <f>'交易流水'!F96</f>
        <v/>
      </c>
      <c r="F136">
        <f>'交易流水'!G96</f>
        <v/>
      </c>
      <c r="G136">
        <f>'交易流水'!H96</f>
        <v/>
      </c>
      <c r="H136">
        <f>'交易流水'!K96</f>
        <v/>
      </c>
      <c r="I136">
        <f>'交易流水'!P96</f>
        <v/>
      </c>
      <c r="J136">
        <f>'交易流水'!L96</f>
        <v/>
      </c>
      <c r="K136">
        <f>'交易流水'!AR96</f>
        <v/>
      </c>
      <c r="L136">
        <f>IF(H136&gt;0,K136/H136,"")</f>
        <v/>
      </c>
      <c r="M136">
        <f>IF(G136="买入",H136,0)</f>
        <v/>
      </c>
      <c r="N136">
        <f>IF(G136="买入",K136,0)</f>
        <v/>
      </c>
      <c r="O136">
        <f>IF(G136="卖出",H136,0)</f>
        <v/>
      </c>
      <c r="P136">
        <f>IF(G136="卖出",K136,0)</f>
        <v/>
      </c>
      <c r="Q136">
        <f>SUMIFS($H$2:H135,$A$2:A135,"流水",$D$2:D135,D136,$E$2:E135,E136,$G$2:G135,"买入")</f>
        <v/>
      </c>
      <c r="R136">
        <f>SUMIFS($K$2:K135,$A$2:A135,"流水",$D$2:D135,D136,$E$2:E135,E136,$G$2:G135,"买入")</f>
        <v/>
      </c>
      <c r="S136">
        <f>IF(Q136&gt;0,R136/Q136,"")</f>
        <v/>
      </c>
      <c r="T136">
        <f>IF(G136="卖出",IF(S136="","",(L136-S136)*H136),0)</f>
        <v/>
      </c>
      <c r="U136" t="n">
        <v>43500.01</v>
      </c>
      <c r="V136">
        <f>IF(AND(J136&gt;0,D136="深港"),K136/J136,"")</f>
        <v/>
      </c>
      <c r="W136">
        <f>IF(G136="卖出","(L136-S136)×H136 = ("&amp;TEXT(L136,"0.######")&amp;"-"&amp;TEXT(S136,"0.######")&amp;")×"&amp;H136,"")</f>
        <v/>
      </c>
      <c r="X136" t="inlineStr">
        <is>
          <t>(L136-L39)×300000=(4.400273-4.255273)×300000=43500.01 → 43500.01</t>
        </is>
      </c>
      <c r="Y136">
        <f>IF(E136="","",IF(D136="深港",TEXT(--E136,"0000")&amp;".HK",IF(--E136&gt;=600000,TEXT(--E136,"000000")&amp;".SH",TEXT(--E136,"000000")&amp;".SZ")))</f>
        <v/>
      </c>
      <c r="Z136">
        <f>IF(Y136="","",IFERROR(INDEX('估值日行情'!$C$3:$C$61,MATCH(Y136,'估值日行情'!$A$3:$A$61,0)),""))</f>
        <v/>
      </c>
      <c r="AA136">
        <f>IF(D136="深港",IFERROR('FX_RATES_TO_CNY_HIST'!$B$3,""),1)</f>
        <v/>
      </c>
      <c r="AB136">
        <f>IF(Z136&lt;&gt;"",Z136*AA136,"")</f>
        <v/>
      </c>
      <c r="AC136">
        <f>SUMIFS($H$2:H136,$D$2:D136,D136,$E$2:E136,E136,$G$2:G136,"买入")-SUMIFS($H$2:H136,$D$2:D136,D136,$E$2:E136,E136,$G$2:G136,"卖出")</f>
        <v/>
      </c>
      <c r="AD136">
        <f>IF(D136="深港",IF(Q136&gt;0,SUMIFS($J$2:J135,$D$2:D135,D136,$E$2:E135,E136,$G$2:G135,"买入")/SUMIFS($H$2:H135,$D$2:D135,D136,$E$2:E135,E136,$G$2:G135,"买入"),""),S136)</f>
        <v/>
      </c>
      <c r="AE136">
        <f>IF(AC136&gt;0,AC136*Z136-AC136*AD136,0)</f>
        <v/>
      </c>
      <c r="AF136">
        <f>IF(AC136&gt;0,IF(D136="深港",AE136*AA136,AE136),0)</f>
        <v/>
      </c>
      <c r="AG136">
        <f>SUMIFS($H$2:H135,$D$2:D135,D136,$E$2:E135,E136,$G$2:G135,"买入")</f>
        <v/>
      </c>
      <c r="AH136">
        <f>SUMIFS($K$2:K135,$D$2:D135,D136,$E$2:E135,E136,$G$2:G135,"买入")</f>
        <v/>
      </c>
      <c r="AI136">
        <f>IF(AG136&gt;0,AH136/AG136,"")</f>
        <v/>
      </c>
      <c r="AJ136">
        <f>IF(G136="卖出",IF(AI136="","",(L136-AI136)*H136),0)</f>
        <v/>
      </c>
      <c r="AK136">
        <f>IF(G136="卖出",AJ136-T136,"")</f>
        <v/>
      </c>
      <c r="AL136">
        <f>IF(G136="卖出","(L136-AI136)×H136 = ("&amp;TEXT(L136,"0.######")&amp;"-"&amp;TEXT(AI136,"0.######")&amp;")×"&amp;H136,"")</f>
        <v/>
      </c>
    </row>
    <row r="137">
      <c r="A137">
        <f>IF('交易流水'!A97&lt;&gt;"","流水","")</f>
        <v/>
      </c>
      <c r="B137">
        <f>'交易流水'!B97</f>
        <v/>
      </c>
      <c r="C137">
        <f>'交易流水'!X97</f>
        <v/>
      </c>
      <c r="D137">
        <f>IF(ISNUMBER(SEARCH("深港",C137)),"深港",IF(ISNUMBER(SEARCH("场内",C137)),"场内","其他"))</f>
        <v/>
      </c>
      <c r="E137">
        <f>'交易流水'!F97</f>
        <v/>
      </c>
      <c r="F137">
        <f>'交易流水'!G97</f>
        <v/>
      </c>
      <c r="G137">
        <f>'交易流水'!H97</f>
        <v/>
      </c>
      <c r="H137">
        <f>'交易流水'!K97</f>
        <v/>
      </c>
      <c r="I137">
        <f>'交易流水'!P97</f>
        <v/>
      </c>
      <c r="J137">
        <f>'交易流水'!L97</f>
        <v/>
      </c>
      <c r="K137">
        <f>'交易流水'!AR97</f>
        <v/>
      </c>
      <c r="L137">
        <f>IF(H137&gt;0,K137/H137,"")</f>
        <v/>
      </c>
      <c r="M137">
        <f>IF(G137="买入",H137,0)</f>
        <v/>
      </c>
      <c r="N137">
        <f>IF(G137="买入",K137,0)</f>
        <v/>
      </c>
      <c r="O137">
        <f>IF(G137="卖出",H137,0)</f>
        <v/>
      </c>
      <c r="P137">
        <f>IF(G137="卖出",K137,0)</f>
        <v/>
      </c>
      <c r="Q137">
        <f>SUMIFS($H$2:H136,$A$2:A136,"流水",$D$2:D136,D137,$E$2:E136,E137,$G$2:G136,"买入")</f>
        <v/>
      </c>
      <c r="R137">
        <f>SUMIFS($K$2:K136,$A$2:A136,"流水",$D$2:D136,D137,$E$2:E136,E137,$G$2:G136,"买入")</f>
        <v/>
      </c>
      <c r="S137">
        <f>IF(Q137&gt;0,R137/Q137,"")</f>
        <v/>
      </c>
      <c r="T137">
        <f>IF(G137="卖出",IF(S137="","",(L137-S137)*H137),0)</f>
        <v/>
      </c>
      <c r="U137" t="n">
        <v>0</v>
      </c>
      <c r="V137">
        <f>IF(AND(J137&gt;0,D137="深港"),K137/J137,"")</f>
        <v/>
      </c>
      <c r="W137">
        <f>IF(G137="卖出","(L137-S137)×H137 = ("&amp;TEXT(L137,"0.######")&amp;"-"&amp;TEXT(S137,"0.######")&amp;")×"&amp;H137,"")</f>
        <v/>
      </c>
      <c r="Y137">
        <f>IF(E137="","",IF(D137="深港",TEXT(--E137,"0000")&amp;".HK",IF(--E137&gt;=600000,TEXT(--E137,"000000")&amp;".SH",TEXT(--E137,"000000")&amp;".SZ")))</f>
        <v/>
      </c>
      <c r="Z137">
        <f>IF(Y137="","",IFERROR(INDEX('估值日行情'!$C$3:$C$61,MATCH(Y137,'估值日行情'!$A$3:$A$61,0)),""))</f>
        <v/>
      </c>
      <c r="AA137">
        <f>IF(D137="深港",IFERROR('FX_RATES_TO_CNY_HIST'!$B$3,""),1)</f>
        <v/>
      </c>
      <c r="AB137">
        <f>IF(Z137&lt;&gt;"",Z137*AA137,"")</f>
        <v/>
      </c>
      <c r="AC137">
        <f>SUMIFS($H$2:H137,$D$2:D137,D137,$E$2:E137,E137,$G$2:G137,"买入")-SUMIFS($H$2:H137,$D$2:D137,D137,$E$2:E137,E137,$G$2:G137,"卖出")</f>
        <v/>
      </c>
      <c r="AD137">
        <f>IF(D137="深港",IF(Q137&gt;0,SUMIFS($J$2:J136,$D$2:D136,D137,$E$2:E136,E137,$G$2:G136,"买入")/SUMIFS($H$2:H136,$D$2:D136,D137,$E$2:E136,E137,$G$2:G136,"买入"),""),S137)</f>
        <v/>
      </c>
      <c r="AE137">
        <f>IF(AC137&gt;0,AC137*Z137-AC137*AD137,0)</f>
        <v/>
      </c>
      <c r="AF137">
        <f>IF(AC137&gt;0,IF(D137="深港",AE137*AA137,AE137),0)</f>
        <v/>
      </c>
      <c r="AG137">
        <f>SUMIFS($H$2:H136,$D$2:D136,D137,$E$2:E136,E137,$G$2:G136,"买入")</f>
        <v/>
      </c>
      <c r="AH137">
        <f>SUMIFS($K$2:K136,$D$2:D136,D137,$E$2:E136,E137,$G$2:G136,"买入")</f>
        <v/>
      </c>
      <c r="AI137">
        <f>IF(AG137&gt;0,AH137/AG137,"")</f>
        <v/>
      </c>
      <c r="AJ137">
        <f>IF(G137="卖出",IF(AI137="","",(L137-AI137)*H137),0)</f>
        <v/>
      </c>
      <c r="AK137">
        <f>IF(G137="卖出",AJ137-T137,"")</f>
        <v/>
      </c>
      <c r="AL137">
        <f>IF(G137="卖出","(L137-AI137)×H137 = ("&amp;TEXT(L137,"0.######")&amp;"-"&amp;TEXT(AI137,"0.######")&amp;")×"&amp;H137,"")</f>
        <v/>
      </c>
    </row>
    <row r="138">
      <c r="A138">
        <f>IF('交易流水'!A98&lt;&gt;"","流水","")</f>
        <v/>
      </c>
      <c r="B138">
        <f>'交易流水'!B98</f>
        <v/>
      </c>
      <c r="C138">
        <f>'交易流水'!X98</f>
        <v/>
      </c>
      <c r="D138">
        <f>IF(ISNUMBER(SEARCH("深港",C138)),"深港",IF(ISNUMBER(SEARCH("场内",C138)),"场内","其他"))</f>
        <v/>
      </c>
      <c r="E138">
        <f>'交易流水'!F98</f>
        <v/>
      </c>
      <c r="F138">
        <f>'交易流水'!G98</f>
        <v/>
      </c>
      <c r="G138">
        <f>'交易流水'!H98</f>
        <v/>
      </c>
      <c r="H138">
        <f>'交易流水'!K98</f>
        <v/>
      </c>
      <c r="I138">
        <f>'交易流水'!P98</f>
        <v/>
      </c>
      <c r="J138">
        <f>'交易流水'!L98</f>
        <v/>
      </c>
      <c r="K138">
        <f>'交易流水'!AR98</f>
        <v/>
      </c>
      <c r="L138">
        <f>IF(H138&gt;0,K138/H138,"")</f>
        <v/>
      </c>
      <c r="M138">
        <f>IF(G138="买入",H138,0)</f>
        <v/>
      </c>
      <c r="N138">
        <f>IF(G138="买入",K138,0)</f>
        <v/>
      </c>
      <c r="O138">
        <f>IF(G138="卖出",H138,0)</f>
        <v/>
      </c>
      <c r="P138">
        <f>IF(G138="卖出",K138,0)</f>
        <v/>
      </c>
      <c r="Q138">
        <f>SUMIFS($H$2:H137,$A$2:A137,"流水",$D$2:D137,D138,$E$2:E137,E138,$G$2:G137,"买入")</f>
        <v/>
      </c>
      <c r="R138">
        <f>SUMIFS($K$2:K137,$A$2:A137,"流水",$D$2:D137,D138,$E$2:E137,E138,$G$2:G137,"买入")</f>
        <v/>
      </c>
      <c r="S138">
        <f>IF(Q138&gt;0,R138/Q138,"")</f>
        <v/>
      </c>
      <c r="T138">
        <f>IF(G138="卖出",IF(S138="","",(L138-S138)*H138),0)</f>
        <v/>
      </c>
      <c r="U138" t="n">
        <v>0</v>
      </c>
      <c r="V138">
        <f>IF(AND(J138&gt;0,D138="深港"),K138/J138,"")</f>
        <v/>
      </c>
      <c r="W138">
        <f>IF(G138="卖出","(L138-S138)×H138 = ("&amp;TEXT(L138,"0.######")&amp;"-"&amp;TEXT(S138,"0.######")&amp;")×"&amp;H138,"")</f>
        <v/>
      </c>
      <c r="Y138">
        <f>IF(E138="","",IF(D138="深港",TEXT(--E138,"0000")&amp;".HK",IF(--E138&gt;=600000,TEXT(--E138,"000000")&amp;".SH",TEXT(--E138,"000000")&amp;".SZ")))</f>
        <v/>
      </c>
      <c r="Z138">
        <f>IF(Y138="","",IFERROR(INDEX('估值日行情'!$C$3:$C$61,MATCH(Y138,'估值日行情'!$A$3:$A$61,0)),""))</f>
        <v/>
      </c>
      <c r="AA138">
        <f>IF(D138="深港",IFERROR('FX_RATES_TO_CNY_HIST'!$B$3,""),1)</f>
        <v/>
      </c>
      <c r="AB138">
        <f>IF(Z138&lt;&gt;"",Z138*AA138,"")</f>
        <v/>
      </c>
      <c r="AC138">
        <f>SUMIFS($H$2:H138,$D$2:D138,D138,$E$2:E138,E138,$G$2:G138,"买入")-SUMIFS($H$2:H138,$D$2:D138,D138,$E$2:E138,E138,$G$2:G138,"卖出")</f>
        <v/>
      </c>
      <c r="AD138">
        <f>IF(D138="深港",IF(Q138&gt;0,SUMIFS($J$2:J137,$D$2:D137,D138,$E$2:E137,E138,$G$2:G137,"买入")/SUMIFS($H$2:H137,$D$2:D137,D138,$E$2:E137,E138,$G$2:G137,"买入"),""),S138)</f>
        <v/>
      </c>
      <c r="AE138">
        <f>IF(AC138&gt;0,AC138*Z138-AC138*AD138,0)</f>
        <v/>
      </c>
      <c r="AF138">
        <f>IF(AC138&gt;0,IF(D138="深港",AE138*AA138,AE138),0)</f>
        <v/>
      </c>
      <c r="AG138">
        <f>SUMIFS($H$2:H137,$D$2:D137,D138,$E$2:E137,E138,$G$2:G137,"买入")</f>
        <v/>
      </c>
      <c r="AH138">
        <f>SUMIFS($K$2:K137,$D$2:D137,D138,$E$2:E137,E138,$G$2:G137,"买入")</f>
        <v/>
      </c>
      <c r="AI138">
        <f>IF(AG138&gt;0,AH138/AG138,"")</f>
        <v/>
      </c>
      <c r="AJ138">
        <f>IF(G138="卖出",IF(AI138="","",(L138-AI138)*H138),0)</f>
        <v/>
      </c>
      <c r="AK138">
        <f>IF(G138="卖出",AJ138-T138,"")</f>
        <v/>
      </c>
      <c r="AL138">
        <f>IF(G138="卖出","(L138-AI138)×H138 = ("&amp;TEXT(L138,"0.######")&amp;"-"&amp;TEXT(AI138,"0.######")&amp;")×"&amp;H138,"")</f>
        <v/>
      </c>
    </row>
    <row r="139">
      <c r="A139">
        <f>IF('交易流水'!A99&lt;&gt;"","流水","")</f>
        <v/>
      </c>
      <c r="B139">
        <f>'交易流水'!B99</f>
        <v/>
      </c>
      <c r="C139">
        <f>'交易流水'!X99</f>
        <v/>
      </c>
      <c r="D139">
        <f>IF(ISNUMBER(SEARCH("深港",C139)),"深港",IF(ISNUMBER(SEARCH("场内",C139)),"场内","其他"))</f>
        <v/>
      </c>
      <c r="E139">
        <f>'交易流水'!F99</f>
        <v/>
      </c>
      <c r="F139">
        <f>'交易流水'!G99</f>
        <v/>
      </c>
      <c r="G139">
        <f>'交易流水'!H99</f>
        <v/>
      </c>
      <c r="H139">
        <f>'交易流水'!K99</f>
        <v/>
      </c>
      <c r="I139">
        <f>'交易流水'!P99</f>
        <v/>
      </c>
      <c r="J139">
        <f>'交易流水'!L99</f>
        <v/>
      </c>
      <c r="K139">
        <f>'交易流水'!AR99</f>
        <v/>
      </c>
      <c r="L139">
        <f>IF(H139&gt;0,K139/H139,"")</f>
        <v/>
      </c>
      <c r="M139">
        <f>IF(G139="买入",H139,0)</f>
        <v/>
      </c>
      <c r="N139">
        <f>IF(G139="买入",K139,0)</f>
        <v/>
      </c>
      <c r="O139">
        <f>IF(G139="卖出",H139,0)</f>
        <v/>
      </c>
      <c r="P139">
        <f>IF(G139="卖出",K139,0)</f>
        <v/>
      </c>
      <c r="Q139">
        <f>SUMIFS($H$2:H138,$A$2:A138,"流水",$D$2:D138,D139,$E$2:E138,E139,$G$2:G138,"买入")</f>
        <v/>
      </c>
      <c r="R139">
        <f>SUMIFS($K$2:K138,$A$2:A138,"流水",$D$2:D138,D139,$E$2:E138,E139,$G$2:G138,"买入")</f>
        <v/>
      </c>
      <c r="S139">
        <f>IF(Q139&gt;0,R139/Q139,"")</f>
        <v/>
      </c>
      <c r="T139">
        <f>IF(G139="卖出",IF(S139="","",(L139-S139)*H139),0)</f>
        <v/>
      </c>
      <c r="U139" t="n">
        <v>0</v>
      </c>
      <c r="V139">
        <f>IF(AND(J139&gt;0,D139="深港"),K139/J139,"")</f>
        <v/>
      </c>
      <c r="W139">
        <f>IF(G139="卖出","(L139-S139)×H139 = ("&amp;TEXT(L139,"0.######")&amp;"-"&amp;TEXT(S139,"0.######")&amp;")×"&amp;H139,"")</f>
        <v/>
      </c>
      <c r="Y139">
        <f>IF(E139="","",IF(D139="深港",TEXT(--E139,"0000")&amp;".HK",IF(--E139&gt;=600000,TEXT(--E139,"000000")&amp;".SH",TEXT(--E139,"000000")&amp;".SZ")))</f>
        <v/>
      </c>
      <c r="Z139">
        <f>IF(Y139="","",IFERROR(INDEX('估值日行情'!$C$3:$C$61,MATCH(Y139,'估值日行情'!$A$3:$A$61,0)),""))</f>
        <v/>
      </c>
      <c r="AA139">
        <f>IF(D139="深港",IFERROR('FX_RATES_TO_CNY_HIST'!$B$3,""),1)</f>
        <v/>
      </c>
      <c r="AB139">
        <f>IF(Z139&lt;&gt;"",Z139*AA139,"")</f>
        <v/>
      </c>
      <c r="AC139">
        <f>SUMIFS($H$2:H139,$D$2:D139,D139,$E$2:E139,E139,$G$2:G139,"买入")-SUMIFS($H$2:H139,$D$2:D139,D139,$E$2:E139,E139,$G$2:G139,"卖出")</f>
        <v/>
      </c>
      <c r="AD139">
        <f>IF(D139="深港",IF(Q139&gt;0,SUMIFS($J$2:J138,$D$2:D138,D139,$E$2:E138,E139,$G$2:G138,"买入")/SUMIFS($H$2:H138,$D$2:D138,D139,$E$2:E138,E139,$G$2:G138,"买入"),""),S139)</f>
        <v/>
      </c>
      <c r="AE139">
        <f>IF(AC139&gt;0,AC139*Z139-AC139*AD139,0)</f>
        <v/>
      </c>
      <c r="AF139">
        <f>IF(AC139&gt;0,IF(D139="深港",AE139*AA139,AE139),0)</f>
        <v/>
      </c>
      <c r="AG139">
        <f>SUMIFS($H$2:H138,$D$2:D138,D139,$E$2:E138,E139,$G$2:G138,"买入")</f>
        <v/>
      </c>
      <c r="AH139">
        <f>SUMIFS($K$2:K138,$D$2:D138,D139,$E$2:E138,E139,$G$2:G138,"买入")</f>
        <v/>
      </c>
      <c r="AI139">
        <f>IF(AG139&gt;0,AH139/AG139,"")</f>
        <v/>
      </c>
      <c r="AJ139">
        <f>IF(G139="卖出",IF(AI139="","",(L139-AI139)*H139),0)</f>
        <v/>
      </c>
      <c r="AK139">
        <f>IF(G139="卖出",AJ139-T139,"")</f>
        <v/>
      </c>
      <c r="AL139">
        <f>IF(G139="卖出","(L139-AI139)×H139 = ("&amp;TEXT(L139,"0.######")&amp;"-"&amp;TEXT(AI139,"0.######")&amp;")×"&amp;H139,"")</f>
        <v/>
      </c>
    </row>
    <row r="140">
      <c r="A140">
        <f>IF('交易流水'!A100&lt;&gt;"","流水","")</f>
        <v/>
      </c>
      <c r="B140">
        <f>'交易流水'!B100</f>
        <v/>
      </c>
      <c r="C140">
        <f>'交易流水'!X100</f>
        <v/>
      </c>
      <c r="D140">
        <f>IF(ISNUMBER(SEARCH("深港",C140)),"深港",IF(ISNUMBER(SEARCH("场内",C140)),"场内","其他"))</f>
        <v/>
      </c>
      <c r="E140">
        <f>'交易流水'!F100</f>
        <v/>
      </c>
      <c r="F140">
        <f>'交易流水'!G100</f>
        <v/>
      </c>
      <c r="G140">
        <f>'交易流水'!H100</f>
        <v/>
      </c>
      <c r="H140">
        <f>'交易流水'!K100</f>
        <v/>
      </c>
      <c r="I140">
        <f>'交易流水'!P100</f>
        <v/>
      </c>
      <c r="J140">
        <f>'交易流水'!L100</f>
        <v/>
      </c>
      <c r="K140">
        <f>'交易流水'!AR100</f>
        <v/>
      </c>
      <c r="L140">
        <f>IF(H140&gt;0,K140/H140,"")</f>
        <v/>
      </c>
      <c r="M140">
        <f>IF(G140="买入",H140,0)</f>
        <v/>
      </c>
      <c r="N140">
        <f>IF(G140="买入",K140,0)</f>
        <v/>
      </c>
      <c r="O140">
        <f>IF(G140="卖出",H140,0)</f>
        <v/>
      </c>
      <c r="P140">
        <f>IF(G140="卖出",K140,0)</f>
        <v/>
      </c>
      <c r="Q140">
        <f>SUMIFS($H$2:H139,$A$2:A139,"流水",$D$2:D139,D140,$E$2:E139,E140,$G$2:G139,"买入")</f>
        <v/>
      </c>
      <c r="R140">
        <f>SUMIFS($K$2:K139,$A$2:A139,"流水",$D$2:D139,D140,$E$2:E139,E140,$G$2:G139,"买入")</f>
        <v/>
      </c>
      <c r="S140">
        <f>IF(Q140&gt;0,R140/Q140,"")</f>
        <v/>
      </c>
      <c r="T140">
        <f>IF(G140="卖出",IF(S140="","",(L140-S140)*H140),0)</f>
        <v/>
      </c>
      <c r="U140" t="n">
        <v>0</v>
      </c>
      <c r="V140">
        <f>IF(AND(J140&gt;0,D140="深港"),K140/J140,"")</f>
        <v/>
      </c>
      <c r="W140">
        <f>IF(G140="卖出","(L140-S140)×H140 = ("&amp;TEXT(L140,"0.######")&amp;"-"&amp;TEXT(S140,"0.######")&amp;")×"&amp;H140,"")</f>
        <v/>
      </c>
      <c r="Y140">
        <f>IF(E140="","",IF(D140="深港",TEXT(--E140,"0000")&amp;".HK",IF(--E140&gt;=600000,TEXT(--E140,"000000")&amp;".SH",TEXT(--E140,"000000")&amp;".SZ")))</f>
        <v/>
      </c>
      <c r="Z140">
        <f>IF(Y140="","",IFERROR(INDEX('估值日行情'!$C$3:$C$61,MATCH(Y140,'估值日行情'!$A$3:$A$61,0)),""))</f>
        <v/>
      </c>
      <c r="AA140">
        <f>IF(D140="深港",IFERROR('FX_RATES_TO_CNY_HIST'!$B$3,""),1)</f>
        <v/>
      </c>
      <c r="AB140">
        <f>IF(Z140&lt;&gt;"",Z140*AA140,"")</f>
        <v/>
      </c>
      <c r="AC140">
        <f>SUMIFS($H$2:H140,$D$2:D140,D140,$E$2:E140,E140,$G$2:G140,"买入")-SUMIFS($H$2:H140,$D$2:D140,D140,$E$2:E140,E140,$G$2:G140,"卖出")</f>
        <v/>
      </c>
      <c r="AD140">
        <f>IF(D140="深港",IF(Q140&gt;0,SUMIFS($J$2:J139,$D$2:D139,D140,$E$2:E139,E140,$G$2:G139,"买入")/SUMIFS($H$2:H139,$D$2:D139,D140,$E$2:E139,E140,$G$2:G139,"买入"),""),S140)</f>
        <v/>
      </c>
      <c r="AE140">
        <f>IF(AC140&gt;0,AC140*Z140-AC140*AD140,0)</f>
        <v/>
      </c>
      <c r="AF140">
        <f>IF(AC140&gt;0,IF(D140="深港",AE140*AA140,AE140),0)</f>
        <v/>
      </c>
      <c r="AG140">
        <f>SUMIFS($H$2:H139,$D$2:D139,D140,$E$2:E139,E140,$G$2:G139,"买入")</f>
        <v/>
      </c>
      <c r="AH140">
        <f>SUMIFS($K$2:K139,$D$2:D139,D140,$E$2:E139,E140,$G$2:G139,"买入")</f>
        <v/>
      </c>
      <c r="AI140">
        <f>IF(AG140&gt;0,AH140/AG140,"")</f>
        <v/>
      </c>
      <c r="AJ140">
        <f>IF(G140="卖出",IF(AI140="","",(L140-AI140)*H140),0)</f>
        <v/>
      </c>
      <c r="AK140">
        <f>IF(G140="卖出",AJ140-T140,"")</f>
        <v/>
      </c>
      <c r="AL140">
        <f>IF(G140="卖出","(L140-AI140)×H140 = ("&amp;TEXT(L140,"0.######")&amp;"-"&amp;TEXT(AI140,"0.######")&amp;")×"&amp;H140,"")</f>
        <v/>
      </c>
    </row>
    <row r="141">
      <c r="A141">
        <f>IF('交易流水'!A101&lt;&gt;"","流水","")</f>
        <v/>
      </c>
      <c r="B141">
        <f>'交易流水'!B101</f>
        <v/>
      </c>
      <c r="C141">
        <f>'交易流水'!X101</f>
        <v/>
      </c>
      <c r="D141">
        <f>IF(ISNUMBER(SEARCH("深港",C141)),"深港",IF(ISNUMBER(SEARCH("场内",C141)),"场内","其他"))</f>
        <v/>
      </c>
      <c r="E141">
        <f>'交易流水'!F101</f>
        <v/>
      </c>
      <c r="F141">
        <f>'交易流水'!G101</f>
        <v/>
      </c>
      <c r="G141">
        <f>'交易流水'!H101</f>
        <v/>
      </c>
      <c r="H141">
        <f>'交易流水'!K101</f>
        <v/>
      </c>
      <c r="I141">
        <f>'交易流水'!P101</f>
        <v/>
      </c>
      <c r="J141">
        <f>'交易流水'!L101</f>
        <v/>
      </c>
      <c r="K141">
        <f>'交易流水'!AR101</f>
        <v/>
      </c>
      <c r="L141">
        <f>IF(H141&gt;0,K141/H141,"")</f>
        <v/>
      </c>
      <c r="M141">
        <f>IF(G141="买入",H141,0)</f>
        <v/>
      </c>
      <c r="N141">
        <f>IF(G141="买入",K141,0)</f>
        <v/>
      </c>
      <c r="O141">
        <f>IF(G141="卖出",H141,0)</f>
        <v/>
      </c>
      <c r="P141">
        <f>IF(G141="卖出",K141,0)</f>
        <v/>
      </c>
      <c r="Q141">
        <f>SUMIFS($H$2:H140,$A$2:A140,"流水",$D$2:D140,D141,$E$2:E140,E141,$G$2:G140,"买入")</f>
        <v/>
      </c>
      <c r="R141">
        <f>SUMIFS($K$2:K140,$A$2:A140,"流水",$D$2:D140,D141,$E$2:E140,E141,$G$2:G140,"买入")</f>
        <v/>
      </c>
      <c r="S141">
        <f>IF(Q141&gt;0,R141/Q141,"")</f>
        <v/>
      </c>
      <c r="T141">
        <f>IF(G141="卖出",IF(S141="","",(L141-S141)*H141),0)</f>
        <v/>
      </c>
      <c r="U141" t="n">
        <v>0</v>
      </c>
      <c r="V141">
        <f>IF(AND(J141&gt;0,D141="深港"),K141/J141,"")</f>
        <v/>
      </c>
      <c r="W141">
        <f>IF(G141="卖出","(L141-S141)×H141 = ("&amp;TEXT(L141,"0.######")&amp;"-"&amp;TEXT(S141,"0.######")&amp;")×"&amp;H141,"")</f>
        <v/>
      </c>
      <c r="Y141">
        <f>IF(E141="","",IF(D141="深港",TEXT(--E141,"0000")&amp;".HK",IF(--E141&gt;=600000,TEXT(--E141,"000000")&amp;".SH",TEXT(--E141,"000000")&amp;".SZ")))</f>
        <v/>
      </c>
      <c r="Z141">
        <f>IF(Y141="","",IFERROR(INDEX('估值日行情'!$C$3:$C$61,MATCH(Y141,'估值日行情'!$A$3:$A$61,0)),""))</f>
        <v/>
      </c>
      <c r="AA141">
        <f>IF(D141="深港",IFERROR('FX_RATES_TO_CNY_HIST'!$B$3,""),1)</f>
        <v/>
      </c>
      <c r="AB141">
        <f>IF(Z141&lt;&gt;"",Z141*AA141,"")</f>
        <v/>
      </c>
      <c r="AC141">
        <f>SUMIFS($H$2:H141,$D$2:D141,D141,$E$2:E141,E141,$G$2:G141,"买入")-SUMIFS($H$2:H141,$D$2:D141,D141,$E$2:E141,E141,$G$2:G141,"卖出")</f>
        <v/>
      </c>
      <c r="AD141">
        <f>IF(D141="深港",IF(Q141&gt;0,SUMIFS($J$2:J140,$D$2:D140,D141,$E$2:E140,E141,$G$2:G140,"买入")/SUMIFS($H$2:H140,$D$2:D140,D141,$E$2:E140,E141,$G$2:G140,"买入"),""),S141)</f>
        <v/>
      </c>
      <c r="AE141">
        <f>IF(AC141&gt;0,AC141*Z141-AC141*AD141,0)</f>
        <v/>
      </c>
      <c r="AF141">
        <f>IF(AC141&gt;0,IF(D141="深港",AE141*AA141,AE141),0)</f>
        <v/>
      </c>
      <c r="AG141">
        <f>SUMIFS($H$2:H140,$D$2:D140,D141,$E$2:E140,E141,$G$2:G140,"买入")</f>
        <v/>
      </c>
      <c r="AH141">
        <f>SUMIFS($K$2:K140,$D$2:D140,D141,$E$2:E140,E141,$G$2:G140,"买入")</f>
        <v/>
      </c>
      <c r="AI141">
        <f>IF(AG141&gt;0,AH141/AG141,"")</f>
        <v/>
      </c>
      <c r="AJ141">
        <f>IF(G141="卖出",IF(AI141="","",(L141-AI141)*H141),0)</f>
        <v/>
      </c>
      <c r="AK141">
        <f>IF(G141="卖出",AJ141-T141,"")</f>
        <v/>
      </c>
      <c r="AL141">
        <f>IF(G141="卖出","(L141-AI141)×H141 = ("&amp;TEXT(L141,"0.######")&amp;"-"&amp;TEXT(AI141,"0.######")&amp;")×"&amp;H141,"")</f>
        <v/>
      </c>
    </row>
    <row r="142">
      <c r="A142">
        <f>IF('交易流水'!A102&lt;&gt;"","流水","")</f>
        <v/>
      </c>
      <c r="B142">
        <f>'交易流水'!B102</f>
        <v/>
      </c>
      <c r="C142">
        <f>'交易流水'!X102</f>
        <v/>
      </c>
      <c r="D142">
        <f>IF(ISNUMBER(SEARCH("深港",C142)),"深港",IF(ISNUMBER(SEARCH("场内",C142)),"场内","其他"))</f>
        <v/>
      </c>
      <c r="E142">
        <f>'交易流水'!F102</f>
        <v/>
      </c>
      <c r="F142">
        <f>'交易流水'!G102</f>
        <v/>
      </c>
      <c r="G142">
        <f>'交易流水'!H102</f>
        <v/>
      </c>
      <c r="H142">
        <f>'交易流水'!K102</f>
        <v/>
      </c>
      <c r="I142">
        <f>'交易流水'!P102</f>
        <v/>
      </c>
      <c r="J142">
        <f>'交易流水'!L102</f>
        <v/>
      </c>
      <c r="K142">
        <f>'交易流水'!AR102</f>
        <v/>
      </c>
      <c r="L142">
        <f>IF(H142&gt;0,K142/H142,"")</f>
        <v/>
      </c>
      <c r="M142">
        <f>IF(G142="买入",H142,0)</f>
        <v/>
      </c>
      <c r="N142">
        <f>IF(G142="买入",K142,0)</f>
        <v/>
      </c>
      <c r="O142">
        <f>IF(G142="卖出",H142,0)</f>
        <v/>
      </c>
      <c r="P142">
        <f>IF(G142="卖出",K142,0)</f>
        <v/>
      </c>
      <c r="Q142">
        <f>SUMIFS($H$2:H141,$A$2:A141,"流水",$D$2:D141,D142,$E$2:E141,E142,$G$2:G141,"买入")</f>
        <v/>
      </c>
      <c r="R142">
        <f>SUMIFS($K$2:K141,$A$2:A141,"流水",$D$2:D141,D142,$E$2:E141,E142,$G$2:G141,"买入")</f>
        <v/>
      </c>
      <c r="S142">
        <f>IF(Q142&gt;0,R142/Q142,"")</f>
        <v/>
      </c>
      <c r="T142">
        <f>IF(G142="卖出",IF(S142="","",(L142-S142)*H142),0)</f>
        <v/>
      </c>
      <c r="U142" t="n">
        <v>38875.05</v>
      </c>
      <c r="V142">
        <f>IF(AND(J142&gt;0,D142="深港"),K142/J142,"")</f>
        <v/>
      </c>
      <c r="W142">
        <f>IF(G142="卖出","(L142-S142)×H142 = ("&amp;TEXT(L142,"0.######")&amp;"-"&amp;TEXT(S142,"0.######")&amp;")×"&amp;H142,"")</f>
        <v/>
      </c>
      <c r="X142" t="inlineStr">
        <is>
          <t>(L142-L39)×200000=(4.449648-4.255273)×200000=38875.05 → 38875.05</t>
        </is>
      </c>
      <c r="Y142">
        <f>IF(E142="","",IF(D142="深港",TEXT(--E142,"0000")&amp;".HK",IF(--E142&gt;=600000,TEXT(--E142,"000000")&amp;".SH",TEXT(--E142,"000000")&amp;".SZ")))</f>
        <v/>
      </c>
      <c r="Z142">
        <f>IF(Y142="","",IFERROR(INDEX('估值日行情'!$C$3:$C$61,MATCH(Y142,'估值日行情'!$A$3:$A$61,0)),""))</f>
        <v/>
      </c>
      <c r="AA142">
        <f>IF(D142="深港",IFERROR('FX_RATES_TO_CNY_HIST'!$B$3,""),1)</f>
        <v/>
      </c>
      <c r="AB142">
        <f>IF(Z142&lt;&gt;"",Z142*AA142,"")</f>
        <v/>
      </c>
      <c r="AC142">
        <f>SUMIFS($H$2:H142,$D$2:D142,D142,$E$2:E142,E142,$G$2:G142,"买入")-SUMIFS($H$2:H142,$D$2:D142,D142,$E$2:E142,E142,$G$2:G142,"卖出")</f>
        <v/>
      </c>
      <c r="AD142">
        <f>IF(D142="深港",IF(Q142&gt;0,SUMIFS($J$2:J141,$D$2:D141,D142,$E$2:E141,E142,$G$2:G141,"买入")/SUMIFS($H$2:H141,$D$2:D141,D142,$E$2:E141,E142,$G$2:G141,"买入"),""),S142)</f>
        <v/>
      </c>
      <c r="AE142">
        <f>IF(AC142&gt;0,AC142*Z142-AC142*AD142,0)</f>
        <v/>
      </c>
      <c r="AF142">
        <f>IF(AC142&gt;0,IF(D142="深港",AE142*AA142,AE142),0)</f>
        <v/>
      </c>
      <c r="AG142">
        <f>SUMIFS($H$2:H141,$D$2:D141,D142,$E$2:E141,E142,$G$2:G141,"买入")</f>
        <v/>
      </c>
      <c r="AH142">
        <f>SUMIFS($K$2:K141,$D$2:D141,D142,$E$2:E141,E142,$G$2:G141,"买入")</f>
        <v/>
      </c>
      <c r="AI142">
        <f>IF(AG142&gt;0,AH142/AG142,"")</f>
        <v/>
      </c>
      <c r="AJ142">
        <f>IF(G142="卖出",IF(AI142="","",(L142-AI142)*H142),0)</f>
        <v/>
      </c>
      <c r="AK142">
        <f>IF(G142="卖出",AJ142-T142,"")</f>
        <v/>
      </c>
      <c r="AL142">
        <f>IF(G142="卖出","(L142-AI142)×H142 = ("&amp;TEXT(L142,"0.######")&amp;"-"&amp;TEXT(AI142,"0.######")&amp;")×"&amp;H142,"")</f>
        <v/>
      </c>
    </row>
    <row r="143">
      <c r="A143">
        <f>IF('交易流水'!A103&lt;&gt;"","流水","")</f>
        <v/>
      </c>
      <c r="B143">
        <f>'交易流水'!B103</f>
        <v/>
      </c>
      <c r="C143">
        <f>'交易流水'!X103</f>
        <v/>
      </c>
      <c r="D143">
        <f>IF(ISNUMBER(SEARCH("深港",C143)),"深港",IF(ISNUMBER(SEARCH("场内",C143)),"场内","其他"))</f>
        <v/>
      </c>
      <c r="E143">
        <f>'交易流水'!F103</f>
        <v/>
      </c>
      <c r="F143">
        <f>'交易流水'!G103</f>
        <v/>
      </c>
      <c r="G143">
        <f>'交易流水'!H103</f>
        <v/>
      </c>
      <c r="H143">
        <f>'交易流水'!K103</f>
        <v/>
      </c>
      <c r="I143">
        <f>'交易流水'!P103</f>
        <v/>
      </c>
      <c r="J143">
        <f>'交易流水'!L103</f>
        <v/>
      </c>
      <c r="K143">
        <f>'交易流水'!AR103</f>
        <v/>
      </c>
      <c r="L143">
        <f>IF(H143&gt;0,K143/H143,"")</f>
        <v/>
      </c>
      <c r="M143">
        <f>IF(G143="买入",H143,0)</f>
        <v/>
      </c>
      <c r="N143">
        <f>IF(G143="买入",K143,0)</f>
        <v/>
      </c>
      <c r="O143">
        <f>IF(G143="卖出",H143,0)</f>
        <v/>
      </c>
      <c r="P143">
        <f>IF(G143="卖出",K143,0)</f>
        <v/>
      </c>
      <c r="Q143">
        <f>SUMIFS($H$2:H142,$A$2:A142,"流水",$D$2:D142,D143,$E$2:E142,E143,$G$2:G142,"买入")</f>
        <v/>
      </c>
      <c r="R143">
        <f>SUMIFS($K$2:K142,$A$2:A142,"流水",$D$2:D142,D143,$E$2:E142,E143,$G$2:G142,"买入")</f>
        <v/>
      </c>
      <c r="S143">
        <f>IF(Q143&gt;0,R143/Q143,"")</f>
        <v/>
      </c>
      <c r="T143">
        <f>IF(G143="卖出",IF(S143="","",(L143-S143)*H143),0)</f>
        <v/>
      </c>
      <c r="U143" t="n">
        <v>0</v>
      </c>
      <c r="V143">
        <f>IF(AND(J143&gt;0,D143="深港"),K143/J143,"")</f>
        <v/>
      </c>
      <c r="W143">
        <f>IF(G143="卖出","(L143-S143)×H143 = ("&amp;TEXT(L143,"0.######")&amp;"-"&amp;TEXT(S143,"0.######")&amp;")×"&amp;H143,"")</f>
        <v/>
      </c>
      <c r="Y143">
        <f>IF(E143="","",IF(D143="深港",TEXT(--E143,"0000")&amp;".HK",IF(--E143&gt;=600000,TEXT(--E143,"000000")&amp;".SH",TEXT(--E143,"000000")&amp;".SZ")))</f>
        <v/>
      </c>
      <c r="Z143">
        <f>IF(Y143="","",IFERROR(INDEX('估值日行情'!$C$3:$C$61,MATCH(Y143,'估值日行情'!$A$3:$A$61,0)),""))</f>
        <v/>
      </c>
      <c r="AA143">
        <f>IF(D143="深港",IFERROR('FX_RATES_TO_CNY_HIST'!$B$3,""),1)</f>
        <v/>
      </c>
      <c r="AB143">
        <f>IF(Z143&lt;&gt;"",Z143*AA143,"")</f>
        <v/>
      </c>
      <c r="AC143">
        <f>SUMIFS($H$2:H143,$D$2:D143,D143,$E$2:E143,E143,$G$2:G143,"买入")-SUMIFS($H$2:H143,$D$2:D143,D143,$E$2:E143,E143,$G$2:G143,"卖出")</f>
        <v/>
      </c>
      <c r="AD143">
        <f>IF(D143="深港",IF(Q143&gt;0,SUMIFS($J$2:J142,$D$2:D142,D143,$E$2:E142,E143,$G$2:G142,"买入")/SUMIFS($H$2:H142,$D$2:D142,D143,$E$2:E142,E143,$G$2:G142,"买入"),""),S143)</f>
        <v/>
      </c>
      <c r="AE143">
        <f>IF(AC143&gt;0,AC143*Z143-AC143*AD143,0)</f>
        <v/>
      </c>
      <c r="AF143">
        <f>IF(AC143&gt;0,IF(D143="深港",AE143*AA143,AE143),0)</f>
        <v/>
      </c>
      <c r="AG143">
        <f>SUMIFS($H$2:H142,$D$2:D142,D143,$E$2:E142,E143,$G$2:G142,"买入")</f>
        <v/>
      </c>
      <c r="AH143">
        <f>SUMIFS($K$2:K142,$D$2:D142,D143,$E$2:E142,E143,$G$2:G142,"买入")</f>
        <v/>
      </c>
      <c r="AI143">
        <f>IF(AG143&gt;0,AH143/AG143,"")</f>
        <v/>
      </c>
      <c r="AJ143">
        <f>IF(G143="卖出",IF(AI143="","",(L143-AI143)*H143),0)</f>
        <v/>
      </c>
      <c r="AK143">
        <f>IF(G143="卖出",AJ143-T143,"")</f>
        <v/>
      </c>
      <c r="AL143">
        <f>IF(G143="卖出","(L143-AI143)×H143 = ("&amp;TEXT(L143,"0.######")&amp;"-"&amp;TEXT(AI143,"0.######")&amp;")×"&amp;H143,"")</f>
        <v/>
      </c>
    </row>
    <row r="144">
      <c r="A144">
        <f>IF('交易流水'!A104&lt;&gt;"","流水","")</f>
        <v/>
      </c>
      <c r="B144">
        <f>'交易流水'!B104</f>
        <v/>
      </c>
      <c r="C144">
        <f>'交易流水'!X104</f>
        <v/>
      </c>
      <c r="D144">
        <f>IF(ISNUMBER(SEARCH("深港",C144)),"深港",IF(ISNUMBER(SEARCH("场内",C144)),"场内","其他"))</f>
        <v/>
      </c>
      <c r="E144">
        <f>'交易流水'!F104</f>
        <v/>
      </c>
      <c r="F144">
        <f>'交易流水'!G104</f>
        <v/>
      </c>
      <c r="G144">
        <f>'交易流水'!H104</f>
        <v/>
      </c>
      <c r="H144">
        <f>'交易流水'!K104</f>
        <v/>
      </c>
      <c r="I144">
        <f>'交易流水'!P104</f>
        <v/>
      </c>
      <c r="J144">
        <f>'交易流水'!L104</f>
        <v/>
      </c>
      <c r="K144">
        <f>'交易流水'!AR104</f>
        <v/>
      </c>
      <c r="L144">
        <f>IF(H144&gt;0,K144/H144,"")</f>
        <v/>
      </c>
      <c r="M144">
        <f>IF(G144="买入",H144,0)</f>
        <v/>
      </c>
      <c r="N144">
        <f>IF(G144="买入",K144,0)</f>
        <v/>
      </c>
      <c r="O144">
        <f>IF(G144="卖出",H144,0)</f>
        <v/>
      </c>
      <c r="P144">
        <f>IF(G144="卖出",K144,0)</f>
        <v/>
      </c>
      <c r="Q144">
        <f>SUMIFS($H$2:H143,$A$2:A143,"流水",$D$2:D143,D144,$E$2:E143,E144,$G$2:G143,"买入")</f>
        <v/>
      </c>
      <c r="R144">
        <f>SUMIFS($K$2:K143,$A$2:A143,"流水",$D$2:D143,D144,$E$2:E143,E144,$G$2:G143,"买入")</f>
        <v/>
      </c>
      <c r="S144">
        <f>IF(Q144&gt;0,R144/Q144,"")</f>
        <v/>
      </c>
      <c r="T144">
        <f>IF(G144="卖出",IF(S144="","",(L144-S144)*H144),0)</f>
        <v/>
      </c>
      <c r="U144" t="n">
        <v>0</v>
      </c>
      <c r="V144">
        <f>IF(AND(J144&gt;0,D144="深港"),K144/J144,"")</f>
        <v/>
      </c>
      <c r="W144">
        <f>IF(G144="卖出","(L144-S144)×H144 = ("&amp;TEXT(L144,"0.######")&amp;"-"&amp;TEXT(S144,"0.######")&amp;")×"&amp;H144,"")</f>
        <v/>
      </c>
      <c r="Y144">
        <f>IF(E144="","",IF(D144="深港",TEXT(--E144,"0000")&amp;".HK",IF(--E144&gt;=600000,TEXT(--E144,"000000")&amp;".SH",TEXT(--E144,"000000")&amp;".SZ")))</f>
        <v/>
      </c>
      <c r="Z144">
        <f>IF(Y144="","",IFERROR(INDEX('估值日行情'!$C$3:$C$61,MATCH(Y144,'估值日行情'!$A$3:$A$61,0)),""))</f>
        <v/>
      </c>
      <c r="AA144">
        <f>IF(D144="深港",IFERROR('FX_RATES_TO_CNY_HIST'!$B$3,""),1)</f>
        <v/>
      </c>
      <c r="AB144">
        <f>IF(Z144&lt;&gt;"",Z144*AA144,"")</f>
        <v/>
      </c>
      <c r="AC144">
        <f>SUMIFS($H$2:H144,$D$2:D144,D144,$E$2:E144,E144,$G$2:G144,"买入")-SUMIFS($H$2:H144,$D$2:D144,D144,$E$2:E144,E144,$G$2:G144,"卖出")</f>
        <v/>
      </c>
      <c r="AD144">
        <f>IF(D144="深港",IF(Q144&gt;0,SUMIFS($J$2:J143,$D$2:D143,D144,$E$2:E143,E144,$G$2:G143,"买入")/SUMIFS($H$2:H143,$D$2:D143,D144,$E$2:E143,E144,$G$2:G143,"买入"),""),S144)</f>
        <v/>
      </c>
      <c r="AE144">
        <f>IF(AC144&gt;0,AC144*Z144-AC144*AD144,0)</f>
        <v/>
      </c>
      <c r="AF144">
        <f>IF(AC144&gt;0,IF(D144="深港",AE144*AA144,AE144),0)</f>
        <v/>
      </c>
      <c r="AG144">
        <f>SUMIFS($H$2:H143,$D$2:D143,D144,$E$2:E143,E144,$G$2:G143,"买入")</f>
        <v/>
      </c>
      <c r="AH144">
        <f>SUMIFS($K$2:K143,$D$2:D143,D144,$E$2:E143,E144,$G$2:G143,"买入")</f>
        <v/>
      </c>
      <c r="AI144">
        <f>IF(AG144&gt;0,AH144/AG144,"")</f>
        <v/>
      </c>
      <c r="AJ144">
        <f>IF(G144="卖出",IF(AI144="","",(L144-AI144)*H144),0)</f>
        <v/>
      </c>
      <c r="AK144">
        <f>IF(G144="卖出",AJ144-T144,"")</f>
        <v/>
      </c>
      <c r="AL144">
        <f>IF(G144="卖出","(L144-AI144)×H144 = ("&amp;TEXT(L144,"0.######")&amp;"-"&amp;TEXT(AI144,"0.######")&amp;")×"&amp;H144,"")</f>
        <v/>
      </c>
    </row>
    <row r="145">
      <c r="A145">
        <f>IF('交易流水'!A105&lt;&gt;"","流水","")</f>
        <v/>
      </c>
      <c r="B145">
        <f>'交易流水'!B105</f>
        <v/>
      </c>
      <c r="C145">
        <f>'交易流水'!X105</f>
        <v/>
      </c>
      <c r="D145">
        <f>IF(ISNUMBER(SEARCH("深港",C145)),"深港",IF(ISNUMBER(SEARCH("场内",C145)),"场内","其他"))</f>
        <v/>
      </c>
      <c r="E145">
        <f>'交易流水'!F105</f>
        <v/>
      </c>
      <c r="F145">
        <f>'交易流水'!G105</f>
        <v/>
      </c>
      <c r="G145">
        <f>'交易流水'!H105</f>
        <v/>
      </c>
      <c r="H145">
        <f>'交易流水'!K105</f>
        <v/>
      </c>
      <c r="I145">
        <f>'交易流水'!P105</f>
        <v/>
      </c>
      <c r="J145">
        <f>'交易流水'!L105</f>
        <v/>
      </c>
      <c r="K145">
        <f>'交易流水'!AR105</f>
        <v/>
      </c>
      <c r="L145">
        <f>IF(H145&gt;0,K145/H145,"")</f>
        <v/>
      </c>
      <c r="M145">
        <f>IF(G145="买入",H145,0)</f>
        <v/>
      </c>
      <c r="N145">
        <f>IF(G145="买入",K145,0)</f>
        <v/>
      </c>
      <c r="O145">
        <f>IF(G145="卖出",H145,0)</f>
        <v/>
      </c>
      <c r="P145">
        <f>IF(G145="卖出",K145,0)</f>
        <v/>
      </c>
      <c r="Q145">
        <f>SUMIFS($H$2:H144,$A$2:A144,"流水",$D$2:D144,D145,$E$2:E144,E145,$G$2:G144,"买入")</f>
        <v/>
      </c>
      <c r="R145">
        <f>SUMIFS($K$2:K144,$A$2:A144,"流水",$D$2:D144,D145,$E$2:E144,E145,$G$2:G144,"买入")</f>
        <v/>
      </c>
      <c r="S145">
        <f>IF(Q145&gt;0,R145/Q145,"")</f>
        <v/>
      </c>
      <c r="T145">
        <f>IF(G145="卖出",IF(S145="","",(L145-S145)*H145),0)</f>
        <v/>
      </c>
      <c r="U145" t="n">
        <v>-55280</v>
      </c>
      <c r="V145">
        <f>IF(AND(J145&gt;0,D145="深港"),K145/J145,"")</f>
        <v/>
      </c>
      <c r="W145">
        <f>IF(G145="卖出","(L145-S145)×H145 = ("&amp;TEXT(L145,"0.######")&amp;"-"&amp;TEXT(S145,"0.######")&amp;")×"&amp;H145,"")</f>
        <v/>
      </c>
      <c r="X145" t="inlineStr">
        <is>
          <t>(L145-L92)×2000=(5.670000-5.890000)×2000=-440.00 + (L145-L98)×88000=(5.670000-5.909091)×88000=-21040.00 + (L145-L107)×110000=(5.670000-5.977273)×110000=-33800.00 → -55280.0</t>
        </is>
      </c>
      <c r="Y145">
        <f>IF(E145="","",IF(D145="深港",TEXT(--E145,"0000")&amp;".HK",IF(--E145&gt;=600000,TEXT(--E145,"000000")&amp;".SH",TEXT(--E145,"000000")&amp;".SZ")))</f>
        <v/>
      </c>
      <c r="Z145">
        <f>IF(Y145="","",IFERROR(INDEX('估值日行情'!$C$3:$C$61,MATCH(Y145,'估值日行情'!$A$3:$A$61,0)),""))</f>
        <v/>
      </c>
      <c r="AA145">
        <f>IF(D145="深港",IFERROR('FX_RATES_TO_CNY_HIST'!$B$3,""),1)</f>
        <v/>
      </c>
      <c r="AB145">
        <f>IF(Z145&lt;&gt;"",Z145*AA145,"")</f>
        <v/>
      </c>
      <c r="AC145">
        <f>SUMIFS($H$2:H145,$D$2:D145,D145,$E$2:E145,E145,$G$2:G145,"买入")-SUMIFS($H$2:H145,$D$2:D145,D145,$E$2:E145,E145,$G$2:G145,"卖出")</f>
        <v/>
      </c>
      <c r="AD145">
        <f>IF(D145="深港",IF(Q145&gt;0,SUMIFS($J$2:J144,$D$2:D144,D145,$E$2:E144,E145,$G$2:G144,"买入")/SUMIFS($H$2:H144,$D$2:D144,D145,$E$2:E144,E145,$G$2:G144,"买入"),""),S145)</f>
        <v/>
      </c>
      <c r="AE145">
        <f>IF(AC145&gt;0,AC145*Z145-AC145*AD145,0)</f>
        <v/>
      </c>
      <c r="AF145">
        <f>IF(AC145&gt;0,IF(D145="深港",AE145*AA145,AE145),0)</f>
        <v/>
      </c>
      <c r="AG145">
        <f>SUMIFS($H$2:H144,$D$2:D144,D145,$E$2:E144,E145,$G$2:G144,"买入")</f>
        <v/>
      </c>
      <c r="AH145">
        <f>SUMIFS($K$2:K144,$D$2:D144,D145,$E$2:E144,E145,$G$2:G144,"买入")</f>
        <v/>
      </c>
      <c r="AI145">
        <f>IF(AG145&gt;0,AH145/AG145,"")</f>
        <v/>
      </c>
      <c r="AJ145">
        <f>IF(G145="卖出",IF(AI145="","",(L145-AI145)*H145),0)</f>
        <v/>
      </c>
      <c r="AK145">
        <f>IF(G145="卖出",AJ145-T145,"")</f>
        <v/>
      </c>
      <c r="AL145">
        <f>IF(G145="卖出","(L145-AI145)×H145 = ("&amp;TEXT(L145,"0.######")&amp;"-"&amp;TEXT(AI145,"0.######")&amp;")×"&amp;H145,"")</f>
        <v/>
      </c>
    </row>
    <row r="146">
      <c r="A146">
        <f>IF('交易流水'!A106&lt;&gt;"","流水","")</f>
        <v/>
      </c>
      <c r="B146">
        <f>'交易流水'!B106</f>
        <v/>
      </c>
      <c r="C146">
        <f>'交易流水'!X106</f>
        <v/>
      </c>
      <c r="D146">
        <f>IF(ISNUMBER(SEARCH("深港",C146)),"深港",IF(ISNUMBER(SEARCH("场内",C146)),"场内","其他"))</f>
        <v/>
      </c>
      <c r="E146">
        <f>'交易流水'!F106</f>
        <v/>
      </c>
      <c r="F146">
        <f>'交易流水'!G106</f>
        <v/>
      </c>
      <c r="G146">
        <f>'交易流水'!H106</f>
        <v/>
      </c>
      <c r="H146">
        <f>'交易流水'!K106</f>
        <v/>
      </c>
      <c r="I146">
        <f>'交易流水'!P106</f>
        <v/>
      </c>
      <c r="J146">
        <f>'交易流水'!L106</f>
        <v/>
      </c>
      <c r="K146">
        <f>'交易流水'!AR106</f>
        <v/>
      </c>
      <c r="L146">
        <f>IF(H146&gt;0,K146/H146,"")</f>
        <v/>
      </c>
      <c r="M146">
        <f>IF(G146="买入",H146,0)</f>
        <v/>
      </c>
      <c r="N146">
        <f>IF(G146="买入",K146,0)</f>
        <v/>
      </c>
      <c r="O146">
        <f>IF(G146="卖出",H146,0)</f>
        <v/>
      </c>
      <c r="P146">
        <f>IF(G146="卖出",K146,0)</f>
        <v/>
      </c>
      <c r="Q146">
        <f>SUMIFS($H$2:H145,$A$2:A145,"流水",$D$2:D145,D146,$E$2:E145,E146,$G$2:G145,"买入")</f>
        <v/>
      </c>
      <c r="R146">
        <f>SUMIFS($K$2:K145,$A$2:A145,"流水",$D$2:D145,D146,$E$2:E145,E146,$G$2:G145,"买入")</f>
        <v/>
      </c>
      <c r="S146">
        <f>IF(Q146&gt;0,R146/Q146,"")</f>
        <v/>
      </c>
      <c r="T146">
        <f>IF(G146="卖出",IF(S146="","",(L146-S146)*H146),0)</f>
        <v/>
      </c>
      <c r="U146" t="n">
        <v>74700</v>
      </c>
      <c r="V146">
        <f>IF(AND(J146&gt;0,D146="深港"),K146/J146,"")</f>
        <v/>
      </c>
      <c r="W146">
        <f>IF(G146="卖出","(L146-S146)×H146 = ("&amp;TEXT(L146,"0.######")&amp;"-"&amp;TEXT(S146,"0.######")&amp;")×"&amp;H146,"")</f>
        <v/>
      </c>
      <c r="X146" t="inlineStr">
        <is>
          <t>(L146-L65)×150000=(10.880000-10.480000)×150000=60000.00 + (L146-L72)×30000=(10.880000-10.390000)×30000=14700.00 → 74700.0</t>
        </is>
      </c>
      <c r="Y146">
        <f>IF(E146="","",IF(D146="深港",TEXT(--E146,"0000")&amp;".HK",IF(--E146&gt;=600000,TEXT(--E146,"000000")&amp;".SH",TEXT(--E146,"000000")&amp;".SZ")))</f>
        <v/>
      </c>
      <c r="Z146">
        <f>IF(Y146="","",IFERROR(INDEX('估值日行情'!$C$3:$C$61,MATCH(Y146,'估值日行情'!$A$3:$A$61,0)),""))</f>
        <v/>
      </c>
      <c r="AA146">
        <f>IF(D146="深港",IFERROR('FX_RATES_TO_CNY_HIST'!$B$3,""),1)</f>
        <v/>
      </c>
      <c r="AB146">
        <f>IF(Z146&lt;&gt;"",Z146*AA146,"")</f>
        <v/>
      </c>
      <c r="AC146">
        <f>SUMIFS($H$2:H146,$D$2:D146,D146,$E$2:E146,E146,$G$2:G146,"买入")-SUMIFS($H$2:H146,$D$2:D146,D146,$E$2:E146,E146,$G$2:G146,"卖出")</f>
        <v/>
      </c>
      <c r="AD146">
        <f>IF(D146="深港",IF(Q146&gt;0,SUMIFS($J$2:J145,$D$2:D145,D146,$E$2:E145,E146,$G$2:G145,"买入")/SUMIFS($H$2:H145,$D$2:D145,D146,$E$2:E145,E146,$G$2:G145,"买入"),""),S146)</f>
        <v/>
      </c>
      <c r="AE146">
        <f>IF(AC146&gt;0,AC146*Z146-AC146*AD146,0)</f>
        <v/>
      </c>
      <c r="AF146">
        <f>IF(AC146&gt;0,IF(D146="深港",AE146*AA146,AE146),0)</f>
        <v/>
      </c>
      <c r="AG146">
        <f>SUMIFS($H$2:H145,$D$2:D145,D146,$E$2:E145,E146,$G$2:G145,"买入")</f>
        <v/>
      </c>
      <c r="AH146">
        <f>SUMIFS($K$2:K145,$D$2:D145,D146,$E$2:E145,E146,$G$2:G145,"买入")</f>
        <v/>
      </c>
      <c r="AI146">
        <f>IF(AG146&gt;0,AH146/AG146,"")</f>
        <v/>
      </c>
      <c r="AJ146">
        <f>IF(G146="卖出",IF(AI146="","",(L146-AI146)*H146),0)</f>
        <v/>
      </c>
      <c r="AK146">
        <f>IF(G146="卖出",AJ146-T146,"")</f>
        <v/>
      </c>
      <c r="AL146">
        <f>IF(G146="卖出","(L146-AI146)×H146 = ("&amp;TEXT(L146,"0.######")&amp;"-"&amp;TEXT(AI146,"0.######")&amp;")×"&amp;H146,"")</f>
        <v/>
      </c>
    </row>
    <row r="147">
      <c r="A147">
        <f>IF('交易流水'!A107&lt;&gt;"","流水","")</f>
        <v/>
      </c>
      <c r="B147">
        <f>'交易流水'!B107</f>
        <v/>
      </c>
      <c r="C147">
        <f>'交易流水'!X107</f>
        <v/>
      </c>
      <c r="D147">
        <f>IF(ISNUMBER(SEARCH("深港",C147)),"深港",IF(ISNUMBER(SEARCH("场内",C147)),"场内","其他"))</f>
        <v/>
      </c>
      <c r="E147">
        <f>'交易流水'!F107</f>
        <v/>
      </c>
      <c r="F147">
        <f>'交易流水'!G107</f>
        <v/>
      </c>
      <c r="G147">
        <f>'交易流水'!H107</f>
        <v/>
      </c>
      <c r="H147">
        <f>'交易流水'!K107</f>
        <v/>
      </c>
      <c r="I147">
        <f>'交易流水'!P107</f>
        <v/>
      </c>
      <c r="J147">
        <f>'交易流水'!L107</f>
        <v/>
      </c>
      <c r="K147">
        <f>'交易流水'!AR107</f>
        <v/>
      </c>
      <c r="L147">
        <f>IF(H147&gt;0,K147/H147,"")</f>
        <v/>
      </c>
      <c r="M147">
        <f>IF(G147="买入",H147,0)</f>
        <v/>
      </c>
      <c r="N147">
        <f>IF(G147="买入",K147,0)</f>
        <v/>
      </c>
      <c r="O147">
        <f>IF(G147="卖出",H147,0)</f>
        <v/>
      </c>
      <c r="P147">
        <f>IF(G147="卖出",K147,0)</f>
        <v/>
      </c>
      <c r="Q147">
        <f>SUMIFS($H$2:H146,$A$2:A146,"流水",$D$2:D146,D147,$E$2:E146,E147,$G$2:G146,"买入")</f>
        <v/>
      </c>
      <c r="R147">
        <f>SUMIFS($K$2:K146,$A$2:A146,"流水",$D$2:D146,D147,$E$2:E146,E147,$G$2:G146,"买入")</f>
        <v/>
      </c>
      <c r="S147">
        <f>IF(Q147&gt;0,R147/Q147,"")</f>
        <v/>
      </c>
      <c r="T147">
        <f>IF(G147="卖出",IF(S147="","",(L147-S147)*H147),0)</f>
        <v/>
      </c>
      <c r="U147" t="n">
        <v>-39600</v>
      </c>
      <c r="V147">
        <f>IF(AND(J147&gt;0,D147="深港"),K147/J147,"")</f>
        <v/>
      </c>
      <c r="W147">
        <f>IF(G147="卖出","(L147-S147)×H147 = ("&amp;TEXT(L147,"0.######")&amp;"-"&amp;TEXT(S147,"0.######")&amp;")×"&amp;H147,"")</f>
        <v/>
      </c>
      <c r="X147" t="inlineStr">
        <is>
          <t>(L147-L93)×2000=(9.450000-9.770000)×2000=-640.00 + (L147-L99)×50000=(9.450000-9.730000)×50000=-14000.00 + (L147-L108)×48000=(9.450000-9.970000)×48000=-24960.00 → -39600.0</t>
        </is>
      </c>
      <c r="Y147">
        <f>IF(E147="","",IF(D147="深港",TEXT(--E147,"0000")&amp;".HK",IF(--E147&gt;=600000,TEXT(--E147,"000000")&amp;".SH",TEXT(--E147,"000000")&amp;".SZ")))</f>
        <v/>
      </c>
      <c r="Z147">
        <f>IF(Y147="","",IFERROR(INDEX('估值日行情'!$C$3:$C$61,MATCH(Y147,'估值日行情'!$A$3:$A$61,0)),""))</f>
        <v/>
      </c>
      <c r="AA147">
        <f>IF(D147="深港",IFERROR('FX_RATES_TO_CNY_HIST'!$B$3,""),1)</f>
        <v/>
      </c>
      <c r="AB147">
        <f>IF(Z147&lt;&gt;"",Z147*AA147,"")</f>
        <v/>
      </c>
      <c r="AC147">
        <f>SUMIFS($H$2:H147,$D$2:D147,D147,$E$2:E147,E147,$G$2:G147,"买入")-SUMIFS($H$2:H147,$D$2:D147,D147,$E$2:E147,E147,$G$2:G147,"卖出")</f>
        <v/>
      </c>
      <c r="AD147">
        <f>IF(D147="深港",IF(Q147&gt;0,SUMIFS($J$2:J146,$D$2:D146,D147,$E$2:E146,E147,$G$2:G146,"买入")/SUMIFS($H$2:H146,$D$2:D146,D147,$E$2:E146,E147,$G$2:G146,"买入"),""),S147)</f>
        <v/>
      </c>
      <c r="AE147">
        <f>IF(AC147&gt;0,AC147*Z147-AC147*AD147,0)</f>
        <v/>
      </c>
      <c r="AF147">
        <f>IF(AC147&gt;0,IF(D147="深港",AE147*AA147,AE147),0)</f>
        <v/>
      </c>
      <c r="AG147">
        <f>SUMIFS($H$2:H146,$D$2:D146,D147,$E$2:E146,E147,$G$2:G146,"买入")</f>
        <v/>
      </c>
      <c r="AH147">
        <f>SUMIFS($K$2:K146,$D$2:D146,D147,$E$2:E146,E147,$G$2:G146,"买入")</f>
        <v/>
      </c>
      <c r="AI147">
        <f>IF(AG147&gt;0,AH147/AG147,"")</f>
        <v/>
      </c>
      <c r="AJ147">
        <f>IF(G147="卖出",IF(AI147="","",(L147-AI147)*H147),0)</f>
        <v/>
      </c>
      <c r="AK147">
        <f>IF(G147="卖出",AJ147-T147,"")</f>
        <v/>
      </c>
      <c r="AL147">
        <f>IF(G147="卖出","(L147-AI147)×H147 = ("&amp;TEXT(L147,"0.######")&amp;"-"&amp;TEXT(AI147,"0.######")&amp;")×"&amp;H147,"")</f>
        <v/>
      </c>
    </row>
    <row r="148">
      <c r="A148">
        <f>IF('交易流水'!A108&lt;&gt;"","流水","")</f>
        <v/>
      </c>
      <c r="B148">
        <f>'交易流水'!B108</f>
        <v/>
      </c>
      <c r="C148">
        <f>'交易流水'!X108</f>
        <v/>
      </c>
      <c r="D148">
        <f>IF(ISNUMBER(SEARCH("深港",C148)),"深港",IF(ISNUMBER(SEARCH("场内",C148)),"场内","其他"))</f>
        <v/>
      </c>
      <c r="E148">
        <f>'交易流水'!F108</f>
        <v/>
      </c>
      <c r="F148">
        <f>'交易流水'!G108</f>
        <v/>
      </c>
      <c r="G148">
        <f>'交易流水'!H108</f>
        <v/>
      </c>
      <c r="H148">
        <f>'交易流水'!K108</f>
        <v/>
      </c>
      <c r="I148">
        <f>'交易流水'!P108</f>
        <v/>
      </c>
      <c r="J148">
        <f>'交易流水'!L108</f>
        <v/>
      </c>
      <c r="K148">
        <f>'交易流水'!AR108</f>
        <v/>
      </c>
      <c r="L148">
        <f>IF(H148&gt;0,K148/H148,"")</f>
        <v/>
      </c>
      <c r="M148">
        <f>IF(G148="买入",H148,0)</f>
        <v/>
      </c>
      <c r="N148">
        <f>IF(G148="买入",K148,0)</f>
        <v/>
      </c>
      <c r="O148">
        <f>IF(G148="卖出",H148,0)</f>
        <v/>
      </c>
      <c r="P148">
        <f>IF(G148="卖出",K148,0)</f>
        <v/>
      </c>
      <c r="Q148">
        <f>SUMIFS($H$2:H147,$A$2:A147,"流水",$D$2:D147,D148,$E$2:E147,E148,$G$2:G147,"买入")</f>
        <v/>
      </c>
      <c r="R148">
        <f>SUMIFS($K$2:K147,$A$2:A147,"流水",$D$2:D147,D148,$E$2:E147,E148,$G$2:G147,"买入")</f>
        <v/>
      </c>
      <c r="S148">
        <f>IF(Q148&gt;0,R148/Q148,"")</f>
        <v/>
      </c>
      <c r="T148">
        <f>IF(G148="卖出",IF(S148="","",(L148-S148)*H148),0)</f>
        <v/>
      </c>
      <c r="U148" t="n">
        <v>0</v>
      </c>
      <c r="V148">
        <f>IF(AND(J148&gt;0,D148="深港"),K148/J148,"")</f>
        <v/>
      </c>
      <c r="W148">
        <f>IF(G148="卖出","(L148-S148)×H148 = ("&amp;TEXT(L148,"0.######")&amp;"-"&amp;TEXT(S148,"0.######")&amp;")×"&amp;H148,"")</f>
        <v/>
      </c>
      <c r="Y148">
        <f>IF(E148="","",IF(D148="深港",TEXT(--E148,"0000")&amp;".HK",IF(--E148&gt;=600000,TEXT(--E148,"000000")&amp;".SH",TEXT(--E148,"000000")&amp;".SZ")))</f>
        <v/>
      </c>
      <c r="Z148">
        <f>IF(Y148="","",IFERROR(INDEX('估值日行情'!$C$3:$C$61,MATCH(Y148,'估值日行情'!$A$3:$A$61,0)),""))</f>
        <v/>
      </c>
      <c r="AA148">
        <f>IF(D148="深港",IFERROR('FX_RATES_TO_CNY_HIST'!$B$3,""),1)</f>
        <v/>
      </c>
      <c r="AB148">
        <f>IF(Z148&lt;&gt;"",Z148*AA148,"")</f>
        <v/>
      </c>
      <c r="AC148">
        <f>SUMIFS($H$2:H148,$D$2:D148,D148,$E$2:E148,E148,$G$2:G148,"买入")-SUMIFS($H$2:H148,$D$2:D148,D148,$E$2:E148,E148,$G$2:G148,"卖出")</f>
        <v/>
      </c>
      <c r="AD148">
        <f>IF(D148="深港",IF(Q148&gt;0,SUMIFS($J$2:J147,$D$2:D147,D148,$E$2:E147,E148,$G$2:G147,"买入")/SUMIFS($H$2:H147,$D$2:D147,D148,$E$2:E147,E148,$G$2:G147,"买入"),""),S148)</f>
        <v/>
      </c>
      <c r="AE148">
        <f>IF(AC148&gt;0,AC148*Z148-AC148*AD148,0)</f>
        <v/>
      </c>
      <c r="AF148">
        <f>IF(AC148&gt;0,IF(D148="深港",AE148*AA148,AE148),0)</f>
        <v/>
      </c>
      <c r="AG148">
        <f>SUMIFS($H$2:H147,$D$2:D147,D148,$E$2:E147,E148,$G$2:G147,"买入")</f>
        <v/>
      </c>
      <c r="AH148">
        <f>SUMIFS($K$2:K147,$D$2:D147,D148,$E$2:E147,E148,$G$2:G147,"买入")</f>
        <v/>
      </c>
      <c r="AI148">
        <f>IF(AG148&gt;0,AH148/AG148,"")</f>
        <v/>
      </c>
      <c r="AJ148">
        <f>IF(G148="卖出",IF(AI148="","",(L148-AI148)*H148),0)</f>
        <v/>
      </c>
      <c r="AK148">
        <f>IF(G148="卖出",AJ148-T148,"")</f>
        <v/>
      </c>
      <c r="AL148">
        <f>IF(G148="卖出","(L148-AI148)×H148 = ("&amp;TEXT(L148,"0.######")&amp;"-"&amp;TEXT(AI148,"0.######")&amp;")×"&amp;H148,"")</f>
        <v/>
      </c>
    </row>
    <row r="149">
      <c r="A149">
        <f>IF('交易流水'!A109&lt;&gt;"","流水","")</f>
        <v/>
      </c>
      <c r="B149">
        <f>'交易流水'!B109</f>
        <v/>
      </c>
      <c r="C149">
        <f>'交易流水'!X109</f>
        <v/>
      </c>
      <c r="D149">
        <f>IF(ISNUMBER(SEARCH("深港",C149)),"深港",IF(ISNUMBER(SEARCH("场内",C149)),"场内","其他"))</f>
        <v/>
      </c>
      <c r="E149">
        <f>'交易流水'!F109</f>
        <v/>
      </c>
      <c r="F149">
        <f>'交易流水'!G109</f>
        <v/>
      </c>
      <c r="G149">
        <f>'交易流水'!H109</f>
        <v/>
      </c>
      <c r="H149">
        <f>'交易流水'!K109</f>
        <v/>
      </c>
      <c r="I149">
        <f>'交易流水'!P109</f>
        <v/>
      </c>
      <c r="J149">
        <f>'交易流水'!L109</f>
        <v/>
      </c>
      <c r="K149">
        <f>'交易流水'!AR109</f>
        <v/>
      </c>
      <c r="L149">
        <f>IF(H149&gt;0,K149/H149,"")</f>
        <v/>
      </c>
      <c r="M149">
        <f>IF(G149="买入",H149,0)</f>
        <v/>
      </c>
      <c r="N149">
        <f>IF(G149="买入",K149,0)</f>
        <v/>
      </c>
      <c r="O149">
        <f>IF(G149="卖出",H149,0)</f>
        <v/>
      </c>
      <c r="P149">
        <f>IF(G149="卖出",K149,0)</f>
        <v/>
      </c>
      <c r="Q149">
        <f>SUMIFS($H$2:H148,$A$2:A148,"流水",$D$2:D148,D149,$E$2:E148,E149,$G$2:G148,"买入")</f>
        <v/>
      </c>
      <c r="R149">
        <f>SUMIFS($K$2:K148,$A$2:A148,"流水",$D$2:D148,D149,$E$2:E148,E149,$G$2:G148,"买入")</f>
        <v/>
      </c>
      <c r="S149">
        <f>IF(Q149&gt;0,R149/Q149,"")</f>
        <v/>
      </c>
      <c r="T149">
        <f>IF(G149="卖出",IF(S149="","",(L149-S149)*H149),0)</f>
        <v/>
      </c>
      <c r="U149" t="n">
        <v>-8800</v>
      </c>
      <c r="V149">
        <f>IF(AND(J149&gt;0,D149="深港"),K149/J149,"")</f>
        <v/>
      </c>
      <c r="W149">
        <f>IF(G149="卖出","(L149-S149)×H149 = ("&amp;TEXT(L149,"0.######")&amp;"-"&amp;TEXT(S149,"0.######")&amp;")×"&amp;H149,"")</f>
        <v/>
      </c>
      <c r="X149" t="inlineStr">
        <is>
          <t>(L149-L95)×4000=(4.580000-4.600000)×4000=-80.00 + (L149-L100)×100000=(4.580000-4.600000)×100000=-2000.00 + (L149-L109)×96000=(4.580000-4.650000)×96000=-6720.00 → -8800.0</t>
        </is>
      </c>
      <c r="Y149">
        <f>IF(E149="","",IF(D149="深港",TEXT(--E149,"0000")&amp;".HK",IF(--E149&gt;=600000,TEXT(--E149,"000000")&amp;".SH",TEXT(--E149,"000000")&amp;".SZ")))</f>
        <v/>
      </c>
      <c r="Z149">
        <f>IF(Y149="","",IFERROR(INDEX('估值日行情'!$C$3:$C$61,MATCH(Y149,'估值日行情'!$A$3:$A$61,0)),""))</f>
        <v/>
      </c>
      <c r="AA149">
        <f>IF(D149="深港",IFERROR('FX_RATES_TO_CNY_HIST'!$B$3,""),1)</f>
        <v/>
      </c>
      <c r="AB149">
        <f>IF(Z149&lt;&gt;"",Z149*AA149,"")</f>
        <v/>
      </c>
      <c r="AC149">
        <f>SUMIFS($H$2:H149,$D$2:D149,D149,$E$2:E149,E149,$G$2:G149,"买入")-SUMIFS($H$2:H149,$D$2:D149,D149,$E$2:E149,E149,$G$2:G149,"卖出")</f>
        <v/>
      </c>
      <c r="AD149">
        <f>IF(D149="深港",IF(Q149&gt;0,SUMIFS($J$2:J148,$D$2:D148,D149,$E$2:E148,E149,$G$2:G148,"买入")/SUMIFS($H$2:H148,$D$2:D148,D149,$E$2:E148,E149,$G$2:G148,"买入"),""),S149)</f>
        <v/>
      </c>
      <c r="AE149">
        <f>IF(AC149&gt;0,AC149*Z149-AC149*AD149,0)</f>
        <v/>
      </c>
      <c r="AF149">
        <f>IF(AC149&gt;0,IF(D149="深港",AE149*AA149,AE149),0)</f>
        <v/>
      </c>
      <c r="AG149">
        <f>SUMIFS($H$2:H148,$D$2:D148,D149,$E$2:E148,E149,$G$2:G148,"买入")</f>
        <v/>
      </c>
      <c r="AH149">
        <f>SUMIFS($K$2:K148,$D$2:D148,D149,$E$2:E148,E149,$G$2:G148,"买入")</f>
        <v/>
      </c>
      <c r="AI149">
        <f>IF(AG149&gt;0,AH149/AG149,"")</f>
        <v/>
      </c>
      <c r="AJ149">
        <f>IF(G149="卖出",IF(AI149="","",(L149-AI149)*H149),0)</f>
        <v/>
      </c>
      <c r="AK149">
        <f>IF(G149="卖出",AJ149-T149,"")</f>
        <v/>
      </c>
      <c r="AL149">
        <f>IF(G149="卖出","(L149-AI149)×H149 = ("&amp;TEXT(L149,"0.######")&amp;"-"&amp;TEXT(AI149,"0.######")&amp;")×"&amp;H149,"")</f>
        <v/>
      </c>
    </row>
    <row r="150">
      <c r="A150">
        <f>IF('交易流水'!A110&lt;&gt;"","流水","")</f>
        <v/>
      </c>
      <c r="B150">
        <f>'交易流水'!B110</f>
        <v/>
      </c>
      <c r="C150">
        <f>'交易流水'!X110</f>
        <v/>
      </c>
      <c r="D150">
        <f>IF(ISNUMBER(SEARCH("深港",C150)),"深港",IF(ISNUMBER(SEARCH("场内",C150)),"场内","其他"))</f>
        <v/>
      </c>
      <c r="E150">
        <f>'交易流水'!F110</f>
        <v/>
      </c>
      <c r="F150">
        <f>'交易流水'!G110</f>
        <v/>
      </c>
      <c r="G150">
        <f>'交易流水'!H110</f>
        <v/>
      </c>
      <c r="H150">
        <f>'交易流水'!K110</f>
        <v/>
      </c>
      <c r="I150">
        <f>'交易流水'!P110</f>
        <v/>
      </c>
      <c r="J150">
        <f>'交易流水'!L110</f>
        <v/>
      </c>
      <c r="K150">
        <f>'交易流水'!AR110</f>
        <v/>
      </c>
      <c r="L150">
        <f>IF(H150&gt;0,K150/H150,"")</f>
        <v/>
      </c>
      <c r="M150">
        <f>IF(G150="买入",H150,0)</f>
        <v/>
      </c>
      <c r="N150">
        <f>IF(G150="买入",K150,0)</f>
        <v/>
      </c>
      <c r="O150">
        <f>IF(G150="卖出",H150,0)</f>
        <v/>
      </c>
      <c r="P150">
        <f>IF(G150="卖出",K150,0)</f>
        <v/>
      </c>
      <c r="Q150">
        <f>SUMIFS($H$2:H149,$A$2:A149,"流水",$D$2:D149,D150,$E$2:E149,E150,$G$2:G149,"买入")</f>
        <v/>
      </c>
      <c r="R150">
        <f>SUMIFS($K$2:K149,$A$2:A149,"流水",$D$2:D149,D150,$E$2:E149,E150,$G$2:G149,"买入")</f>
        <v/>
      </c>
      <c r="S150">
        <f>IF(Q150&gt;0,R150/Q150,"")</f>
        <v/>
      </c>
      <c r="T150">
        <f>IF(G150="卖出",IF(S150="","",(L150-S150)*H150),0)</f>
        <v/>
      </c>
      <c r="U150" t="n">
        <v>-18800</v>
      </c>
      <c r="V150">
        <f>IF(AND(J150&gt;0,D150="深港"),K150/J150,"")</f>
        <v/>
      </c>
      <c r="W150">
        <f>IF(G150="卖出","(L150-S150)×H150 = ("&amp;TEXT(L150,"0.######")&amp;"-"&amp;TEXT(S150,"0.######")&amp;")×"&amp;H150,"")</f>
        <v/>
      </c>
      <c r="X150" t="inlineStr">
        <is>
          <t>(L150-L96)×4000=(4.500000-4.570000)×4000=-280.00 + (L150-L101)×100000=(4.500000-4.570000)×100000=-7000.00 + (L150-L110)×96000=(4.500000-4.620000)×96000=-11520.00 → -18800.0</t>
        </is>
      </c>
      <c r="Y150">
        <f>IF(E150="","",IF(D150="深港",TEXT(--E150,"0000")&amp;".HK",IF(--E150&gt;=600000,TEXT(--E150,"000000")&amp;".SH",TEXT(--E150,"000000")&amp;".SZ")))</f>
        <v/>
      </c>
      <c r="Z150">
        <f>IF(Y150="","",IFERROR(INDEX('估值日行情'!$C$3:$C$61,MATCH(Y150,'估值日行情'!$A$3:$A$61,0)),""))</f>
        <v/>
      </c>
      <c r="AA150">
        <f>IF(D150="深港",IFERROR('FX_RATES_TO_CNY_HIST'!$B$3,""),1)</f>
        <v/>
      </c>
      <c r="AB150">
        <f>IF(Z150&lt;&gt;"",Z150*AA150,"")</f>
        <v/>
      </c>
      <c r="AC150">
        <f>SUMIFS($H$2:H150,$D$2:D150,D150,$E$2:E150,E150,$G$2:G150,"买入")-SUMIFS($H$2:H150,$D$2:D150,D150,$E$2:E150,E150,$G$2:G150,"卖出")</f>
        <v/>
      </c>
      <c r="AD150">
        <f>IF(D150="深港",IF(Q150&gt;0,SUMIFS($J$2:J149,$D$2:D149,D150,$E$2:E149,E150,$G$2:G149,"买入")/SUMIFS($H$2:H149,$D$2:D149,D150,$E$2:E149,E150,$G$2:G149,"买入"),""),S150)</f>
        <v/>
      </c>
      <c r="AE150">
        <f>IF(AC150&gt;0,AC150*Z150-AC150*AD150,0)</f>
        <v/>
      </c>
      <c r="AF150">
        <f>IF(AC150&gt;0,IF(D150="深港",AE150*AA150,AE150),0)</f>
        <v/>
      </c>
      <c r="AG150">
        <f>SUMIFS($H$2:H149,$D$2:D149,D150,$E$2:E149,E150,$G$2:G149,"买入")</f>
        <v/>
      </c>
      <c r="AH150">
        <f>SUMIFS($K$2:K149,$D$2:D149,D150,$E$2:E149,E150,$G$2:G149,"买入")</f>
        <v/>
      </c>
      <c r="AI150">
        <f>IF(AG150&gt;0,AH150/AG150,"")</f>
        <v/>
      </c>
      <c r="AJ150">
        <f>IF(G150="卖出",IF(AI150="","",(L150-AI150)*H150),0)</f>
        <v/>
      </c>
      <c r="AK150">
        <f>IF(G150="卖出",AJ150-T150,"")</f>
        <v/>
      </c>
      <c r="AL150">
        <f>IF(G150="卖出","(L150-AI150)×H150 = ("&amp;TEXT(L150,"0.######")&amp;"-"&amp;TEXT(AI150,"0.######")&amp;")×"&amp;H150,"")</f>
        <v/>
      </c>
    </row>
    <row r="151">
      <c r="A151">
        <f>IF('交易流水'!A111&lt;&gt;"","流水","")</f>
        <v/>
      </c>
      <c r="B151">
        <f>'交易流水'!B111</f>
        <v/>
      </c>
      <c r="C151">
        <f>'交易流水'!X111</f>
        <v/>
      </c>
      <c r="D151">
        <f>IF(ISNUMBER(SEARCH("深港",C151)),"深港",IF(ISNUMBER(SEARCH("场内",C151)),"场内","其他"))</f>
        <v/>
      </c>
      <c r="E151">
        <f>'交易流水'!F111</f>
        <v/>
      </c>
      <c r="F151">
        <f>'交易流水'!G111</f>
        <v/>
      </c>
      <c r="G151">
        <f>'交易流水'!H111</f>
        <v/>
      </c>
      <c r="H151">
        <f>'交易流水'!K111</f>
        <v/>
      </c>
      <c r="I151">
        <f>'交易流水'!P111</f>
        <v/>
      </c>
      <c r="J151">
        <f>'交易流水'!L111</f>
        <v/>
      </c>
      <c r="K151">
        <f>'交易流水'!AR111</f>
        <v/>
      </c>
      <c r="L151">
        <f>IF(H151&gt;0,K151/H151,"")</f>
        <v/>
      </c>
      <c r="M151">
        <f>IF(G151="买入",H151,0)</f>
        <v/>
      </c>
      <c r="N151">
        <f>IF(G151="买入",K151,0)</f>
        <v/>
      </c>
      <c r="O151">
        <f>IF(G151="卖出",H151,0)</f>
        <v/>
      </c>
      <c r="P151">
        <f>IF(G151="卖出",K151,0)</f>
        <v/>
      </c>
      <c r="Q151">
        <f>SUMIFS($H$2:H150,$A$2:A150,"流水",$D$2:D150,D151,$E$2:E150,E151,$G$2:G150,"买入")</f>
        <v/>
      </c>
      <c r="R151">
        <f>SUMIFS($K$2:K150,$A$2:A150,"流水",$D$2:D150,D151,$E$2:E150,E151,$G$2:G150,"买入")</f>
        <v/>
      </c>
      <c r="S151">
        <f>IF(Q151&gt;0,R151/Q151,"")</f>
        <v/>
      </c>
      <c r="T151">
        <f>IF(G151="卖出",IF(S151="","",(L151-S151)*H151),0)</f>
        <v/>
      </c>
      <c r="U151" t="n">
        <v>0</v>
      </c>
      <c r="V151">
        <f>IF(AND(J151&gt;0,D151="深港"),K151/J151,"")</f>
        <v/>
      </c>
      <c r="W151">
        <f>IF(G151="卖出","(L151-S151)×H151 = ("&amp;TEXT(L151,"0.######")&amp;"-"&amp;TEXT(S151,"0.######")&amp;")×"&amp;H151,"")</f>
        <v/>
      </c>
      <c r="Y151">
        <f>IF(E151="","",IF(D151="深港",TEXT(--E151,"0000")&amp;".HK",IF(--E151&gt;=600000,TEXT(--E151,"000000")&amp;".SH",TEXT(--E151,"000000")&amp;".SZ")))</f>
        <v/>
      </c>
      <c r="Z151">
        <f>IF(Y151="","",IFERROR(INDEX('估值日行情'!$C$3:$C$61,MATCH(Y151,'估值日行情'!$A$3:$A$61,0)),""))</f>
        <v/>
      </c>
      <c r="AA151">
        <f>IF(D151="深港",IFERROR('FX_RATES_TO_CNY_HIST'!$B$3,""),1)</f>
        <v/>
      </c>
      <c r="AB151">
        <f>IF(Z151&lt;&gt;"",Z151*AA151,"")</f>
        <v/>
      </c>
      <c r="AC151">
        <f>SUMIFS($H$2:H151,$D$2:D151,D151,$E$2:E151,E151,$G$2:G151,"买入")-SUMIFS($H$2:H151,$D$2:D151,D151,$E$2:E151,E151,$G$2:G151,"卖出")</f>
        <v/>
      </c>
      <c r="AD151">
        <f>IF(D151="深港",IF(Q151&gt;0,SUMIFS($J$2:J150,$D$2:D150,D151,$E$2:E150,E151,$G$2:G150,"买入")/SUMIFS($H$2:H150,$D$2:D150,D151,$E$2:E150,E151,$G$2:G150,"买入"),""),S151)</f>
        <v/>
      </c>
      <c r="AE151">
        <f>IF(AC151&gt;0,AC151*Z151-AC151*AD151,0)</f>
        <v/>
      </c>
      <c r="AF151">
        <f>IF(AC151&gt;0,IF(D151="深港",AE151*AA151,AE151),0)</f>
        <v/>
      </c>
      <c r="AG151">
        <f>SUMIFS($H$2:H150,$D$2:D150,D151,$E$2:E150,E151,$G$2:G150,"买入")</f>
        <v/>
      </c>
      <c r="AH151">
        <f>SUMIFS($K$2:K150,$D$2:D150,D151,$E$2:E150,E151,$G$2:G150,"买入")</f>
        <v/>
      </c>
      <c r="AI151">
        <f>IF(AG151&gt;0,AH151/AG151,"")</f>
        <v/>
      </c>
      <c r="AJ151">
        <f>IF(G151="卖出",IF(AI151="","",(L151-AI151)*H151),0)</f>
        <v/>
      </c>
      <c r="AK151">
        <f>IF(G151="卖出",AJ151-T151,"")</f>
        <v/>
      </c>
      <c r="AL151">
        <f>IF(G151="卖出","(L151-AI151)×H151 = ("&amp;TEXT(L151,"0.######")&amp;"-"&amp;TEXT(AI151,"0.######")&amp;")×"&amp;H151,"")</f>
        <v/>
      </c>
    </row>
    <row r="152">
      <c r="A152">
        <f>IF('交易流水'!A112&lt;&gt;"","流水","")</f>
        <v/>
      </c>
      <c r="B152">
        <f>'交易流水'!B112</f>
        <v/>
      </c>
      <c r="C152">
        <f>'交易流水'!X112</f>
        <v/>
      </c>
      <c r="D152">
        <f>IF(ISNUMBER(SEARCH("深港",C152)),"深港",IF(ISNUMBER(SEARCH("场内",C152)),"场内","其他"))</f>
        <v/>
      </c>
      <c r="E152">
        <f>'交易流水'!F112</f>
        <v/>
      </c>
      <c r="F152">
        <f>'交易流水'!G112</f>
        <v/>
      </c>
      <c r="G152">
        <f>'交易流水'!H112</f>
        <v/>
      </c>
      <c r="H152">
        <f>'交易流水'!K112</f>
        <v/>
      </c>
      <c r="I152">
        <f>'交易流水'!P112</f>
        <v/>
      </c>
      <c r="J152">
        <f>'交易流水'!L112</f>
        <v/>
      </c>
      <c r="K152">
        <f>'交易流水'!AR112</f>
        <v/>
      </c>
      <c r="L152">
        <f>IF(H152&gt;0,K152/H152,"")</f>
        <v/>
      </c>
      <c r="M152">
        <f>IF(G152="买入",H152,0)</f>
        <v/>
      </c>
      <c r="N152">
        <f>IF(G152="买入",K152,0)</f>
        <v/>
      </c>
      <c r="O152">
        <f>IF(G152="卖出",H152,0)</f>
        <v/>
      </c>
      <c r="P152">
        <f>IF(G152="卖出",K152,0)</f>
        <v/>
      </c>
      <c r="Q152">
        <f>SUMIFS($H$2:H151,$A$2:A151,"流水",$D$2:D151,D152,$E$2:E151,E152,$G$2:G151,"买入")</f>
        <v/>
      </c>
      <c r="R152">
        <f>SUMIFS($K$2:K151,$A$2:A151,"流水",$D$2:D151,D152,$E$2:E151,E152,$G$2:G151,"买入")</f>
        <v/>
      </c>
      <c r="S152">
        <f>IF(Q152&gt;0,R152/Q152,"")</f>
        <v/>
      </c>
      <c r="T152">
        <f>IF(G152="卖出",IF(S152="","",(L152-S152)*H152),0)</f>
        <v/>
      </c>
      <c r="U152" t="n">
        <v>-189721.4</v>
      </c>
      <c r="V152">
        <f>IF(AND(J152&gt;0,D152="深港"),K152/J152,"")</f>
        <v/>
      </c>
      <c r="W152">
        <f>IF(G152="卖出","(L152-S152)×H152 = ("&amp;TEXT(L152,"0.######")&amp;"-"&amp;TEXT(S152,"0.######")&amp;")×"&amp;H152,"")</f>
        <v/>
      </c>
      <c r="X152" t="inlineStr">
        <is>
          <t>(L152-L27)×20000=(70.959645-80.445715)×20000=-189721.40 → -189721.4</t>
        </is>
      </c>
      <c r="Y152">
        <f>IF(E152="","",IF(D152="深港",TEXT(--E152,"0000")&amp;".HK",IF(--E152&gt;=600000,TEXT(--E152,"000000")&amp;".SH",TEXT(--E152,"000000")&amp;".SZ")))</f>
        <v/>
      </c>
      <c r="Z152">
        <f>IF(Y152="","",IFERROR(INDEX('估值日行情'!$C$3:$C$61,MATCH(Y152,'估值日行情'!$A$3:$A$61,0)),""))</f>
        <v/>
      </c>
      <c r="AA152">
        <f>IF(D152="深港",IFERROR('FX_RATES_TO_CNY_HIST'!$B$3,""),1)</f>
        <v/>
      </c>
      <c r="AB152">
        <f>IF(Z152&lt;&gt;"",Z152*AA152,"")</f>
        <v/>
      </c>
      <c r="AC152">
        <f>SUMIFS($H$2:H152,$D$2:D152,D152,$E$2:E152,E152,$G$2:G152,"买入")-SUMIFS($H$2:H152,$D$2:D152,D152,$E$2:E152,E152,$G$2:G152,"卖出")</f>
        <v/>
      </c>
      <c r="AD152">
        <f>IF(D152="深港",IF(Q152&gt;0,SUMIFS($J$2:J151,$D$2:D151,D152,$E$2:E151,E152,$G$2:G151,"买入")/SUMIFS($H$2:H151,$D$2:D151,D152,$E$2:E151,E152,$G$2:G151,"买入"),""),S152)</f>
        <v/>
      </c>
      <c r="AE152">
        <f>IF(AC152&gt;0,AC152*Z152-AC152*AD152,0)</f>
        <v/>
      </c>
      <c r="AF152">
        <f>IF(AC152&gt;0,IF(D152="深港",AE152*AA152,AE152),0)</f>
        <v/>
      </c>
      <c r="AG152">
        <f>SUMIFS($H$2:H151,$D$2:D151,D152,$E$2:E151,E152,$G$2:G151,"买入")</f>
        <v/>
      </c>
      <c r="AH152">
        <f>SUMIFS($K$2:K151,$D$2:D151,D152,$E$2:E151,E152,$G$2:G151,"买入")</f>
        <v/>
      </c>
      <c r="AI152">
        <f>IF(AG152&gt;0,AH152/AG152,"")</f>
        <v/>
      </c>
      <c r="AJ152">
        <f>IF(G152="卖出",IF(AI152="","",(L152-AI152)*H152),0)</f>
        <v/>
      </c>
      <c r="AK152">
        <f>IF(G152="卖出",AJ152-T152,"")</f>
        <v/>
      </c>
      <c r="AL152">
        <f>IF(G152="卖出","(L152-AI152)×H152 = ("&amp;TEXT(L152,"0.######")&amp;"-"&amp;TEXT(AI152,"0.######")&amp;")×"&amp;H152,"")</f>
        <v/>
      </c>
    </row>
    <row r="153">
      <c r="A153">
        <f>IF('交易流水'!A113&lt;&gt;"","流水","")</f>
        <v/>
      </c>
      <c r="B153">
        <f>'交易流水'!B113</f>
        <v/>
      </c>
      <c r="C153">
        <f>'交易流水'!X113</f>
        <v/>
      </c>
      <c r="D153">
        <f>IF(ISNUMBER(SEARCH("深港",C153)),"深港",IF(ISNUMBER(SEARCH("场内",C153)),"场内","其他"))</f>
        <v/>
      </c>
      <c r="E153">
        <f>'交易流水'!F113</f>
        <v/>
      </c>
      <c r="F153">
        <f>'交易流水'!G113</f>
        <v/>
      </c>
      <c r="G153">
        <f>'交易流水'!H113</f>
        <v/>
      </c>
      <c r="H153">
        <f>'交易流水'!K113</f>
        <v/>
      </c>
      <c r="I153">
        <f>'交易流水'!P113</f>
        <v/>
      </c>
      <c r="J153">
        <f>'交易流水'!L113</f>
        <v/>
      </c>
      <c r="K153">
        <f>'交易流水'!AR113</f>
        <v/>
      </c>
      <c r="L153">
        <f>IF(H153&gt;0,K153/H153,"")</f>
        <v/>
      </c>
      <c r="M153">
        <f>IF(G153="买入",H153,0)</f>
        <v/>
      </c>
      <c r="N153">
        <f>IF(G153="买入",K153,0)</f>
        <v/>
      </c>
      <c r="O153">
        <f>IF(G153="卖出",H153,0)</f>
        <v/>
      </c>
      <c r="P153">
        <f>IF(G153="卖出",K153,0)</f>
        <v/>
      </c>
      <c r="Q153">
        <f>SUMIFS($H$2:H152,$A$2:A152,"流水",$D$2:D152,D153,$E$2:E152,E153,$G$2:G152,"买入")</f>
        <v/>
      </c>
      <c r="R153">
        <f>SUMIFS($K$2:K152,$A$2:A152,"流水",$D$2:D152,D153,$E$2:E152,E153,$G$2:G152,"买入")</f>
        <v/>
      </c>
      <c r="S153">
        <f>IF(Q153&gt;0,R153/Q153,"")</f>
        <v/>
      </c>
      <c r="T153">
        <f>IF(G153="卖出",IF(S153="","",(L153-S153)*H153),0)</f>
        <v/>
      </c>
      <c r="U153" t="n">
        <v>0</v>
      </c>
      <c r="V153">
        <f>IF(AND(J153&gt;0,D153="深港"),K153/J153,"")</f>
        <v/>
      </c>
      <c r="W153">
        <f>IF(G153="卖出","(L153-S153)×H153 = ("&amp;TEXT(L153,"0.######")&amp;"-"&amp;TEXT(S153,"0.######")&amp;")×"&amp;H153,"")</f>
        <v/>
      </c>
      <c r="Y153">
        <f>IF(E153="","",IF(D153="深港",TEXT(--E153,"0000")&amp;".HK",IF(--E153&gt;=600000,TEXT(--E153,"000000")&amp;".SH",TEXT(--E153,"000000")&amp;".SZ")))</f>
        <v/>
      </c>
      <c r="Z153">
        <f>IF(Y153="","",IFERROR(INDEX('估值日行情'!$C$3:$C$61,MATCH(Y153,'估值日行情'!$A$3:$A$61,0)),""))</f>
        <v/>
      </c>
      <c r="AA153">
        <f>IF(D153="深港",IFERROR('FX_RATES_TO_CNY_HIST'!$B$3,""),1)</f>
        <v/>
      </c>
      <c r="AB153">
        <f>IF(Z153&lt;&gt;"",Z153*AA153,"")</f>
        <v/>
      </c>
      <c r="AC153">
        <f>SUMIFS($H$2:H153,$D$2:D153,D153,$E$2:E153,E153,$G$2:G153,"买入")-SUMIFS($H$2:H153,$D$2:D153,D153,$E$2:E153,E153,$G$2:G153,"卖出")</f>
        <v/>
      </c>
      <c r="AD153">
        <f>IF(D153="深港",IF(Q153&gt;0,SUMIFS($J$2:J152,$D$2:D152,D153,$E$2:E152,E153,$G$2:G152,"买入")/SUMIFS($H$2:H152,$D$2:D152,D153,$E$2:E152,E153,$G$2:G152,"买入"),""),S153)</f>
        <v/>
      </c>
      <c r="AE153">
        <f>IF(AC153&gt;0,AC153*Z153-AC153*AD153,0)</f>
        <v/>
      </c>
      <c r="AF153">
        <f>IF(AC153&gt;0,IF(D153="深港",AE153*AA153,AE153),0)</f>
        <v/>
      </c>
      <c r="AG153">
        <f>SUMIFS($H$2:H152,$D$2:D152,D153,$E$2:E152,E153,$G$2:G152,"买入")</f>
        <v/>
      </c>
      <c r="AH153">
        <f>SUMIFS($K$2:K152,$D$2:D152,D153,$E$2:E152,E153,$G$2:G152,"买入")</f>
        <v/>
      </c>
      <c r="AI153">
        <f>IF(AG153&gt;0,AH153/AG153,"")</f>
        <v/>
      </c>
      <c r="AJ153">
        <f>IF(G153="卖出",IF(AI153="","",(L153-AI153)*H153),0)</f>
        <v/>
      </c>
      <c r="AK153">
        <f>IF(G153="卖出",AJ153-T153,"")</f>
        <v/>
      </c>
      <c r="AL153">
        <f>IF(G153="卖出","(L153-AI153)×H153 = ("&amp;TEXT(L153,"0.######")&amp;"-"&amp;TEXT(AI153,"0.######")&amp;")×"&amp;H153,"")</f>
        <v/>
      </c>
    </row>
    <row r="154">
      <c r="A154">
        <f>IF('交易流水'!A114&lt;&gt;"","流水","")</f>
        <v/>
      </c>
      <c r="B154">
        <f>'交易流水'!B114</f>
        <v/>
      </c>
      <c r="C154">
        <f>'交易流水'!X114</f>
        <v/>
      </c>
      <c r="D154">
        <f>IF(ISNUMBER(SEARCH("深港",C154)),"深港",IF(ISNUMBER(SEARCH("场内",C154)),"场内","其他"))</f>
        <v/>
      </c>
      <c r="E154">
        <f>'交易流水'!F114</f>
        <v/>
      </c>
      <c r="F154">
        <f>'交易流水'!G114</f>
        <v/>
      </c>
      <c r="G154">
        <f>'交易流水'!H114</f>
        <v/>
      </c>
      <c r="H154">
        <f>'交易流水'!K114</f>
        <v/>
      </c>
      <c r="I154">
        <f>'交易流水'!P114</f>
        <v/>
      </c>
      <c r="J154">
        <f>'交易流水'!L114</f>
        <v/>
      </c>
      <c r="K154">
        <f>'交易流水'!AR114</f>
        <v/>
      </c>
      <c r="L154">
        <f>IF(H154&gt;0,K154/H154,"")</f>
        <v/>
      </c>
      <c r="M154">
        <f>IF(G154="买入",H154,0)</f>
        <v/>
      </c>
      <c r="N154">
        <f>IF(G154="买入",K154,0)</f>
        <v/>
      </c>
      <c r="O154">
        <f>IF(G154="卖出",H154,0)</f>
        <v/>
      </c>
      <c r="P154">
        <f>IF(G154="卖出",K154,0)</f>
        <v/>
      </c>
      <c r="Q154">
        <f>SUMIFS($H$2:H153,$A$2:A153,"流水",$D$2:D153,D154,$E$2:E153,E154,$G$2:G153,"买入")</f>
        <v/>
      </c>
      <c r="R154">
        <f>SUMIFS($K$2:K153,$A$2:A153,"流水",$D$2:D153,D154,$E$2:E153,E154,$G$2:G153,"买入")</f>
        <v/>
      </c>
      <c r="S154">
        <f>IF(Q154&gt;0,R154/Q154,"")</f>
        <v/>
      </c>
      <c r="T154">
        <f>IF(G154="卖出",IF(S154="","",(L154-S154)*H154),0)</f>
        <v/>
      </c>
      <c r="U154" t="n">
        <v>0</v>
      </c>
      <c r="V154">
        <f>IF(AND(J154&gt;0,D154="深港"),K154/J154,"")</f>
        <v/>
      </c>
      <c r="W154">
        <f>IF(G154="卖出","(L154-S154)×H154 = ("&amp;TEXT(L154,"0.######")&amp;"-"&amp;TEXT(S154,"0.######")&amp;")×"&amp;H154,"")</f>
        <v/>
      </c>
      <c r="Y154">
        <f>IF(E154="","",IF(D154="深港",TEXT(--E154,"0000")&amp;".HK",IF(--E154&gt;=600000,TEXT(--E154,"000000")&amp;".SH",TEXT(--E154,"000000")&amp;".SZ")))</f>
        <v/>
      </c>
      <c r="Z154">
        <f>IF(Y154="","",IFERROR(INDEX('估值日行情'!$C$3:$C$61,MATCH(Y154,'估值日行情'!$A$3:$A$61,0)),""))</f>
        <v/>
      </c>
      <c r="AA154">
        <f>IF(D154="深港",IFERROR('FX_RATES_TO_CNY_HIST'!$B$3,""),1)</f>
        <v/>
      </c>
      <c r="AB154">
        <f>IF(Z154&lt;&gt;"",Z154*AA154,"")</f>
        <v/>
      </c>
      <c r="AC154">
        <f>SUMIFS($H$2:H154,$D$2:D154,D154,$E$2:E154,E154,$G$2:G154,"买入")-SUMIFS($H$2:H154,$D$2:D154,D154,$E$2:E154,E154,$G$2:G154,"卖出")</f>
        <v/>
      </c>
      <c r="AD154">
        <f>IF(D154="深港",IF(Q154&gt;0,SUMIFS($J$2:J153,$D$2:D153,D154,$E$2:E153,E154,$G$2:G153,"买入")/SUMIFS($H$2:H153,$D$2:D153,D154,$E$2:E153,E154,$G$2:G153,"买入"),""),S154)</f>
        <v/>
      </c>
      <c r="AE154">
        <f>IF(AC154&gt;0,AC154*Z154-AC154*AD154,0)</f>
        <v/>
      </c>
      <c r="AF154">
        <f>IF(AC154&gt;0,IF(D154="深港",AE154*AA154,AE154),0)</f>
        <v/>
      </c>
      <c r="AG154">
        <f>SUMIFS($H$2:H153,$D$2:D153,D154,$E$2:E153,E154,$G$2:G153,"买入")</f>
        <v/>
      </c>
      <c r="AH154">
        <f>SUMIFS($K$2:K153,$D$2:D153,D154,$E$2:E153,E154,$G$2:G153,"买入")</f>
        <v/>
      </c>
      <c r="AI154">
        <f>IF(AG154&gt;0,AH154/AG154,"")</f>
        <v/>
      </c>
      <c r="AJ154">
        <f>IF(G154="卖出",IF(AI154="","",(L154-AI154)*H154),0)</f>
        <v/>
      </c>
      <c r="AK154">
        <f>IF(G154="卖出",AJ154-T154,"")</f>
        <v/>
      </c>
      <c r="AL154">
        <f>IF(G154="卖出","(L154-AI154)×H154 = ("&amp;TEXT(L154,"0.######")&amp;"-"&amp;TEXT(AI154,"0.######")&amp;")×"&amp;H154,"")</f>
        <v/>
      </c>
    </row>
    <row r="155">
      <c r="A155">
        <f>IF('交易流水'!A115&lt;&gt;"","流水","")</f>
        <v/>
      </c>
      <c r="B155">
        <f>'交易流水'!B115</f>
        <v/>
      </c>
      <c r="C155">
        <f>'交易流水'!X115</f>
        <v/>
      </c>
      <c r="D155">
        <f>IF(ISNUMBER(SEARCH("深港",C155)),"深港",IF(ISNUMBER(SEARCH("场内",C155)),"场内","其他"))</f>
        <v/>
      </c>
      <c r="E155">
        <f>'交易流水'!F115</f>
        <v/>
      </c>
      <c r="F155">
        <f>'交易流水'!G115</f>
        <v/>
      </c>
      <c r="G155">
        <f>'交易流水'!H115</f>
        <v/>
      </c>
      <c r="H155">
        <f>'交易流水'!K115</f>
        <v/>
      </c>
      <c r="I155">
        <f>'交易流水'!P115</f>
        <v/>
      </c>
      <c r="J155">
        <f>'交易流水'!L115</f>
        <v/>
      </c>
      <c r="K155">
        <f>'交易流水'!AR115</f>
        <v/>
      </c>
      <c r="L155">
        <f>IF(H155&gt;0,K155/H155,"")</f>
        <v/>
      </c>
      <c r="M155">
        <f>IF(G155="买入",H155,0)</f>
        <v/>
      </c>
      <c r="N155">
        <f>IF(G155="买入",K155,0)</f>
        <v/>
      </c>
      <c r="O155">
        <f>IF(G155="卖出",H155,0)</f>
        <v/>
      </c>
      <c r="P155">
        <f>IF(G155="卖出",K155,0)</f>
        <v/>
      </c>
      <c r="Q155">
        <f>SUMIFS($H$2:H154,$A$2:A154,"流水",$D$2:D154,D155,$E$2:E154,E155,$G$2:G154,"买入")</f>
        <v/>
      </c>
      <c r="R155">
        <f>SUMIFS($K$2:K154,$A$2:A154,"流水",$D$2:D154,D155,$E$2:E154,E155,$G$2:G154,"买入")</f>
        <v/>
      </c>
      <c r="S155">
        <f>IF(Q155&gt;0,R155/Q155,"")</f>
        <v/>
      </c>
      <c r="T155">
        <f>IF(G155="卖出",IF(S155="","",(L155-S155)*H155),0)</f>
        <v/>
      </c>
      <c r="U155" t="n">
        <v>-14408.24</v>
      </c>
      <c r="V155">
        <f>IF(AND(J155&gt;0,D155="深港"),K155/J155,"")</f>
        <v/>
      </c>
      <c r="W155">
        <f>IF(G155="卖出","(L155-S155)×H155 = ("&amp;TEXT(L155,"0.######")&amp;"-"&amp;TEXT(S155,"0.######")&amp;")×"&amp;H155,"")</f>
        <v/>
      </c>
      <c r="X155" t="inlineStr">
        <is>
          <t>(L155-L21)×16000=(4.275874-5.176389)×16000=-14408.24 → -14408.24</t>
        </is>
      </c>
      <c r="Y155">
        <f>IF(E155="","",IF(D155="深港",TEXT(--E155,"0000")&amp;".HK",IF(--E155&gt;=600000,TEXT(--E155,"000000")&amp;".SH",TEXT(--E155,"000000")&amp;".SZ")))</f>
        <v/>
      </c>
      <c r="Z155">
        <f>IF(Y155="","",IFERROR(INDEX('估值日行情'!$C$3:$C$61,MATCH(Y155,'估值日行情'!$A$3:$A$61,0)),""))</f>
        <v/>
      </c>
      <c r="AA155">
        <f>IF(D155="深港",IFERROR('FX_RATES_TO_CNY_HIST'!$B$3,""),1)</f>
        <v/>
      </c>
      <c r="AB155">
        <f>IF(Z155&lt;&gt;"",Z155*AA155,"")</f>
        <v/>
      </c>
      <c r="AC155">
        <f>SUMIFS($H$2:H155,$D$2:D155,D155,$E$2:E155,E155,$G$2:G155,"买入")-SUMIFS($H$2:H155,$D$2:D155,D155,$E$2:E155,E155,$G$2:G155,"卖出")</f>
        <v/>
      </c>
      <c r="AD155">
        <f>IF(D155="深港",IF(Q155&gt;0,SUMIFS($J$2:J154,$D$2:D154,D155,$E$2:E154,E155,$G$2:G154,"买入")/SUMIFS($H$2:H154,$D$2:D154,D155,$E$2:E154,E155,$G$2:G154,"买入"),""),S155)</f>
        <v/>
      </c>
      <c r="AE155">
        <f>IF(AC155&gt;0,AC155*Z155-AC155*AD155,0)</f>
        <v/>
      </c>
      <c r="AF155">
        <f>IF(AC155&gt;0,IF(D155="深港",AE155*AA155,AE155),0)</f>
        <v/>
      </c>
      <c r="AG155">
        <f>SUMIFS($H$2:H154,$D$2:D154,D155,$E$2:E154,E155,$G$2:G154,"买入")</f>
        <v/>
      </c>
      <c r="AH155">
        <f>SUMIFS($K$2:K154,$D$2:D154,D155,$E$2:E154,E155,$G$2:G154,"买入")</f>
        <v/>
      </c>
      <c r="AI155">
        <f>IF(AG155&gt;0,AH155/AG155,"")</f>
        <v/>
      </c>
      <c r="AJ155">
        <f>IF(G155="卖出",IF(AI155="","",(L155-AI155)*H155),0)</f>
        <v/>
      </c>
      <c r="AK155">
        <f>IF(G155="卖出",AJ155-T155,"")</f>
        <v/>
      </c>
      <c r="AL155">
        <f>IF(G155="卖出","(L155-AI155)×H155 = ("&amp;TEXT(L155,"0.######")&amp;"-"&amp;TEXT(AI155,"0.######")&amp;")×"&amp;H155,"")</f>
        <v/>
      </c>
    </row>
    <row r="156">
      <c r="A156">
        <f>IF('交易流水'!A116&lt;&gt;"","流水","")</f>
        <v/>
      </c>
      <c r="B156">
        <f>'交易流水'!B116</f>
        <v/>
      </c>
      <c r="C156">
        <f>'交易流水'!X116</f>
        <v/>
      </c>
      <c r="D156">
        <f>IF(ISNUMBER(SEARCH("深港",C156)),"深港",IF(ISNUMBER(SEARCH("场内",C156)),"场内","其他"))</f>
        <v/>
      </c>
      <c r="E156">
        <f>'交易流水'!F116</f>
        <v/>
      </c>
      <c r="F156">
        <f>'交易流水'!G116</f>
        <v/>
      </c>
      <c r="G156">
        <f>'交易流水'!H116</f>
        <v/>
      </c>
      <c r="H156">
        <f>'交易流水'!K116</f>
        <v/>
      </c>
      <c r="I156">
        <f>'交易流水'!P116</f>
        <v/>
      </c>
      <c r="J156">
        <f>'交易流水'!L116</f>
        <v/>
      </c>
      <c r="K156">
        <f>'交易流水'!AR116</f>
        <v/>
      </c>
      <c r="L156">
        <f>IF(H156&gt;0,K156/H156,"")</f>
        <v/>
      </c>
      <c r="M156">
        <f>IF(G156="买入",H156,0)</f>
        <v/>
      </c>
      <c r="N156">
        <f>IF(G156="买入",K156,0)</f>
        <v/>
      </c>
      <c r="O156">
        <f>IF(G156="卖出",H156,0)</f>
        <v/>
      </c>
      <c r="P156">
        <f>IF(G156="卖出",K156,0)</f>
        <v/>
      </c>
      <c r="Q156">
        <f>SUMIFS($H$2:H155,$A$2:A155,"流水",$D$2:D155,D156,$E$2:E155,E156,$G$2:G155,"买入")</f>
        <v/>
      </c>
      <c r="R156">
        <f>SUMIFS($K$2:K155,$A$2:A155,"流水",$D$2:D155,D156,$E$2:E155,E156,$G$2:G155,"买入")</f>
        <v/>
      </c>
      <c r="S156">
        <f>IF(Q156&gt;0,R156/Q156,"")</f>
        <v/>
      </c>
      <c r="T156">
        <f>IF(G156="卖出",IF(S156="","",(L156-S156)*H156),0)</f>
        <v/>
      </c>
      <c r="U156" t="n">
        <v>0</v>
      </c>
      <c r="V156">
        <f>IF(AND(J156&gt;0,D156="深港"),K156/J156,"")</f>
        <v/>
      </c>
      <c r="W156">
        <f>IF(G156="卖出","(L156-S156)×H156 = ("&amp;TEXT(L156,"0.######")&amp;"-"&amp;TEXT(S156,"0.######")&amp;")×"&amp;H156,"")</f>
        <v/>
      </c>
      <c r="Y156">
        <f>IF(E156="","",IF(D156="深港",TEXT(--E156,"0000")&amp;".HK",IF(--E156&gt;=600000,TEXT(--E156,"000000")&amp;".SH",TEXT(--E156,"000000")&amp;".SZ")))</f>
        <v/>
      </c>
      <c r="Z156">
        <f>IF(Y156="","",IFERROR(INDEX('估值日行情'!$C$3:$C$61,MATCH(Y156,'估值日行情'!$A$3:$A$61,0)),""))</f>
        <v/>
      </c>
      <c r="AA156">
        <f>IF(D156="深港",IFERROR('FX_RATES_TO_CNY_HIST'!$B$3,""),1)</f>
        <v/>
      </c>
      <c r="AB156">
        <f>IF(Z156&lt;&gt;"",Z156*AA156,"")</f>
        <v/>
      </c>
      <c r="AC156">
        <f>SUMIFS($H$2:H156,$D$2:D156,D156,$E$2:E156,E156,$G$2:G156,"买入")-SUMIFS($H$2:H156,$D$2:D156,D156,$E$2:E156,E156,$G$2:G156,"卖出")</f>
        <v/>
      </c>
      <c r="AD156">
        <f>IF(D156="深港",IF(Q156&gt;0,SUMIFS($J$2:J155,$D$2:D155,D156,$E$2:E155,E156,$G$2:G155,"买入")/SUMIFS($H$2:H155,$D$2:D155,D156,$E$2:E155,E156,$G$2:G155,"买入"),""),S156)</f>
        <v/>
      </c>
      <c r="AE156">
        <f>IF(AC156&gt;0,AC156*Z156-AC156*AD156,0)</f>
        <v/>
      </c>
      <c r="AF156">
        <f>IF(AC156&gt;0,IF(D156="深港",AE156*AA156,AE156),0)</f>
        <v/>
      </c>
      <c r="AG156">
        <f>SUMIFS($H$2:H155,$D$2:D155,D156,$E$2:E155,E156,$G$2:G155,"买入")</f>
        <v/>
      </c>
      <c r="AH156">
        <f>SUMIFS($K$2:K155,$D$2:D155,D156,$E$2:E155,E156,$G$2:G155,"买入")</f>
        <v/>
      </c>
      <c r="AI156">
        <f>IF(AG156&gt;0,AH156/AG156,"")</f>
        <v/>
      </c>
      <c r="AJ156">
        <f>IF(G156="卖出",IF(AI156="","",(L156-AI156)*H156),0)</f>
        <v/>
      </c>
      <c r="AK156">
        <f>IF(G156="卖出",AJ156-T156,"")</f>
        <v/>
      </c>
      <c r="AL156">
        <f>IF(G156="卖出","(L156-AI156)×H156 = ("&amp;TEXT(L156,"0.######")&amp;"-"&amp;TEXT(AI156,"0.######")&amp;")×"&amp;H156,"")</f>
        <v/>
      </c>
    </row>
    <row r="157">
      <c r="A157">
        <f>IF('交易流水'!A117&lt;&gt;"","流水","")</f>
        <v/>
      </c>
      <c r="B157">
        <f>'交易流水'!B117</f>
        <v/>
      </c>
      <c r="C157">
        <f>'交易流水'!X117</f>
        <v/>
      </c>
      <c r="D157">
        <f>IF(ISNUMBER(SEARCH("深港",C157)),"深港",IF(ISNUMBER(SEARCH("场内",C157)),"场内","其他"))</f>
        <v/>
      </c>
      <c r="E157">
        <f>'交易流水'!F117</f>
        <v/>
      </c>
      <c r="F157">
        <f>'交易流水'!G117</f>
        <v/>
      </c>
      <c r="G157">
        <f>'交易流水'!H117</f>
        <v/>
      </c>
      <c r="H157">
        <f>'交易流水'!K117</f>
        <v/>
      </c>
      <c r="I157">
        <f>'交易流水'!P117</f>
        <v/>
      </c>
      <c r="J157">
        <f>'交易流水'!L117</f>
        <v/>
      </c>
      <c r="K157">
        <f>'交易流水'!AR117</f>
        <v/>
      </c>
      <c r="L157">
        <f>IF(H157&gt;0,K157/H157,"")</f>
        <v/>
      </c>
      <c r="M157">
        <f>IF(G157="买入",H157,0)</f>
        <v/>
      </c>
      <c r="N157">
        <f>IF(G157="买入",K157,0)</f>
        <v/>
      </c>
      <c r="O157">
        <f>IF(G157="卖出",H157,0)</f>
        <v/>
      </c>
      <c r="P157">
        <f>IF(G157="卖出",K157,0)</f>
        <v/>
      </c>
      <c r="Q157">
        <f>SUMIFS($H$2:H156,$A$2:A156,"流水",$D$2:D156,D157,$E$2:E156,E157,$G$2:G156,"买入")</f>
        <v/>
      </c>
      <c r="R157">
        <f>SUMIFS($K$2:K156,$A$2:A156,"流水",$D$2:D156,D157,$E$2:E156,E157,$G$2:G156,"买入")</f>
        <v/>
      </c>
      <c r="S157">
        <f>IF(Q157&gt;0,R157/Q157,"")</f>
        <v/>
      </c>
      <c r="T157">
        <f>IF(G157="卖出",IF(S157="","",(L157-S157)*H157),0)</f>
        <v/>
      </c>
      <c r="U157" t="n">
        <v>-24627.45</v>
      </c>
      <c r="V157">
        <f>IF(AND(J157&gt;0,D157="深港"),K157/J157,"")</f>
        <v/>
      </c>
      <c r="W157">
        <f>IF(G157="卖出","(L157-S157)×H157 = ("&amp;TEXT(L157,"0.######")&amp;"-"&amp;TEXT(S157,"0.######")&amp;")×"&amp;H157,"")</f>
        <v/>
      </c>
      <c r="X157" t="inlineStr">
        <is>
          <t>(L157-L33)×10000=(73.412654-75.875399)×10000=-24627.45 → -24627.45</t>
        </is>
      </c>
      <c r="Y157">
        <f>IF(E157="","",IF(D157="深港",TEXT(--E157,"0000")&amp;".HK",IF(--E157&gt;=600000,TEXT(--E157,"000000")&amp;".SH",TEXT(--E157,"000000")&amp;".SZ")))</f>
        <v/>
      </c>
      <c r="Z157">
        <f>IF(Y157="","",IFERROR(INDEX('估值日行情'!$C$3:$C$61,MATCH(Y157,'估值日行情'!$A$3:$A$61,0)),""))</f>
        <v/>
      </c>
      <c r="AA157">
        <f>IF(D157="深港",IFERROR('FX_RATES_TO_CNY_HIST'!$B$3,""),1)</f>
        <v/>
      </c>
      <c r="AB157">
        <f>IF(Z157&lt;&gt;"",Z157*AA157,"")</f>
        <v/>
      </c>
      <c r="AC157">
        <f>SUMIFS($H$2:H157,$D$2:D157,D157,$E$2:E157,E157,$G$2:G157,"买入")-SUMIFS($H$2:H157,$D$2:D157,D157,$E$2:E157,E157,$G$2:G157,"卖出")</f>
        <v/>
      </c>
      <c r="AD157">
        <f>IF(D157="深港",IF(Q157&gt;0,SUMIFS($J$2:J156,$D$2:D156,D157,$E$2:E156,E157,$G$2:G156,"买入")/SUMIFS($H$2:H156,$D$2:D156,D157,$E$2:E156,E157,$G$2:G156,"买入"),""),S157)</f>
        <v/>
      </c>
      <c r="AE157">
        <f>IF(AC157&gt;0,AC157*Z157-AC157*AD157,0)</f>
        <v/>
      </c>
      <c r="AF157">
        <f>IF(AC157&gt;0,IF(D157="深港",AE157*AA157,AE157),0)</f>
        <v/>
      </c>
      <c r="AG157">
        <f>SUMIFS($H$2:H156,$D$2:D156,D157,$E$2:E156,E157,$G$2:G156,"买入")</f>
        <v/>
      </c>
      <c r="AH157">
        <f>SUMIFS($K$2:K156,$D$2:D156,D157,$E$2:E156,E157,$G$2:G156,"买入")</f>
        <v/>
      </c>
      <c r="AI157">
        <f>IF(AG157&gt;0,AH157/AG157,"")</f>
        <v/>
      </c>
      <c r="AJ157">
        <f>IF(G157="卖出",IF(AI157="","",(L157-AI157)*H157),0)</f>
        <v/>
      </c>
      <c r="AK157">
        <f>IF(G157="卖出",AJ157-T157,"")</f>
        <v/>
      </c>
      <c r="AL157">
        <f>IF(G157="卖出","(L157-AI157)×H157 = ("&amp;TEXT(L157,"0.######")&amp;"-"&amp;TEXT(AI157,"0.######")&amp;")×"&amp;H157,"")</f>
        <v/>
      </c>
    </row>
    <row r="158">
      <c r="A158">
        <f>IF('交易流水'!A118&lt;&gt;"","流水","")</f>
        <v/>
      </c>
      <c r="B158">
        <f>'交易流水'!B118</f>
        <v/>
      </c>
      <c r="C158">
        <f>'交易流水'!X118</f>
        <v/>
      </c>
      <c r="D158">
        <f>IF(ISNUMBER(SEARCH("深港",C158)),"深港",IF(ISNUMBER(SEARCH("场内",C158)),"场内","其他"))</f>
        <v/>
      </c>
      <c r="E158">
        <f>'交易流水'!F118</f>
        <v/>
      </c>
      <c r="F158">
        <f>'交易流水'!G118</f>
        <v/>
      </c>
      <c r="G158">
        <f>'交易流水'!H118</f>
        <v/>
      </c>
      <c r="H158">
        <f>'交易流水'!K118</f>
        <v/>
      </c>
      <c r="I158">
        <f>'交易流水'!P118</f>
        <v/>
      </c>
      <c r="J158">
        <f>'交易流水'!L118</f>
        <v/>
      </c>
      <c r="K158">
        <f>'交易流水'!AR118</f>
        <v/>
      </c>
      <c r="L158">
        <f>IF(H158&gt;0,K158/H158,"")</f>
        <v/>
      </c>
      <c r="M158">
        <f>IF(G158="买入",H158,0)</f>
        <v/>
      </c>
      <c r="N158">
        <f>IF(G158="买入",K158,0)</f>
        <v/>
      </c>
      <c r="O158">
        <f>IF(G158="卖出",H158,0)</f>
        <v/>
      </c>
      <c r="P158">
        <f>IF(G158="卖出",K158,0)</f>
        <v/>
      </c>
      <c r="Q158">
        <f>SUMIFS($H$2:H157,$A$2:A157,"流水",$D$2:D157,D158,$E$2:E157,E158,$G$2:G157,"买入")</f>
        <v/>
      </c>
      <c r="R158">
        <f>SUMIFS($K$2:K157,$A$2:A157,"流水",$D$2:D157,D158,$E$2:E157,E158,$G$2:G157,"买入")</f>
        <v/>
      </c>
      <c r="S158">
        <f>IF(Q158&gt;0,R158/Q158,"")</f>
        <v/>
      </c>
      <c r="T158">
        <f>IF(G158="卖出",IF(S158="","",(L158-S158)*H158),0)</f>
        <v/>
      </c>
      <c r="U158" t="n">
        <v>0</v>
      </c>
      <c r="V158">
        <f>IF(AND(J158&gt;0,D158="深港"),K158/J158,"")</f>
        <v/>
      </c>
      <c r="W158">
        <f>IF(G158="卖出","(L158-S158)×H158 = ("&amp;TEXT(L158,"0.######")&amp;"-"&amp;TEXT(S158,"0.######")&amp;")×"&amp;H158,"")</f>
        <v/>
      </c>
      <c r="Y158">
        <f>IF(E158="","",IF(D158="深港",TEXT(--E158,"0000")&amp;".HK",IF(--E158&gt;=600000,TEXT(--E158,"000000")&amp;".SH",TEXT(--E158,"000000")&amp;".SZ")))</f>
        <v/>
      </c>
      <c r="Z158">
        <f>IF(Y158="","",IFERROR(INDEX('估值日行情'!$C$3:$C$61,MATCH(Y158,'估值日行情'!$A$3:$A$61,0)),""))</f>
        <v/>
      </c>
      <c r="AA158">
        <f>IF(D158="深港",IFERROR('FX_RATES_TO_CNY_HIST'!$B$3,""),1)</f>
        <v/>
      </c>
      <c r="AB158">
        <f>IF(Z158&lt;&gt;"",Z158*AA158,"")</f>
        <v/>
      </c>
      <c r="AC158">
        <f>SUMIFS($H$2:H158,$D$2:D158,D158,$E$2:E158,E158,$G$2:G158,"买入")-SUMIFS($H$2:H158,$D$2:D158,D158,$E$2:E158,E158,$G$2:G158,"卖出")</f>
        <v/>
      </c>
      <c r="AD158">
        <f>IF(D158="深港",IF(Q158&gt;0,SUMIFS($J$2:J157,$D$2:D157,D158,$E$2:E157,E158,$G$2:G157,"买入")/SUMIFS($H$2:H157,$D$2:D157,D158,$E$2:E157,E158,$G$2:G157,"买入"),""),S158)</f>
        <v/>
      </c>
      <c r="AE158">
        <f>IF(AC158&gt;0,AC158*Z158-AC158*AD158,0)</f>
        <v/>
      </c>
      <c r="AF158">
        <f>IF(AC158&gt;0,IF(D158="深港",AE158*AA158,AE158),0)</f>
        <v/>
      </c>
      <c r="AG158">
        <f>SUMIFS($H$2:H157,$D$2:D157,D158,$E$2:E157,E158,$G$2:G157,"买入")</f>
        <v/>
      </c>
      <c r="AH158">
        <f>SUMIFS($K$2:K157,$D$2:D157,D158,$E$2:E157,E158,$G$2:G157,"买入")</f>
        <v/>
      </c>
      <c r="AI158">
        <f>IF(AG158&gt;0,AH158/AG158,"")</f>
        <v/>
      </c>
      <c r="AJ158">
        <f>IF(G158="卖出",IF(AI158="","",(L158-AI158)*H158),0)</f>
        <v/>
      </c>
      <c r="AK158">
        <f>IF(G158="卖出",AJ158-T158,"")</f>
        <v/>
      </c>
      <c r="AL158">
        <f>IF(G158="卖出","(L158-AI158)×H158 = ("&amp;TEXT(L158,"0.######")&amp;"-"&amp;TEXT(AI158,"0.######")&amp;")×"&amp;H158,"")</f>
        <v/>
      </c>
    </row>
    <row r="159">
      <c r="A159">
        <f>IF('交易流水'!A119&lt;&gt;"","流水","")</f>
        <v/>
      </c>
      <c r="B159">
        <f>'交易流水'!B119</f>
        <v/>
      </c>
      <c r="C159">
        <f>'交易流水'!X119</f>
        <v/>
      </c>
      <c r="D159">
        <f>IF(ISNUMBER(SEARCH("深港",C159)),"深港",IF(ISNUMBER(SEARCH("场内",C159)),"场内","其他"))</f>
        <v/>
      </c>
      <c r="E159">
        <f>'交易流水'!F119</f>
        <v/>
      </c>
      <c r="F159">
        <f>'交易流水'!G119</f>
        <v/>
      </c>
      <c r="G159">
        <f>'交易流水'!H119</f>
        <v/>
      </c>
      <c r="H159">
        <f>'交易流水'!K119</f>
        <v/>
      </c>
      <c r="I159">
        <f>'交易流水'!P119</f>
        <v/>
      </c>
      <c r="J159">
        <f>'交易流水'!L119</f>
        <v/>
      </c>
      <c r="K159">
        <f>'交易流水'!AR119</f>
        <v/>
      </c>
      <c r="L159">
        <f>IF(H159&gt;0,K159/H159,"")</f>
        <v/>
      </c>
      <c r="M159">
        <f>IF(G159="买入",H159,0)</f>
        <v/>
      </c>
      <c r="N159">
        <f>IF(G159="买入",K159,0)</f>
        <v/>
      </c>
      <c r="O159">
        <f>IF(G159="卖出",H159,0)</f>
        <v/>
      </c>
      <c r="P159">
        <f>IF(G159="卖出",K159,0)</f>
        <v/>
      </c>
      <c r="Q159">
        <f>SUMIFS($H$2:H158,$A$2:A158,"流水",$D$2:D158,D159,$E$2:E158,E159,$G$2:G158,"买入")</f>
        <v/>
      </c>
      <c r="R159">
        <f>SUMIFS($K$2:K158,$A$2:A158,"流水",$D$2:D158,D159,$E$2:E158,E159,$G$2:G158,"买入")</f>
        <v/>
      </c>
      <c r="S159">
        <f>IF(Q159&gt;0,R159/Q159,"")</f>
        <v/>
      </c>
      <c r="T159">
        <f>IF(G159="卖出",IF(S159="","",(L159-S159)*H159),0)</f>
        <v/>
      </c>
      <c r="U159" t="n">
        <v>-345357.12</v>
      </c>
      <c r="V159">
        <f>IF(AND(J159&gt;0,D159="深港"),K159/J159,"")</f>
        <v/>
      </c>
      <c r="W159">
        <f>IF(G159="卖出","(L159-S159)×H159 = ("&amp;TEXT(L159,"0.######")&amp;"-"&amp;TEXT(S159,"0.######")&amp;")×"&amp;H159,"")</f>
        <v/>
      </c>
      <c r="X159" t="inlineStr">
        <is>
          <t>(L159-L21)×384000=(4.277021-5.176389)×384000=-345357.12 → -345357.12</t>
        </is>
      </c>
      <c r="Y159">
        <f>IF(E159="","",IF(D159="深港",TEXT(--E159,"0000")&amp;".HK",IF(--E159&gt;=600000,TEXT(--E159,"000000")&amp;".SH",TEXT(--E159,"000000")&amp;".SZ")))</f>
        <v/>
      </c>
      <c r="Z159">
        <f>IF(Y159="","",IFERROR(INDEX('估值日行情'!$C$3:$C$61,MATCH(Y159,'估值日行情'!$A$3:$A$61,0)),""))</f>
        <v/>
      </c>
      <c r="AA159">
        <f>IF(D159="深港",IFERROR('FX_RATES_TO_CNY_HIST'!$B$3,""),1)</f>
        <v/>
      </c>
      <c r="AB159">
        <f>IF(Z159&lt;&gt;"",Z159*AA159,"")</f>
        <v/>
      </c>
      <c r="AC159">
        <f>SUMIFS($H$2:H159,$D$2:D159,D159,$E$2:E159,E159,$G$2:G159,"买入")-SUMIFS($H$2:H159,$D$2:D159,D159,$E$2:E159,E159,$G$2:G159,"卖出")</f>
        <v/>
      </c>
      <c r="AD159">
        <f>IF(D159="深港",IF(Q159&gt;0,SUMIFS($J$2:J158,$D$2:D158,D159,$E$2:E158,E159,$G$2:G158,"买入")/SUMIFS($H$2:H158,$D$2:D158,D159,$E$2:E158,E159,$G$2:G158,"买入"),""),S159)</f>
        <v/>
      </c>
      <c r="AE159">
        <f>IF(AC159&gt;0,AC159*Z159-AC159*AD159,0)</f>
        <v/>
      </c>
      <c r="AF159">
        <f>IF(AC159&gt;0,IF(D159="深港",AE159*AA159,AE159),0)</f>
        <v/>
      </c>
      <c r="AG159">
        <f>SUMIFS($H$2:H158,$D$2:D158,D159,$E$2:E158,E159,$G$2:G158,"买入")</f>
        <v/>
      </c>
      <c r="AH159">
        <f>SUMIFS($K$2:K158,$D$2:D158,D159,$E$2:E158,E159,$G$2:G158,"买入")</f>
        <v/>
      </c>
      <c r="AI159">
        <f>IF(AG159&gt;0,AH159/AG159,"")</f>
        <v/>
      </c>
      <c r="AJ159">
        <f>IF(G159="卖出",IF(AI159="","",(L159-AI159)*H159),0)</f>
        <v/>
      </c>
      <c r="AK159">
        <f>IF(G159="卖出",AJ159-T159,"")</f>
        <v/>
      </c>
      <c r="AL159">
        <f>IF(G159="卖出","(L159-AI159)×H159 = ("&amp;TEXT(L159,"0.######")&amp;"-"&amp;TEXT(AI159,"0.######")&amp;")×"&amp;H159,"")</f>
        <v/>
      </c>
    </row>
    <row r="160">
      <c r="A160">
        <f>IF('交易流水'!A120&lt;&gt;"","流水","")</f>
        <v/>
      </c>
      <c r="B160">
        <f>'交易流水'!B120</f>
        <v/>
      </c>
      <c r="C160">
        <f>'交易流水'!X120</f>
        <v/>
      </c>
      <c r="D160">
        <f>IF(ISNUMBER(SEARCH("深港",C160)),"深港",IF(ISNUMBER(SEARCH("场内",C160)),"场内","其他"))</f>
        <v/>
      </c>
      <c r="E160">
        <f>'交易流水'!F120</f>
        <v/>
      </c>
      <c r="F160">
        <f>'交易流水'!G120</f>
        <v/>
      </c>
      <c r="G160">
        <f>'交易流水'!H120</f>
        <v/>
      </c>
      <c r="H160">
        <f>'交易流水'!K120</f>
        <v/>
      </c>
      <c r="I160">
        <f>'交易流水'!P120</f>
        <v/>
      </c>
      <c r="J160">
        <f>'交易流水'!L120</f>
        <v/>
      </c>
      <c r="K160">
        <f>'交易流水'!AR120</f>
        <v/>
      </c>
      <c r="L160">
        <f>IF(H160&gt;0,K160/H160,"")</f>
        <v/>
      </c>
      <c r="M160">
        <f>IF(G160="买入",H160,0)</f>
        <v/>
      </c>
      <c r="N160">
        <f>IF(G160="买入",K160,0)</f>
        <v/>
      </c>
      <c r="O160">
        <f>IF(G160="卖出",H160,0)</f>
        <v/>
      </c>
      <c r="P160">
        <f>IF(G160="卖出",K160,0)</f>
        <v/>
      </c>
      <c r="Q160">
        <f>SUMIFS($H$2:H159,$A$2:A159,"流水",$D$2:D159,D160,$E$2:E159,E160,$G$2:G159,"买入")</f>
        <v/>
      </c>
      <c r="R160">
        <f>SUMIFS($K$2:K159,$A$2:A159,"流水",$D$2:D159,D160,$E$2:E159,E160,$G$2:G159,"买入")</f>
        <v/>
      </c>
      <c r="S160">
        <f>IF(Q160&gt;0,R160/Q160,"")</f>
        <v/>
      </c>
      <c r="T160">
        <f>IF(G160="卖出",IF(S160="","",(L160-S160)*H160),0)</f>
        <v/>
      </c>
      <c r="U160" t="n">
        <v>-323595.04</v>
      </c>
      <c r="V160">
        <f>IF(AND(J160&gt;0,D160="深港"),K160/J160,"")</f>
        <v/>
      </c>
      <c r="W160">
        <f>IF(G160="卖出","(L160-S160)×H160 = ("&amp;TEXT(L160,"0.######")&amp;"-"&amp;TEXT(S160,"0.######")&amp;")×"&amp;H160,"")</f>
        <v/>
      </c>
      <c r="X160" t="inlineStr">
        <is>
          <t>(L160-L22)×200000=(6.406407-8.024382)×200000=-323595.04 → -323595.04</t>
        </is>
      </c>
      <c r="Y160">
        <f>IF(E160="","",IF(D160="深港",TEXT(--E160,"0000")&amp;".HK",IF(--E160&gt;=600000,TEXT(--E160,"000000")&amp;".SH",TEXT(--E160,"000000")&amp;".SZ")))</f>
        <v/>
      </c>
      <c r="Z160">
        <f>IF(Y160="","",IFERROR(INDEX('估值日行情'!$C$3:$C$61,MATCH(Y160,'估值日行情'!$A$3:$A$61,0)),""))</f>
        <v/>
      </c>
      <c r="AA160">
        <f>IF(D160="深港",IFERROR('FX_RATES_TO_CNY_HIST'!$B$3,""),1)</f>
        <v/>
      </c>
      <c r="AB160">
        <f>IF(Z160&lt;&gt;"",Z160*AA160,"")</f>
        <v/>
      </c>
      <c r="AC160">
        <f>SUMIFS($H$2:H160,$D$2:D160,D160,$E$2:E160,E160,$G$2:G160,"买入")-SUMIFS($H$2:H160,$D$2:D160,D160,$E$2:E160,E160,$G$2:G160,"卖出")</f>
        <v/>
      </c>
      <c r="AD160">
        <f>IF(D160="深港",IF(Q160&gt;0,SUMIFS($J$2:J159,$D$2:D159,D160,$E$2:E159,E160,$G$2:G159,"买入")/SUMIFS($H$2:H159,$D$2:D159,D160,$E$2:E159,E160,$G$2:G159,"买入"),""),S160)</f>
        <v/>
      </c>
      <c r="AE160">
        <f>IF(AC160&gt;0,AC160*Z160-AC160*AD160,0)</f>
        <v/>
      </c>
      <c r="AF160">
        <f>IF(AC160&gt;0,IF(D160="深港",AE160*AA160,AE160),0)</f>
        <v/>
      </c>
      <c r="AG160">
        <f>SUMIFS($H$2:H159,$D$2:D159,D160,$E$2:E159,E160,$G$2:G159,"买入")</f>
        <v/>
      </c>
      <c r="AH160">
        <f>SUMIFS($K$2:K159,$D$2:D159,D160,$E$2:E159,E160,$G$2:G159,"买入")</f>
        <v/>
      </c>
      <c r="AI160">
        <f>IF(AG160&gt;0,AH160/AG160,"")</f>
        <v/>
      </c>
      <c r="AJ160">
        <f>IF(G160="卖出",IF(AI160="","",(L160-AI160)*H160),0)</f>
        <v/>
      </c>
      <c r="AK160">
        <f>IF(G160="卖出",AJ160-T160,"")</f>
        <v/>
      </c>
      <c r="AL160">
        <f>IF(G160="卖出","(L160-AI160)×H160 = ("&amp;TEXT(L160,"0.######")&amp;"-"&amp;TEXT(AI160,"0.######")&amp;")×"&amp;H160,"")</f>
        <v/>
      </c>
    </row>
    <row r="161">
      <c r="A161">
        <f>IF('交易流水'!A121&lt;&gt;"","流水","")</f>
        <v/>
      </c>
      <c r="B161">
        <f>'交易流水'!B121</f>
        <v/>
      </c>
      <c r="C161">
        <f>'交易流水'!X121</f>
        <v/>
      </c>
      <c r="D161">
        <f>IF(ISNUMBER(SEARCH("深港",C161)),"深港",IF(ISNUMBER(SEARCH("场内",C161)),"场内","其他"))</f>
        <v/>
      </c>
      <c r="E161">
        <f>'交易流水'!F121</f>
        <v/>
      </c>
      <c r="F161">
        <f>'交易流水'!G121</f>
        <v/>
      </c>
      <c r="G161">
        <f>'交易流水'!H121</f>
        <v/>
      </c>
      <c r="H161">
        <f>'交易流水'!K121</f>
        <v/>
      </c>
      <c r="I161">
        <f>'交易流水'!P121</f>
        <v/>
      </c>
      <c r="J161">
        <f>'交易流水'!L121</f>
        <v/>
      </c>
      <c r="K161">
        <f>'交易流水'!AR121</f>
        <v/>
      </c>
      <c r="L161">
        <f>IF(H161&gt;0,K161/H161,"")</f>
        <v/>
      </c>
      <c r="M161">
        <f>IF(G161="买入",H161,0)</f>
        <v/>
      </c>
      <c r="N161">
        <f>IF(G161="买入",K161,0)</f>
        <v/>
      </c>
      <c r="O161">
        <f>IF(G161="卖出",H161,0)</f>
        <v/>
      </c>
      <c r="P161">
        <f>IF(G161="卖出",K161,0)</f>
        <v/>
      </c>
      <c r="Q161">
        <f>SUMIFS($H$2:H160,$A$2:A160,"流水",$D$2:D160,D161,$E$2:E160,E161,$G$2:G160,"买入")</f>
        <v/>
      </c>
      <c r="R161">
        <f>SUMIFS($K$2:K160,$A$2:A160,"流水",$D$2:D160,D161,$E$2:E160,E161,$G$2:G160,"买入")</f>
        <v/>
      </c>
      <c r="S161">
        <f>IF(Q161&gt;0,R161/Q161,"")</f>
        <v/>
      </c>
      <c r="T161">
        <f>IF(G161="卖出",IF(S161="","",(L161-S161)*H161),0)</f>
        <v/>
      </c>
      <c r="U161" t="n">
        <v>0</v>
      </c>
      <c r="V161">
        <f>IF(AND(J161&gt;0,D161="深港"),K161/J161,"")</f>
        <v/>
      </c>
      <c r="W161">
        <f>IF(G161="卖出","(L161-S161)×H161 = ("&amp;TEXT(L161,"0.######")&amp;"-"&amp;TEXT(S161,"0.######")&amp;")×"&amp;H161,"")</f>
        <v/>
      </c>
      <c r="Y161">
        <f>IF(E161="","",IF(D161="深港",TEXT(--E161,"0000")&amp;".HK",IF(--E161&gt;=600000,TEXT(--E161,"000000")&amp;".SH",TEXT(--E161,"000000")&amp;".SZ")))</f>
        <v/>
      </c>
      <c r="Z161">
        <f>IF(Y161="","",IFERROR(INDEX('估值日行情'!$C$3:$C$61,MATCH(Y161,'估值日行情'!$A$3:$A$61,0)),""))</f>
        <v/>
      </c>
      <c r="AA161">
        <f>IF(D161="深港",IFERROR('FX_RATES_TO_CNY_HIST'!$B$3,""),1)</f>
        <v/>
      </c>
      <c r="AB161">
        <f>IF(Z161&lt;&gt;"",Z161*AA161,"")</f>
        <v/>
      </c>
      <c r="AC161">
        <f>SUMIFS($H$2:H161,$D$2:D161,D161,$E$2:E161,E161,$G$2:G161,"买入")-SUMIFS($H$2:H161,$D$2:D161,D161,$E$2:E161,E161,$G$2:G161,"卖出")</f>
        <v/>
      </c>
      <c r="AD161">
        <f>IF(D161="深港",IF(Q161&gt;0,SUMIFS($J$2:J160,$D$2:D160,D161,$E$2:E160,E161,$G$2:G160,"买入")/SUMIFS($H$2:H160,$D$2:D160,D161,$E$2:E160,E161,$G$2:G160,"买入"),""),S161)</f>
        <v/>
      </c>
      <c r="AE161">
        <f>IF(AC161&gt;0,AC161*Z161-AC161*AD161,0)</f>
        <v/>
      </c>
      <c r="AF161">
        <f>IF(AC161&gt;0,IF(D161="深港",AE161*AA161,AE161),0)</f>
        <v/>
      </c>
      <c r="AG161">
        <f>SUMIFS($H$2:H160,$D$2:D160,D161,$E$2:E160,E161,$G$2:G160,"买入")</f>
        <v/>
      </c>
      <c r="AH161">
        <f>SUMIFS($K$2:K160,$D$2:D160,D161,$E$2:E160,E161,$G$2:G160,"买入")</f>
        <v/>
      </c>
      <c r="AI161">
        <f>IF(AG161&gt;0,AH161/AG161,"")</f>
        <v/>
      </c>
      <c r="AJ161">
        <f>IF(G161="卖出",IF(AI161="","",(L161-AI161)*H161),0)</f>
        <v/>
      </c>
      <c r="AK161">
        <f>IF(G161="卖出",AJ161-T161,"")</f>
        <v/>
      </c>
      <c r="AL161">
        <f>IF(G161="卖出","(L161-AI161)×H161 = ("&amp;TEXT(L161,"0.######")&amp;"-"&amp;TEXT(AI161,"0.######")&amp;")×"&amp;H161,"")</f>
        <v/>
      </c>
    </row>
    <row r="162">
      <c r="A162">
        <f>IF('交易流水'!A122&lt;&gt;"","流水","")</f>
        <v/>
      </c>
      <c r="B162">
        <f>'交易流水'!B122</f>
        <v/>
      </c>
      <c r="C162">
        <f>'交易流水'!X122</f>
        <v/>
      </c>
      <c r="D162">
        <f>IF(ISNUMBER(SEARCH("深港",C162)),"深港",IF(ISNUMBER(SEARCH("场内",C162)),"场内","其他"))</f>
        <v/>
      </c>
      <c r="E162">
        <f>'交易流水'!F122</f>
        <v/>
      </c>
      <c r="F162">
        <f>'交易流水'!G122</f>
        <v/>
      </c>
      <c r="G162">
        <f>'交易流水'!H122</f>
        <v/>
      </c>
      <c r="H162">
        <f>'交易流水'!K122</f>
        <v/>
      </c>
      <c r="I162">
        <f>'交易流水'!P122</f>
        <v/>
      </c>
      <c r="J162">
        <f>'交易流水'!L122</f>
        <v/>
      </c>
      <c r="K162">
        <f>'交易流水'!AR122</f>
        <v/>
      </c>
      <c r="L162">
        <f>IF(H162&gt;0,K162/H162,"")</f>
        <v/>
      </c>
      <c r="M162">
        <f>IF(G162="买入",H162,0)</f>
        <v/>
      </c>
      <c r="N162">
        <f>IF(G162="买入",K162,0)</f>
        <v/>
      </c>
      <c r="O162">
        <f>IF(G162="卖出",H162,0)</f>
        <v/>
      </c>
      <c r="P162">
        <f>IF(G162="卖出",K162,0)</f>
        <v/>
      </c>
      <c r="Q162">
        <f>SUMIFS($H$2:H161,$A$2:A161,"流水",$D$2:D161,D162,$E$2:E161,E162,$G$2:G161,"买入")</f>
        <v/>
      </c>
      <c r="R162">
        <f>SUMIFS($K$2:K161,$A$2:A161,"流水",$D$2:D161,D162,$E$2:E161,E162,$G$2:G161,"买入")</f>
        <v/>
      </c>
      <c r="S162">
        <f>IF(Q162&gt;0,R162/Q162,"")</f>
        <v/>
      </c>
      <c r="T162">
        <f>IF(G162="卖出",IF(S162="","",(L162-S162)*H162),0)</f>
        <v/>
      </c>
      <c r="U162" t="n">
        <v>-7853.36</v>
      </c>
      <c r="V162">
        <f>IF(AND(J162&gt;0,D162="深港"),K162/J162,"")</f>
        <v/>
      </c>
      <c r="W162">
        <f>IF(G162="卖出","(L162-S162)×H162 = ("&amp;TEXT(L162,"0.######")&amp;"-"&amp;TEXT(S162,"0.######")&amp;")×"&amp;H162,"")</f>
        <v/>
      </c>
      <c r="X162" t="inlineStr">
        <is>
          <t>(L162-L33)×10000=(75.090063-75.875399)×10000=-7853.36 → -7853.36</t>
        </is>
      </c>
      <c r="Y162">
        <f>IF(E162="","",IF(D162="深港",TEXT(--E162,"0000")&amp;".HK",IF(--E162&gt;=600000,TEXT(--E162,"000000")&amp;".SH",TEXT(--E162,"000000")&amp;".SZ")))</f>
        <v/>
      </c>
      <c r="Z162">
        <f>IF(Y162="","",IFERROR(INDEX('估值日行情'!$C$3:$C$61,MATCH(Y162,'估值日行情'!$A$3:$A$61,0)),""))</f>
        <v/>
      </c>
      <c r="AA162">
        <f>IF(D162="深港",IFERROR('FX_RATES_TO_CNY_HIST'!$B$3,""),1)</f>
        <v/>
      </c>
      <c r="AB162">
        <f>IF(Z162&lt;&gt;"",Z162*AA162,"")</f>
        <v/>
      </c>
      <c r="AC162">
        <f>SUMIFS($H$2:H162,$D$2:D162,D162,$E$2:E162,E162,$G$2:G162,"买入")-SUMIFS($H$2:H162,$D$2:D162,D162,$E$2:E162,E162,$G$2:G162,"卖出")</f>
        <v/>
      </c>
      <c r="AD162">
        <f>IF(D162="深港",IF(Q162&gt;0,SUMIFS($J$2:J161,$D$2:D161,D162,$E$2:E161,E162,$G$2:G161,"买入")/SUMIFS($H$2:H161,$D$2:D161,D162,$E$2:E161,E162,$G$2:G161,"买入"),""),S162)</f>
        <v/>
      </c>
      <c r="AE162">
        <f>IF(AC162&gt;0,AC162*Z162-AC162*AD162,0)</f>
        <v/>
      </c>
      <c r="AF162">
        <f>IF(AC162&gt;0,IF(D162="深港",AE162*AA162,AE162),0)</f>
        <v/>
      </c>
      <c r="AG162">
        <f>SUMIFS($H$2:H161,$D$2:D161,D162,$E$2:E161,E162,$G$2:G161,"买入")</f>
        <v/>
      </c>
      <c r="AH162">
        <f>SUMIFS($K$2:K161,$D$2:D161,D162,$E$2:E161,E162,$G$2:G161,"买入")</f>
        <v/>
      </c>
      <c r="AI162">
        <f>IF(AG162&gt;0,AH162/AG162,"")</f>
        <v/>
      </c>
      <c r="AJ162">
        <f>IF(G162="卖出",IF(AI162="","",(L162-AI162)*H162),0)</f>
        <v/>
      </c>
      <c r="AK162">
        <f>IF(G162="卖出",AJ162-T162,"")</f>
        <v/>
      </c>
      <c r="AL162">
        <f>IF(G162="卖出","(L162-AI162)×H162 = ("&amp;TEXT(L162,"0.######")&amp;"-"&amp;TEXT(AI162,"0.######")&amp;")×"&amp;H162,"")</f>
        <v/>
      </c>
    </row>
    <row r="163">
      <c r="A163">
        <f>IF('交易流水'!A123&lt;&gt;"","流水","")</f>
        <v/>
      </c>
      <c r="B163">
        <f>'交易流水'!B123</f>
        <v/>
      </c>
      <c r="C163">
        <f>'交易流水'!X123</f>
        <v/>
      </c>
      <c r="D163">
        <f>IF(ISNUMBER(SEARCH("深港",C163)),"深港",IF(ISNUMBER(SEARCH("场内",C163)),"场内","其他"))</f>
        <v/>
      </c>
      <c r="E163">
        <f>'交易流水'!F123</f>
        <v/>
      </c>
      <c r="F163">
        <f>'交易流水'!G123</f>
        <v/>
      </c>
      <c r="G163">
        <f>'交易流水'!H123</f>
        <v/>
      </c>
      <c r="H163">
        <f>'交易流水'!K123</f>
        <v/>
      </c>
      <c r="I163">
        <f>'交易流水'!P123</f>
        <v/>
      </c>
      <c r="J163">
        <f>'交易流水'!L123</f>
        <v/>
      </c>
      <c r="K163">
        <f>'交易流水'!AR123</f>
        <v/>
      </c>
      <c r="L163">
        <f>IF(H163&gt;0,K163/H163,"")</f>
        <v/>
      </c>
      <c r="M163">
        <f>IF(G163="买入",H163,0)</f>
        <v/>
      </c>
      <c r="N163">
        <f>IF(G163="买入",K163,0)</f>
        <v/>
      </c>
      <c r="O163">
        <f>IF(G163="卖出",H163,0)</f>
        <v/>
      </c>
      <c r="P163">
        <f>IF(G163="卖出",K163,0)</f>
        <v/>
      </c>
      <c r="Q163">
        <f>SUMIFS($H$2:H162,$A$2:A162,"流水",$D$2:D162,D163,$E$2:E162,E163,$G$2:G162,"买入")</f>
        <v/>
      </c>
      <c r="R163">
        <f>SUMIFS($K$2:K162,$A$2:A162,"流水",$D$2:D162,D163,$E$2:E162,E163,$G$2:G162,"买入")</f>
        <v/>
      </c>
      <c r="S163">
        <f>IF(Q163&gt;0,R163/Q163,"")</f>
        <v/>
      </c>
      <c r="T163">
        <f>IF(G163="卖出",IF(S163="","",(L163-S163)*H163),0)</f>
        <v/>
      </c>
      <c r="U163" t="n">
        <v>0</v>
      </c>
      <c r="V163">
        <f>IF(AND(J163&gt;0,D163="深港"),K163/J163,"")</f>
        <v/>
      </c>
      <c r="W163">
        <f>IF(G163="卖出","(L163-S163)×H163 = ("&amp;TEXT(L163,"0.######")&amp;"-"&amp;TEXT(S163,"0.######")&amp;")×"&amp;H163,"")</f>
        <v/>
      </c>
      <c r="Y163">
        <f>IF(E163="","",IF(D163="深港",TEXT(--E163,"0000")&amp;".HK",IF(--E163&gt;=600000,TEXT(--E163,"000000")&amp;".SH",TEXT(--E163,"000000")&amp;".SZ")))</f>
        <v/>
      </c>
      <c r="Z163">
        <f>IF(Y163="","",IFERROR(INDEX('估值日行情'!$C$3:$C$61,MATCH(Y163,'估值日行情'!$A$3:$A$61,0)),""))</f>
        <v/>
      </c>
      <c r="AA163">
        <f>IF(D163="深港",IFERROR('FX_RATES_TO_CNY_HIST'!$B$3,""),1)</f>
        <v/>
      </c>
      <c r="AB163">
        <f>IF(Z163&lt;&gt;"",Z163*AA163,"")</f>
        <v/>
      </c>
      <c r="AC163">
        <f>SUMIFS($H$2:H163,$D$2:D163,D163,$E$2:E163,E163,$G$2:G163,"买入")-SUMIFS($H$2:H163,$D$2:D163,D163,$E$2:E163,E163,$G$2:G163,"卖出")</f>
        <v/>
      </c>
      <c r="AD163">
        <f>IF(D163="深港",IF(Q163&gt;0,SUMIFS($J$2:J162,$D$2:D162,D163,$E$2:E162,E163,$G$2:G162,"买入")/SUMIFS($H$2:H162,$D$2:D162,D163,$E$2:E162,E163,$G$2:G162,"买入"),""),S163)</f>
        <v/>
      </c>
      <c r="AE163">
        <f>IF(AC163&gt;0,AC163*Z163-AC163*AD163,0)</f>
        <v/>
      </c>
      <c r="AF163">
        <f>IF(AC163&gt;0,IF(D163="深港",AE163*AA163,AE163),0)</f>
        <v/>
      </c>
      <c r="AG163">
        <f>SUMIFS($H$2:H162,$D$2:D162,D163,$E$2:E162,E163,$G$2:G162,"买入")</f>
        <v/>
      </c>
      <c r="AH163">
        <f>SUMIFS($K$2:K162,$D$2:D162,D163,$E$2:E162,E163,$G$2:G162,"买入")</f>
        <v/>
      </c>
      <c r="AI163">
        <f>IF(AG163&gt;0,AH163/AG163,"")</f>
        <v/>
      </c>
      <c r="AJ163">
        <f>IF(G163="卖出",IF(AI163="","",(L163-AI163)*H163),0)</f>
        <v/>
      </c>
      <c r="AK163">
        <f>IF(G163="卖出",AJ163-T163,"")</f>
        <v/>
      </c>
      <c r="AL163">
        <f>IF(G163="卖出","(L163-AI163)×H163 = ("&amp;TEXT(L163,"0.######")&amp;"-"&amp;TEXT(AI163,"0.######")&amp;")×"&amp;H163,"")</f>
        <v/>
      </c>
    </row>
    <row r="164">
      <c r="A164">
        <f>IF('交易流水'!A124&lt;&gt;"","流水","")</f>
        <v/>
      </c>
      <c r="B164">
        <f>'交易流水'!B124</f>
        <v/>
      </c>
      <c r="C164">
        <f>'交易流水'!X124</f>
        <v/>
      </c>
      <c r="D164">
        <f>IF(ISNUMBER(SEARCH("深港",C164)),"深港",IF(ISNUMBER(SEARCH("场内",C164)),"场内","其他"))</f>
        <v/>
      </c>
      <c r="E164">
        <f>'交易流水'!F124</f>
        <v/>
      </c>
      <c r="F164">
        <f>'交易流水'!G124</f>
        <v/>
      </c>
      <c r="G164">
        <f>'交易流水'!H124</f>
        <v/>
      </c>
      <c r="H164">
        <f>'交易流水'!K124</f>
        <v/>
      </c>
      <c r="I164">
        <f>'交易流水'!P124</f>
        <v/>
      </c>
      <c r="J164">
        <f>'交易流水'!L124</f>
        <v/>
      </c>
      <c r="K164">
        <f>'交易流水'!AR124</f>
        <v/>
      </c>
      <c r="L164">
        <f>IF(H164&gt;0,K164/H164,"")</f>
        <v/>
      </c>
      <c r="M164">
        <f>IF(G164="买入",H164,0)</f>
        <v/>
      </c>
      <c r="N164">
        <f>IF(G164="买入",K164,0)</f>
        <v/>
      </c>
      <c r="O164">
        <f>IF(G164="卖出",H164,0)</f>
        <v/>
      </c>
      <c r="P164">
        <f>IF(G164="卖出",K164,0)</f>
        <v/>
      </c>
      <c r="Q164">
        <f>SUMIFS($H$2:H163,$A$2:A163,"流水",$D$2:D163,D164,$E$2:E163,E164,$G$2:G163,"买入")</f>
        <v/>
      </c>
      <c r="R164">
        <f>SUMIFS($K$2:K163,$A$2:A163,"流水",$D$2:D163,D164,$E$2:E163,E164,$G$2:G163,"买入")</f>
        <v/>
      </c>
      <c r="S164">
        <f>IF(Q164&gt;0,R164/Q164,"")</f>
        <v/>
      </c>
      <c r="T164">
        <f>IF(G164="卖出",IF(S164="","",(L164-S164)*H164),0)</f>
        <v/>
      </c>
      <c r="U164" t="n">
        <v>0</v>
      </c>
      <c r="V164">
        <f>IF(AND(J164&gt;0,D164="深港"),K164/J164,"")</f>
        <v/>
      </c>
      <c r="W164">
        <f>IF(G164="卖出","(L164-S164)×H164 = ("&amp;TEXT(L164,"0.######")&amp;"-"&amp;TEXT(S164,"0.######")&amp;")×"&amp;H164,"")</f>
        <v/>
      </c>
      <c r="Y164">
        <f>IF(E164="","",IF(D164="深港",TEXT(--E164,"0000")&amp;".HK",IF(--E164&gt;=600000,TEXT(--E164,"000000")&amp;".SH",TEXT(--E164,"000000")&amp;".SZ")))</f>
        <v/>
      </c>
      <c r="Z164">
        <f>IF(Y164="","",IFERROR(INDEX('估值日行情'!$C$3:$C$61,MATCH(Y164,'估值日行情'!$A$3:$A$61,0)),""))</f>
        <v/>
      </c>
      <c r="AA164">
        <f>IF(D164="深港",IFERROR('FX_RATES_TO_CNY_HIST'!$B$3,""),1)</f>
        <v/>
      </c>
      <c r="AB164">
        <f>IF(Z164&lt;&gt;"",Z164*AA164,"")</f>
        <v/>
      </c>
      <c r="AC164">
        <f>SUMIFS($H$2:H164,$D$2:D164,D164,$E$2:E164,E164,$G$2:G164,"买入")-SUMIFS($H$2:H164,$D$2:D164,D164,$E$2:E164,E164,$G$2:G164,"卖出")</f>
        <v/>
      </c>
      <c r="AD164">
        <f>IF(D164="深港",IF(Q164&gt;0,SUMIFS($J$2:J163,$D$2:D163,D164,$E$2:E163,E164,$G$2:G163,"买入")/SUMIFS($H$2:H163,$D$2:D163,D164,$E$2:E163,E164,$G$2:G163,"买入"),""),S164)</f>
        <v/>
      </c>
      <c r="AE164">
        <f>IF(AC164&gt;0,AC164*Z164-AC164*AD164,0)</f>
        <v/>
      </c>
      <c r="AF164">
        <f>IF(AC164&gt;0,IF(D164="深港",AE164*AA164,AE164),0)</f>
        <v/>
      </c>
      <c r="AG164">
        <f>SUMIFS($H$2:H163,$D$2:D163,D164,$E$2:E163,E164,$G$2:G163,"买入")</f>
        <v/>
      </c>
      <c r="AH164">
        <f>SUMIFS($K$2:K163,$D$2:D163,D164,$E$2:E163,E164,$G$2:G163,"买入")</f>
        <v/>
      </c>
      <c r="AI164">
        <f>IF(AG164&gt;0,AH164/AG164,"")</f>
        <v/>
      </c>
      <c r="AJ164">
        <f>IF(G164="卖出",IF(AI164="","",(L164-AI164)*H164),0)</f>
        <v/>
      </c>
      <c r="AK164">
        <f>IF(G164="卖出",AJ164-T164,"")</f>
        <v/>
      </c>
      <c r="AL164">
        <f>IF(G164="卖出","(L164-AI164)×H164 = ("&amp;TEXT(L164,"0.######")&amp;"-"&amp;TEXT(AI164,"0.######")&amp;")×"&amp;H164,"")</f>
        <v/>
      </c>
    </row>
    <row r="165">
      <c r="A165">
        <f>IF('交易流水'!A125&lt;&gt;"","流水","")</f>
        <v/>
      </c>
      <c r="B165">
        <f>'交易流水'!B125</f>
        <v/>
      </c>
      <c r="C165">
        <f>'交易流水'!X125</f>
        <v/>
      </c>
      <c r="D165">
        <f>IF(ISNUMBER(SEARCH("深港",C165)),"深港",IF(ISNUMBER(SEARCH("场内",C165)),"场内","其他"))</f>
        <v/>
      </c>
      <c r="E165">
        <f>'交易流水'!F125</f>
        <v/>
      </c>
      <c r="F165">
        <f>'交易流水'!G125</f>
        <v/>
      </c>
      <c r="G165">
        <f>'交易流水'!H125</f>
        <v/>
      </c>
      <c r="H165">
        <f>'交易流水'!K125</f>
        <v/>
      </c>
      <c r="I165">
        <f>'交易流水'!P125</f>
        <v/>
      </c>
      <c r="J165">
        <f>'交易流水'!L125</f>
        <v/>
      </c>
      <c r="K165">
        <f>'交易流水'!AR125</f>
        <v/>
      </c>
      <c r="L165">
        <f>IF(H165&gt;0,K165/H165,"")</f>
        <v/>
      </c>
      <c r="M165">
        <f>IF(G165="买入",H165,0)</f>
        <v/>
      </c>
      <c r="N165">
        <f>IF(G165="买入",K165,0)</f>
        <v/>
      </c>
      <c r="O165">
        <f>IF(G165="卖出",H165,0)</f>
        <v/>
      </c>
      <c r="P165">
        <f>IF(G165="卖出",K165,0)</f>
        <v/>
      </c>
      <c r="Q165">
        <f>SUMIFS($H$2:H164,$A$2:A164,"流水",$D$2:D164,D165,$E$2:E164,E165,$G$2:G164,"买入")</f>
        <v/>
      </c>
      <c r="R165">
        <f>SUMIFS($K$2:K164,$A$2:A164,"流水",$D$2:D164,D165,$E$2:E164,E165,$G$2:G164,"买入")</f>
        <v/>
      </c>
      <c r="S165">
        <f>IF(Q165&gt;0,R165/Q165,"")</f>
        <v/>
      </c>
      <c r="T165">
        <f>IF(G165="卖出",IF(S165="","",(L165-S165)*H165),0)</f>
        <v/>
      </c>
      <c r="U165" t="n">
        <v>-161104.99</v>
      </c>
      <c r="V165">
        <f>IF(AND(J165&gt;0,D165="深港"),K165/J165,"")</f>
        <v/>
      </c>
      <c r="W165">
        <f>IF(G165="卖出","(L165-S165)×H165 = ("&amp;TEXT(L165,"0.######")&amp;"-"&amp;TEXT(S165,"0.######")&amp;")×"&amp;H165,"")</f>
        <v/>
      </c>
      <c r="X165" t="inlineStr">
        <is>
          <t>(L165-L21)×200000=(4.370864-5.176389)×200000=-161104.99 → -161104.99</t>
        </is>
      </c>
      <c r="Y165">
        <f>IF(E165="","",IF(D165="深港",TEXT(--E165,"0000")&amp;".HK",IF(--E165&gt;=600000,TEXT(--E165,"000000")&amp;".SH",TEXT(--E165,"000000")&amp;".SZ")))</f>
        <v/>
      </c>
      <c r="Z165">
        <f>IF(Y165="","",IFERROR(INDEX('估值日行情'!$C$3:$C$61,MATCH(Y165,'估值日行情'!$A$3:$A$61,0)),""))</f>
        <v/>
      </c>
      <c r="AA165">
        <f>IF(D165="深港",IFERROR('FX_RATES_TO_CNY_HIST'!$B$3,""),1)</f>
        <v/>
      </c>
      <c r="AB165">
        <f>IF(Z165&lt;&gt;"",Z165*AA165,"")</f>
        <v/>
      </c>
      <c r="AC165">
        <f>SUMIFS($H$2:H165,$D$2:D165,D165,$E$2:E165,E165,$G$2:G165,"买入")-SUMIFS($H$2:H165,$D$2:D165,D165,$E$2:E165,E165,$G$2:G165,"卖出")</f>
        <v/>
      </c>
      <c r="AD165">
        <f>IF(D165="深港",IF(Q165&gt;0,SUMIFS($J$2:J164,$D$2:D164,D165,$E$2:E164,E165,$G$2:G164,"买入")/SUMIFS($H$2:H164,$D$2:D164,D165,$E$2:E164,E165,$G$2:G164,"买入"),""),S165)</f>
        <v/>
      </c>
      <c r="AE165">
        <f>IF(AC165&gt;0,AC165*Z165-AC165*AD165,0)</f>
        <v/>
      </c>
      <c r="AF165">
        <f>IF(AC165&gt;0,IF(D165="深港",AE165*AA165,AE165),0)</f>
        <v/>
      </c>
      <c r="AG165">
        <f>SUMIFS($H$2:H164,$D$2:D164,D165,$E$2:E164,E165,$G$2:G164,"买入")</f>
        <v/>
      </c>
      <c r="AH165">
        <f>SUMIFS($K$2:K164,$D$2:D164,D165,$E$2:E164,E165,$G$2:G164,"买入")</f>
        <v/>
      </c>
      <c r="AI165">
        <f>IF(AG165&gt;0,AH165/AG165,"")</f>
        <v/>
      </c>
      <c r="AJ165">
        <f>IF(G165="卖出",IF(AI165="","",(L165-AI165)*H165),0)</f>
        <v/>
      </c>
      <c r="AK165">
        <f>IF(G165="卖出",AJ165-T165,"")</f>
        <v/>
      </c>
      <c r="AL165">
        <f>IF(G165="卖出","(L165-AI165)×H165 = ("&amp;TEXT(L165,"0.######")&amp;"-"&amp;TEXT(AI165,"0.######")&amp;")×"&amp;H165,"")</f>
        <v/>
      </c>
    </row>
    <row r="166">
      <c r="A166">
        <f>IF('交易流水'!A126&lt;&gt;"","流水","")</f>
        <v/>
      </c>
      <c r="B166">
        <f>'交易流水'!B126</f>
        <v/>
      </c>
      <c r="C166">
        <f>'交易流水'!X126</f>
        <v/>
      </c>
      <c r="D166">
        <f>IF(ISNUMBER(SEARCH("深港",C166)),"深港",IF(ISNUMBER(SEARCH("场内",C166)),"场内","其他"))</f>
        <v/>
      </c>
      <c r="E166">
        <f>'交易流水'!F126</f>
        <v/>
      </c>
      <c r="F166">
        <f>'交易流水'!G126</f>
        <v/>
      </c>
      <c r="G166">
        <f>'交易流水'!H126</f>
        <v/>
      </c>
      <c r="H166">
        <f>'交易流水'!K126</f>
        <v/>
      </c>
      <c r="I166">
        <f>'交易流水'!P126</f>
        <v/>
      </c>
      <c r="J166">
        <f>'交易流水'!L126</f>
        <v/>
      </c>
      <c r="K166">
        <f>'交易流水'!AR126</f>
        <v/>
      </c>
      <c r="L166">
        <f>IF(H166&gt;0,K166/H166,"")</f>
        <v/>
      </c>
      <c r="M166">
        <f>IF(G166="买入",H166,0)</f>
        <v/>
      </c>
      <c r="N166">
        <f>IF(G166="买入",K166,0)</f>
        <v/>
      </c>
      <c r="O166">
        <f>IF(G166="卖出",H166,0)</f>
        <v/>
      </c>
      <c r="P166">
        <f>IF(G166="卖出",K166,0)</f>
        <v/>
      </c>
      <c r="Q166">
        <f>SUMIFS($H$2:H165,$A$2:A165,"流水",$D$2:D165,D166,$E$2:E165,E166,$G$2:G165,"买入")</f>
        <v/>
      </c>
      <c r="R166">
        <f>SUMIFS($K$2:K165,$A$2:A165,"流水",$D$2:D165,D166,$E$2:E165,E166,$G$2:G165,"买入")</f>
        <v/>
      </c>
      <c r="S166">
        <f>IF(Q166&gt;0,R166/Q166,"")</f>
        <v/>
      </c>
      <c r="T166">
        <f>IF(G166="卖出",IF(S166="","",(L166-S166)*H166),0)</f>
        <v/>
      </c>
      <c r="U166" t="n">
        <v>-85540.36</v>
      </c>
      <c r="V166">
        <f>IF(AND(J166&gt;0,D166="深港"),K166/J166,"")</f>
        <v/>
      </c>
      <c r="W166">
        <f>IF(G166="卖出","(L166-S166)×H166 = ("&amp;TEXT(L166,"0.######")&amp;"-"&amp;TEXT(S166,"0.######")&amp;")×"&amp;H166,"")</f>
        <v/>
      </c>
      <c r="X166" t="inlineStr">
        <is>
          <t>(L166-L23)×100000=(9.751728-10.607132)×100000=-85540.36 → -85540.36</t>
        </is>
      </c>
      <c r="Y166">
        <f>IF(E166="","",IF(D166="深港",TEXT(--E166,"0000")&amp;".HK",IF(--E166&gt;=600000,TEXT(--E166,"000000")&amp;".SH",TEXT(--E166,"000000")&amp;".SZ")))</f>
        <v/>
      </c>
      <c r="Z166">
        <f>IF(Y166="","",IFERROR(INDEX('估值日行情'!$C$3:$C$61,MATCH(Y166,'估值日行情'!$A$3:$A$61,0)),""))</f>
        <v/>
      </c>
      <c r="AA166">
        <f>IF(D166="深港",IFERROR('FX_RATES_TO_CNY_HIST'!$B$3,""),1)</f>
        <v/>
      </c>
      <c r="AB166">
        <f>IF(Z166&lt;&gt;"",Z166*AA166,"")</f>
        <v/>
      </c>
      <c r="AC166">
        <f>SUMIFS($H$2:H166,$D$2:D166,D166,$E$2:E166,E166,$G$2:G166,"买入")-SUMIFS($H$2:H166,$D$2:D166,D166,$E$2:E166,E166,$G$2:G166,"卖出")</f>
        <v/>
      </c>
      <c r="AD166">
        <f>IF(D166="深港",IF(Q166&gt;0,SUMIFS($J$2:J165,$D$2:D165,D166,$E$2:E165,E166,$G$2:G165,"买入")/SUMIFS($H$2:H165,$D$2:D165,D166,$E$2:E165,E166,$G$2:G165,"买入"),""),S166)</f>
        <v/>
      </c>
      <c r="AE166">
        <f>IF(AC166&gt;0,AC166*Z166-AC166*AD166,0)</f>
        <v/>
      </c>
      <c r="AF166">
        <f>IF(AC166&gt;0,IF(D166="深港",AE166*AA166,AE166),0)</f>
        <v/>
      </c>
      <c r="AG166">
        <f>SUMIFS($H$2:H165,$D$2:D165,D166,$E$2:E165,E166,$G$2:G165,"买入")</f>
        <v/>
      </c>
      <c r="AH166">
        <f>SUMIFS($K$2:K165,$D$2:D165,D166,$E$2:E165,E166,$G$2:G165,"买入")</f>
        <v/>
      </c>
      <c r="AI166">
        <f>IF(AG166&gt;0,AH166/AG166,"")</f>
        <v/>
      </c>
      <c r="AJ166">
        <f>IF(G166="卖出",IF(AI166="","",(L166-AI166)*H166),0)</f>
        <v/>
      </c>
      <c r="AK166">
        <f>IF(G166="卖出",AJ166-T166,"")</f>
        <v/>
      </c>
      <c r="AL166">
        <f>IF(G166="卖出","(L166-AI166)×H166 = ("&amp;TEXT(L166,"0.######")&amp;"-"&amp;TEXT(AI166,"0.######")&amp;")×"&amp;H166,"")</f>
        <v/>
      </c>
    </row>
    <row r="167">
      <c r="A167">
        <f>IF('交易流水'!A127&lt;&gt;"","流水","")</f>
        <v/>
      </c>
      <c r="B167">
        <f>'交易流水'!B127</f>
        <v/>
      </c>
      <c r="C167">
        <f>'交易流水'!X127</f>
        <v/>
      </c>
      <c r="D167">
        <f>IF(ISNUMBER(SEARCH("深港",C167)),"深港",IF(ISNUMBER(SEARCH("场内",C167)),"场内","其他"))</f>
        <v/>
      </c>
      <c r="E167">
        <f>'交易流水'!F127</f>
        <v/>
      </c>
      <c r="F167">
        <f>'交易流水'!G127</f>
        <v/>
      </c>
      <c r="G167">
        <f>'交易流水'!H127</f>
        <v/>
      </c>
      <c r="H167">
        <f>'交易流水'!K127</f>
        <v/>
      </c>
      <c r="I167">
        <f>'交易流水'!P127</f>
        <v/>
      </c>
      <c r="J167">
        <f>'交易流水'!L127</f>
        <v/>
      </c>
      <c r="K167">
        <f>'交易流水'!AR127</f>
        <v/>
      </c>
      <c r="L167">
        <f>IF(H167&gt;0,K167/H167,"")</f>
        <v/>
      </c>
      <c r="M167">
        <f>IF(G167="买入",H167,0)</f>
        <v/>
      </c>
      <c r="N167">
        <f>IF(G167="买入",K167,0)</f>
        <v/>
      </c>
      <c r="O167">
        <f>IF(G167="卖出",H167,0)</f>
        <v/>
      </c>
      <c r="P167">
        <f>IF(G167="卖出",K167,0)</f>
        <v/>
      </c>
      <c r="Q167">
        <f>SUMIFS($H$2:H166,$A$2:A166,"流水",$D$2:D166,D167,$E$2:E166,E167,$G$2:G166,"买入")</f>
        <v/>
      </c>
      <c r="R167">
        <f>SUMIFS($K$2:K166,$A$2:A166,"流水",$D$2:D166,D167,$E$2:E166,E167,$G$2:G166,"买入")</f>
        <v/>
      </c>
      <c r="S167">
        <f>IF(Q167&gt;0,R167/Q167,"")</f>
        <v/>
      </c>
      <c r="T167">
        <f>IF(G167="卖出",IF(S167="","",(L167-S167)*H167),0)</f>
        <v/>
      </c>
      <c r="U167" t="n">
        <v>79598.60000000001</v>
      </c>
      <c r="V167">
        <f>IF(AND(J167&gt;0,D167="深港"),K167/J167,"")</f>
        <v/>
      </c>
      <c r="W167">
        <f>IF(G167="卖出","(L167-S167)×H167 = ("&amp;TEXT(L167,"0.######")&amp;"-"&amp;TEXT(S167,"0.######")&amp;")×"&amp;H167,"")</f>
        <v/>
      </c>
      <c r="X167" t="inlineStr">
        <is>
          <t>(L167-L26)×100000=(7.766555-6.970569)×100000=79598.60 → 79598.6</t>
        </is>
      </c>
      <c r="Y167">
        <f>IF(E167="","",IF(D167="深港",TEXT(--E167,"0000")&amp;".HK",IF(--E167&gt;=600000,TEXT(--E167,"000000")&amp;".SH",TEXT(--E167,"000000")&amp;".SZ")))</f>
        <v/>
      </c>
      <c r="Z167">
        <f>IF(Y167="","",IFERROR(INDEX('估值日行情'!$C$3:$C$61,MATCH(Y167,'估值日行情'!$A$3:$A$61,0)),""))</f>
        <v/>
      </c>
      <c r="AA167">
        <f>IF(D167="深港",IFERROR('FX_RATES_TO_CNY_HIST'!$B$3,""),1)</f>
        <v/>
      </c>
      <c r="AB167">
        <f>IF(Z167&lt;&gt;"",Z167*AA167,"")</f>
        <v/>
      </c>
      <c r="AC167">
        <f>SUMIFS($H$2:H167,$D$2:D167,D167,$E$2:E167,E167,$G$2:G167,"买入")-SUMIFS($H$2:H167,$D$2:D167,D167,$E$2:E167,E167,$G$2:G167,"卖出")</f>
        <v/>
      </c>
      <c r="AD167">
        <f>IF(D167="深港",IF(Q167&gt;0,SUMIFS($J$2:J166,$D$2:D166,D167,$E$2:E166,E167,$G$2:G166,"买入")/SUMIFS($H$2:H166,$D$2:D166,D167,$E$2:E166,E167,$G$2:G166,"买入"),""),S167)</f>
        <v/>
      </c>
      <c r="AE167">
        <f>IF(AC167&gt;0,AC167*Z167-AC167*AD167,0)</f>
        <v/>
      </c>
      <c r="AF167">
        <f>IF(AC167&gt;0,IF(D167="深港",AE167*AA167,AE167),0)</f>
        <v/>
      </c>
      <c r="AG167">
        <f>SUMIFS($H$2:H166,$D$2:D166,D167,$E$2:E166,E167,$G$2:G166,"买入")</f>
        <v/>
      </c>
      <c r="AH167">
        <f>SUMIFS($K$2:K166,$D$2:D166,D167,$E$2:E166,E167,$G$2:G166,"买入")</f>
        <v/>
      </c>
      <c r="AI167">
        <f>IF(AG167&gt;0,AH167/AG167,"")</f>
        <v/>
      </c>
      <c r="AJ167">
        <f>IF(G167="卖出",IF(AI167="","",(L167-AI167)*H167),0)</f>
        <v/>
      </c>
      <c r="AK167">
        <f>IF(G167="卖出",AJ167-T167,"")</f>
        <v/>
      </c>
      <c r="AL167">
        <f>IF(G167="卖出","(L167-AI167)×H167 = ("&amp;TEXT(L167,"0.######")&amp;"-"&amp;TEXT(AI167,"0.######")&amp;")×"&amp;H167,"")</f>
        <v/>
      </c>
    </row>
    <row r="168">
      <c r="A168">
        <f>IF('交易流水'!A128&lt;&gt;"","流水","")</f>
        <v/>
      </c>
      <c r="B168">
        <f>'交易流水'!B128</f>
        <v/>
      </c>
      <c r="C168">
        <f>'交易流水'!X128</f>
        <v/>
      </c>
      <c r="D168">
        <f>IF(ISNUMBER(SEARCH("深港",C168)),"深港",IF(ISNUMBER(SEARCH("场内",C168)),"场内","其他"))</f>
        <v/>
      </c>
      <c r="E168">
        <f>'交易流水'!F128</f>
        <v/>
      </c>
      <c r="F168">
        <f>'交易流水'!G128</f>
        <v/>
      </c>
      <c r="G168">
        <f>'交易流水'!H128</f>
        <v/>
      </c>
      <c r="H168">
        <f>'交易流水'!K128</f>
        <v/>
      </c>
      <c r="I168">
        <f>'交易流水'!P128</f>
        <v/>
      </c>
      <c r="J168">
        <f>'交易流水'!L128</f>
        <v/>
      </c>
      <c r="K168">
        <f>'交易流水'!AR128</f>
        <v/>
      </c>
      <c r="L168">
        <f>IF(H168&gt;0,K168/H168,"")</f>
        <v/>
      </c>
      <c r="M168">
        <f>IF(G168="买入",H168,0)</f>
        <v/>
      </c>
      <c r="N168">
        <f>IF(G168="买入",K168,0)</f>
        <v/>
      </c>
      <c r="O168">
        <f>IF(G168="卖出",H168,0)</f>
        <v/>
      </c>
      <c r="P168">
        <f>IF(G168="卖出",K168,0)</f>
        <v/>
      </c>
      <c r="Q168">
        <f>SUMIFS($H$2:H167,$A$2:A167,"流水",$D$2:D167,D168,$E$2:E167,E168,$G$2:G167,"买入")</f>
        <v/>
      </c>
      <c r="R168">
        <f>SUMIFS($K$2:K167,$A$2:A167,"流水",$D$2:D167,D168,$E$2:E167,E168,$G$2:G167,"买入")</f>
        <v/>
      </c>
      <c r="S168">
        <f>IF(Q168&gt;0,R168/Q168,"")</f>
        <v/>
      </c>
      <c r="T168">
        <f>IF(G168="卖出",IF(S168="","",(L168-S168)*H168),0)</f>
        <v/>
      </c>
      <c r="U168" t="n">
        <v>0</v>
      </c>
      <c r="V168">
        <f>IF(AND(J168&gt;0,D168="深港"),K168/J168,"")</f>
        <v/>
      </c>
      <c r="W168">
        <f>IF(G168="卖出","(L168-S168)×H168 = ("&amp;TEXT(L168,"0.######")&amp;"-"&amp;TEXT(S168,"0.######")&amp;")×"&amp;H168,"")</f>
        <v/>
      </c>
      <c r="Y168">
        <f>IF(E168="","",IF(D168="深港",TEXT(--E168,"0000")&amp;".HK",IF(--E168&gt;=600000,TEXT(--E168,"000000")&amp;".SH",TEXT(--E168,"000000")&amp;".SZ")))</f>
        <v/>
      </c>
      <c r="Z168">
        <f>IF(Y168="","",IFERROR(INDEX('估值日行情'!$C$3:$C$61,MATCH(Y168,'估值日行情'!$A$3:$A$61,0)),""))</f>
        <v/>
      </c>
      <c r="AA168">
        <f>IF(D168="深港",IFERROR('FX_RATES_TO_CNY_HIST'!$B$3,""),1)</f>
        <v/>
      </c>
      <c r="AB168">
        <f>IF(Z168&lt;&gt;"",Z168*AA168,"")</f>
        <v/>
      </c>
      <c r="AC168">
        <f>SUMIFS($H$2:H168,$D$2:D168,D168,$E$2:E168,E168,$G$2:G168,"买入")-SUMIFS($H$2:H168,$D$2:D168,D168,$E$2:E168,E168,$G$2:G168,"卖出")</f>
        <v/>
      </c>
      <c r="AD168">
        <f>IF(D168="深港",IF(Q168&gt;0,SUMIFS($J$2:J167,$D$2:D167,D168,$E$2:E167,E168,$G$2:G167,"买入")/SUMIFS($H$2:H167,$D$2:D167,D168,$E$2:E167,E168,$G$2:G167,"买入"),""),S168)</f>
        <v/>
      </c>
      <c r="AE168">
        <f>IF(AC168&gt;0,AC168*Z168-AC168*AD168,0)</f>
        <v/>
      </c>
      <c r="AF168">
        <f>IF(AC168&gt;0,IF(D168="深港",AE168*AA168,AE168),0)</f>
        <v/>
      </c>
      <c r="AG168">
        <f>SUMIFS($H$2:H167,$D$2:D167,D168,$E$2:E167,E168,$G$2:G167,"买入")</f>
        <v/>
      </c>
      <c r="AH168">
        <f>SUMIFS($K$2:K167,$D$2:D167,D168,$E$2:E167,E168,$G$2:G167,"买入")</f>
        <v/>
      </c>
      <c r="AI168">
        <f>IF(AG168&gt;0,AH168/AG168,"")</f>
        <v/>
      </c>
      <c r="AJ168">
        <f>IF(G168="卖出",IF(AI168="","",(L168-AI168)*H168),0)</f>
        <v/>
      </c>
      <c r="AK168">
        <f>IF(G168="卖出",AJ168-T168,"")</f>
        <v/>
      </c>
      <c r="AL168">
        <f>IF(G168="卖出","(L168-AI168)×H168 = ("&amp;TEXT(L168,"0.######")&amp;"-"&amp;TEXT(AI168,"0.######")&amp;")×"&amp;H168,"")</f>
        <v/>
      </c>
    </row>
    <row r="169">
      <c r="A169">
        <f>IF('交易流水'!A129&lt;&gt;"","流水","")</f>
        <v/>
      </c>
      <c r="B169">
        <f>'交易流水'!B129</f>
        <v/>
      </c>
      <c r="C169">
        <f>'交易流水'!X129</f>
        <v/>
      </c>
      <c r="D169">
        <f>IF(ISNUMBER(SEARCH("深港",C169)),"深港",IF(ISNUMBER(SEARCH("场内",C169)),"场内","其他"))</f>
        <v/>
      </c>
      <c r="E169">
        <f>'交易流水'!F129</f>
        <v/>
      </c>
      <c r="F169">
        <f>'交易流水'!G129</f>
        <v/>
      </c>
      <c r="G169">
        <f>'交易流水'!H129</f>
        <v/>
      </c>
      <c r="H169">
        <f>'交易流水'!K129</f>
        <v/>
      </c>
      <c r="I169">
        <f>'交易流水'!P129</f>
        <v/>
      </c>
      <c r="J169">
        <f>'交易流水'!L129</f>
        <v/>
      </c>
      <c r="K169">
        <f>'交易流水'!AR129</f>
        <v/>
      </c>
      <c r="L169">
        <f>IF(H169&gt;0,K169/H169,"")</f>
        <v/>
      </c>
      <c r="M169">
        <f>IF(G169="买入",H169,0)</f>
        <v/>
      </c>
      <c r="N169">
        <f>IF(G169="买入",K169,0)</f>
        <v/>
      </c>
      <c r="O169">
        <f>IF(G169="卖出",H169,0)</f>
        <v/>
      </c>
      <c r="P169">
        <f>IF(G169="卖出",K169,0)</f>
        <v/>
      </c>
      <c r="Q169">
        <f>SUMIFS($H$2:H168,$A$2:A168,"流水",$D$2:D168,D169,$E$2:E168,E169,$G$2:G168,"买入")</f>
        <v/>
      </c>
      <c r="R169">
        <f>SUMIFS($K$2:K168,$A$2:A168,"流水",$D$2:D168,D169,$E$2:E168,E169,$G$2:G168,"买入")</f>
        <v/>
      </c>
      <c r="S169">
        <f>IF(Q169&gt;0,R169/Q169,"")</f>
        <v/>
      </c>
      <c r="T169">
        <f>IF(G169="卖出",IF(S169="","",(L169-S169)*H169),0)</f>
        <v/>
      </c>
      <c r="U169" t="n">
        <v>0</v>
      </c>
      <c r="V169">
        <f>IF(AND(J169&gt;0,D169="深港"),K169/J169,"")</f>
        <v/>
      </c>
      <c r="W169">
        <f>IF(G169="卖出","(L169-S169)×H169 = ("&amp;TEXT(L169,"0.######")&amp;"-"&amp;TEXT(S169,"0.######")&amp;")×"&amp;H169,"")</f>
        <v/>
      </c>
      <c r="Y169">
        <f>IF(E169="","",IF(D169="深港",TEXT(--E169,"0000")&amp;".HK",IF(--E169&gt;=600000,TEXT(--E169,"000000")&amp;".SH",TEXT(--E169,"000000")&amp;".SZ")))</f>
        <v/>
      </c>
      <c r="Z169">
        <f>IF(Y169="","",IFERROR(INDEX('估值日行情'!$C$3:$C$61,MATCH(Y169,'估值日行情'!$A$3:$A$61,0)),""))</f>
        <v/>
      </c>
      <c r="AA169">
        <f>IF(D169="深港",IFERROR('FX_RATES_TO_CNY_HIST'!$B$3,""),1)</f>
        <v/>
      </c>
      <c r="AB169">
        <f>IF(Z169&lt;&gt;"",Z169*AA169,"")</f>
        <v/>
      </c>
      <c r="AC169">
        <f>SUMIFS($H$2:H169,$D$2:D169,D169,$E$2:E169,E169,$G$2:G169,"买入")-SUMIFS($H$2:H169,$D$2:D169,D169,$E$2:E169,E169,$G$2:G169,"卖出")</f>
        <v/>
      </c>
      <c r="AD169">
        <f>IF(D169="深港",IF(Q169&gt;0,SUMIFS($J$2:J168,$D$2:D168,D169,$E$2:E168,E169,$G$2:G168,"买入")/SUMIFS($H$2:H168,$D$2:D168,D169,$E$2:E168,E169,$G$2:G168,"买入"),""),S169)</f>
        <v/>
      </c>
      <c r="AE169">
        <f>IF(AC169&gt;0,AC169*Z169-AC169*AD169,0)</f>
        <v/>
      </c>
      <c r="AF169">
        <f>IF(AC169&gt;0,IF(D169="深港",AE169*AA169,AE169),0)</f>
        <v/>
      </c>
      <c r="AG169">
        <f>SUMIFS($H$2:H168,$D$2:D168,D169,$E$2:E168,E169,$G$2:G168,"买入")</f>
        <v/>
      </c>
      <c r="AH169">
        <f>SUMIFS($K$2:K168,$D$2:D168,D169,$E$2:E168,E169,$G$2:G168,"买入")</f>
        <v/>
      </c>
      <c r="AI169">
        <f>IF(AG169&gt;0,AH169/AG169,"")</f>
        <v/>
      </c>
      <c r="AJ169">
        <f>IF(G169="卖出",IF(AI169="","",(L169-AI169)*H169),0)</f>
        <v/>
      </c>
      <c r="AK169">
        <f>IF(G169="卖出",AJ169-T169,"")</f>
        <v/>
      </c>
      <c r="AL169">
        <f>IF(G169="卖出","(L169-AI169)×H169 = ("&amp;TEXT(L169,"0.######")&amp;"-"&amp;TEXT(AI169,"0.######")&amp;")×"&amp;H169,"")</f>
        <v/>
      </c>
    </row>
    <row r="170">
      <c r="A170">
        <f>IF('交易流水'!A130&lt;&gt;"","流水","")</f>
        <v/>
      </c>
      <c r="B170">
        <f>'交易流水'!B130</f>
        <v/>
      </c>
      <c r="C170">
        <f>'交易流水'!X130</f>
        <v/>
      </c>
      <c r="D170">
        <f>IF(ISNUMBER(SEARCH("深港",C170)),"深港",IF(ISNUMBER(SEARCH("场内",C170)),"场内","其他"))</f>
        <v/>
      </c>
      <c r="E170">
        <f>'交易流水'!F130</f>
        <v/>
      </c>
      <c r="F170">
        <f>'交易流水'!G130</f>
        <v/>
      </c>
      <c r="G170">
        <f>'交易流水'!H130</f>
        <v/>
      </c>
      <c r="H170">
        <f>'交易流水'!K130</f>
        <v/>
      </c>
      <c r="I170">
        <f>'交易流水'!P130</f>
        <v/>
      </c>
      <c r="J170">
        <f>'交易流水'!L130</f>
        <v/>
      </c>
      <c r="K170">
        <f>'交易流水'!AR130</f>
        <v/>
      </c>
      <c r="L170">
        <f>IF(H170&gt;0,K170/H170,"")</f>
        <v/>
      </c>
      <c r="M170">
        <f>IF(G170="买入",H170,0)</f>
        <v/>
      </c>
      <c r="N170">
        <f>IF(G170="买入",K170,0)</f>
        <v/>
      </c>
      <c r="O170">
        <f>IF(G170="卖出",H170,0)</f>
        <v/>
      </c>
      <c r="P170">
        <f>IF(G170="卖出",K170,0)</f>
        <v/>
      </c>
      <c r="Q170">
        <f>SUMIFS($H$2:H169,$A$2:A169,"流水",$D$2:D169,D170,$E$2:E169,E170,$G$2:G169,"买入")</f>
        <v/>
      </c>
      <c r="R170">
        <f>SUMIFS($K$2:K169,$A$2:A169,"流水",$D$2:D169,D170,$E$2:E169,E170,$G$2:G169,"买入")</f>
        <v/>
      </c>
      <c r="S170">
        <f>IF(Q170&gt;0,R170/Q170,"")</f>
        <v/>
      </c>
      <c r="T170">
        <f>IF(G170="卖出",IF(S170="","",(L170-S170)*H170),0)</f>
        <v/>
      </c>
      <c r="U170" t="n">
        <v>29843.59</v>
      </c>
      <c r="V170">
        <f>IF(AND(J170&gt;0,D170="深港"),K170/J170,"")</f>
        <v/>
      </c>
      <c r="W170">
        <f>IF(G170="卖出","(L170-S170)×H170 = ("&amp;TEXT(L170,"0.######")&amp;"-"&amp;TEXT(S170,"0.######")&amp;")×"&amp;H170,"")</f>
        <v/>
      </c>
      <c r="X170" t="inlineStr">
        <is>
          <t>(L170-L39)×100000=(4.553709-4.255273)×100000=29843.59 → 29843.59</t>
        </is>
      </c>
      <c r="Y170">
        <f>IF(E170="","",IF(D170="深港",TEXT(--E170,"0000")&amp;".HK",IF(--E170&gt;=600000,TEXT(--E170,"000000")&amp;".SH",TEXT(--E170,"000000")&amp;".SZ")))</f>
        <v/>
      </c>
      <c r="Z170">
        <f>IF(Y170="","",IFERROR(INDEX('估值日行情'!$C$3:$C$61,MATCH(Y170,'估值日行情'!$A$3:$A$61,0)),""))</f>
        <v/>
      </c>
      <c r="AA170">
        <f>IF(D170="深港",IFERROR('FX_RATES_TO_CNY_HIST'!$B$3,""),1)</f>
        <v/>
      </c>
      <c r="AB170">
        <f>IF(Z170&lt;&gt;"",Z170*AA170,"")</f>
        <v/>
      </c>
      <c r="AC170">
        <f>SUMIFS($H$2:H170,$D$2:D170,D170,$E$2:E170,E170,$G$2:G170,"买入")-SUMIFS($H$2:H170,$D$2:D170,D170,$E$2:E170,E170,$G$2:G170,"卖出")</f>
        <v/>
      </c>
      <c r="AD170">
        <f>IF(D170="深港",IF(Q170&gt;0,SUMIFS($J$2:J169,$D$2:D169,D170,$E$2:E169,E170,$G$2:G169,"买入")/SUMIFS($H$2:H169,$D$2:D169,D170,$E$2:E169,E170,$G$2:G169,"买入"),""),S170)</f>
        <v/>
      </c>
      <c r="AE170">
        <f>IF(AC170&gt;0,AC170*Z170-AC170*AD170,0)</f>
        <v/>
      </c>
      <c r="AF170">
        <f>IF(AC170&gt;0,IF(D170="深港",AE170*AA170,AE170),0)</f>
        <v/>
      </c>
      <c r="AG170">
        <f>SUMIFS($H$2:H169,$D$2:D169,D170,$E$2:E169,E170,$G$2:G169,"买入")</f>
        <v/>
      </c>
      <c r="AH170">
        <f>SUMIFS($K$2:K169,$D$2:D169,D170,$E$2:E169,E170,$G$2:G169,"买入")</f>
        <v/>
      </c>
      <c r="AI170">
        <f>IF(AG170&gt;0,AH170/AG170,"")</f>
        <v/>
      </c>
      <c r="AJ170">
        <f>IF(G170="卖出",IF(AI170="","",(L170-AI170)*H170),0)</f>
        <v/>
      </c>
      <c r="AK170">
        <f>IF(G170="卖出",AJ170-T170,"")</f>
        <v/>
      </c>
      <c r="AL170">
        <f>IF(G170="卖出","(L170-AI170)×H170 = ("&amp;TEXT(L170,"0.######")&amp;"-"&amp;TEXT(AI170,"0.######")&amp;")×"&amp;H170,"")</f>
        <v/>
      </c>
    </row>
    <row r="171">
      <c r="A171">
        <f>IF('交易流水'!A131&lt;&gt;"","流水","")</f>
        <v/>
      </c>
      <c r="B171">
        <f>'交易流水'!B131</f>
        <v/>
      </c>
      <c r="C171">
        <f>'交易流水'!X131</f>
        <v/>
      </c>
      <c r="D171">
        <f>IF(ISNUMBER(SEARCH("深港",C171)),"深港",IF(ISNUMBER(SEARCH("场内",C171)),"场内","其他"))</f>
        <v/>
      </c>
      <c r="E171">
        <f>'交易流水'!F131</f>
        <v/>
      </c>
      <c r="F171">
        <f>'交易流水'!G131</f>
        <v/>
      </c>
      <c r="G171">
        <f>'交易流水'!H131</f>
        <v/>
      </c>
      <c r="H171">
        <f>'交易流水'!K131</f>
        <v/>
      </c>
      <c r="I171">
        <f>'交易流水'!P131</f>
        <v/>
      </c>
      <c r="J171">
        <f>'交易流水'!L131</f>
        <v/>
      </c>
      <c r="K171">
        <f>'交易流水'!AR131</f>
        <v/>
      </c>
      <c r="L171">
        <f>IF(H171&gt;0,K171/H171,"")</f>
        <v/>
      </c>
      <c r="M171">
        <f>IF(G171="买入",H171,0)</f>
        <v/>
      </c>
      <c r="N171">
        <f>IF(G171="买入",K171,0)</f>
        <v/>
      </c>
      <c r="O171">
        <f>IF(G171="卖出",H171,0)</f>
        <v/>
      </c>
      <c r="P171">
        <f>IF(G171="卖出",K171,0)</f>
        <v/>
      </c>
      <c r="Q171">
        <f>SUMIFS($H$2:H170,$A$2:A170,"流水",$D$2:D170,D171,$E$2:E170,E171,$G$2:G170,"买入")</f>
        <v/>
      </c>
      <c r="R171">
        <f>SUMIFS($K$2:K170,$A$2:A170,"流水",$D$2:D170,D171,$E$2:E170,E171,$G$2:G170,"买入")</f>
        <v/>
      </c>
      <c r="S171">
        <f>IF(Q171&gt;0,R171/Q171,"")</f>
        <v/>
      </c>
      <c r="T171">
        <f>IF(G171="卖出",IF(S171="","",(L171-S171)*H171),0)</f>
        <v/>
      </c>
      <c r="U171" t="n">
        <v>0</v>
      </c>
      <c r="V171">
        <f>IF(AND(J171&gt;0,D171="深港"),K171/J171,"")</f>
        <v/>
      </c>
      <c r="W171">
        <f>IF(G171="卖出","(L171-S171)×H171 = ("&amp;TEXT(L171,"0.######")&amp;"-"&amp;TEXT(S171,"0.######")&amp;")×"&amp;H171,"")</f>
        <v/>
      </c>
      <c r="Y171">
        <f>IF(E171="","",IF(D171="深港",TEXT(--E171,"0000")&amp;".HK",IF(--E171&gt;=600000,TEXT(--E171,"000000")&amp;".SH",TEXT(--E171,"000000")&amp;".SZ")))</f>
        <v/>
      </c>
      <c r="Z171">
        <f>IF(Y171="","",IFERROR(INDEX('估值日行情'!$C$3:$C$61,MATCH(Y171,'估值日行情'!$A$3:$A$61,0)),""))</f>
        <v/>
      </c>
      <c r="AA171">
        <f>IF(D171="深港",IFERROR('FX_RATES_TO_CNY_HIST'!$B$3,""),1)</f>
        <v/>
      </c>
      <c r="AB171">
        <f>IF(Z171&lt;&gt;"",Z171*AA171,"")</f>
        <v/>
      </c>
      <c r="AC171">
        <f>SUMIFS($H$2:H171,$D$2:D171,D171,$E$2:E171,E171,$G$2:G171,"买入")-SUMIFS($H$2:H171,$D$2:D171,D171,$E$2:E171,E171,$G$2:G171,"卖出")</f>
        <v/>
      </c>
      <c r="AD171">
        <f>IF(D171="深港",IF(Q171&gt;0,SUMIFS($J$2:J170,$D$2:D170,D171,$E$2:E170,E171,$G$2:G170,"买入")/SUMIFS($H$2:H170,$D$2:D170,D171,$E$2:E170,E171,$G$2:G170,"买入"),""),S171)</f>
        <v/>
      </c>
      <c r="AE171">
        <f>IF(AC171&gt;0,AC171*Z171-AC171*AD171,0)</f>
        <v/>
      </c>
      <c r="AF171">
        <f>IF(AC171&gt;0,IF(D171="深港",AE171*AA171,AE171),0)</f>
        <v/>
      </c>
      <c r="AG171">
        <f>SUMIFS($H$2:H170,$D$2:D170,D171,$E$2:E170,E171,$G$2:G170,"买入")</f>
        <v/>
      </c>
      <c r="AH171">
        <f>SUMIFS($K$2:K170,$D$2:D170,D171,$E$2:E170,E171,$G$2:G170,"买入")</f>
        <v/>
      </c>
      <c r="AI171">
        <f>IF(AG171&gt;0,AH171/AG171,"")</f>
        <v/>
      </c>
      <c r="AJ171">
        <f>IF(G171="卖出",IF(AI171="","",(L171-AI171)*H171),0)</f>
        <v/>
      </c>
      <c r="AK171">
        <f>IF(G171="卖出",AJ171-T171,"")</f>
        <v/>
      </c>
      <c r="AL171">
        <f>IF(G171="卖出","(L171-AI171)×H171 = ("&amp;TEXT(L171,"0.######")&amp;"-"&amp;TEXT(AI171,"0.######")&amp;")×"&amp;H171,"")</f>
        <v/>
      </c>
    </row>
    <row r="172">
      <c r="A172">
        <f>IF('交易流水'!A132&lt;&gt;"","流水","")</f>
        <v/>
      </c>
      <c r="B172">
        <f>'交易流水'!B132</f>
        <v/>
      </c>
      <c r="C172">
        <f>'交易流水'!X132</f>
        <v/>
      </c>
      <c r="D172">
        <f>IF(ISNUMBER(SEARCH("深港",C172)),"深港",IF(ISNUMBER(SEARCH("场内",C172)),"场内","其他"))</f>
        <v/>
      </c>
      <c r="E172">
        <f>'交易流水'!F132</f>
        <v/>
      </c>
      <c r="F172">
        <f>'交易流水'!G132</f>
        <v/>
      </c>
      <c r="G172">
        <f>'交易流水'!H132</f>
        <v/>
      </c>
      <c r="H172">
        <f>'交易流水'!K132</f>
        <v/>
      </c>
      <c r="I172">
        <f>'交易流水'!P132</f>
        <v/>
      </c>
      <c r="J172">
        <f>'交易流水'!L132</f>
        <v/>
      </c>
      <c r="K172">
        <f>'交易流水'!AR132</f>
        <v/>
      </c>
      <c r="L172">
        <f>IF(H172&gt;0,K172/H172,"")</f>
        <v/>
      </c>
      <c r="M172">
        <f>IF(G172="买入",H172,0)</f>
        <v/>
      </c>
      <c r="N172">
        <f>IF(G172="买入",K172,0)</f>
        <v/>
      </c>
      <c r="O172">
        <f>IF(G172="卖出",H172,0)</f>
        <v/>
      </c>
      <c r="P172">
        <f>IF(G172="卖出",K172,0)</f>
        <v/>
      </c>
      <c r="Q172">
        <f>SUMIFS($H$2:H171,$A$2:A171,"流水",$D$2:D171,D172,$E$2:E171,E172,$G$2:G171,"买入")</f>
        <v/>
      </c>
      <c r="R172">
        <f>SUMIFS($K$2:K171,$A$2:A171,"流水",$D$2:D171,D172,$E$2:E171,E172,$G$2:G171,"买入")</f>
        <v/>
      </c>
      <c r="S172">
        <f>IF(Q172&gt;0,R172/Q172,"")</f>
        <v/>
      </c>
      <c r="T172">
        <f>IF(G172="卖出",IF(S172="","",(L172-S172)*H172),0)</f>
        <v/>
      </c>
      <c r="U172" t="n">
        <v>0</v>
      </c>
      <c r="V172">
        <f>IF(AND(J172&gt;0,D172="深港"),K172/J172,"")</f>
        <v/>
      </c>
      <c r="W172">
        <f>IF(G172="卖出","(L172-S172)×H172 = ("&amp;TEXT(L172,"0.######")&amp;"-"&amp;TEXT(S172,"0.######")&amp;")×"&amp;H172,"")</f>
        <v/>
      </c>
      <c r="Y172">
        <f>IF(E172="","",IF(D172="深港",TEXT(--E172,"0000")&amp;".HK",IF(--E172&gt;=600000,TEXT(--E172,"000000")&amp;".SH",TEXT(--E172,"000000")&amp;".SZ")))</f>
        <v/>
      </c>
      <c r="Z172">
        <f>IF(Y172="","",IFERROR(INDEX('估值日行情'!$C$3:$C$61,MATCH(Y172,'估值日行情'!$A$3:$A$61,0)),""))</f>
        <v/>
      </c>
      <c r="AA172">
        <f>IF(D172="深港",IFERROR('FX_RATES_TO_CNY_HIST'!$B$3,""),1)</f>
        <v/>
      </c>
      <c r="AB172">
        <f>IF(Z172&lt;&gt;"",Z172*AA172,"")</f>
        <v/>
      </c>
      <c r="AC172">
        <f>SUMIFS($H$2:H172,$D$2:D172,D172,$E$2:E172,E172,$G$2:G172,"买入")-SUMIFS($H$2:H172,$D$2:D172,D172,$E$2:E172,E172,$G$2:G172,"卖出")</f>
        <v/>
      </c>
      <c r="AD172">
        <f>IF(D172="深港",IF(Q172&gt;0,SUMIFS($J$2:J171,$D$2:D171,D172,$E$2:E171,E172,$G$2:G171,"买入")/SUMIFS($H$2:H171,$D$2:D171,D172,$E$2:E171,E172,$G$2:G171,"买入"),""),S172)</f>
        <v/>
      </c>
      <c r="AE172">
        <f>IF(AC172&gt;0,AC172*Z172-AC172*AD172,0)</f>
        <v/>
      </c>
      <c r="AF172">
        <f>IF(AC172&gt;0,IF(D172="深港",AE172*AA172,AE172),0)</f>
        <v/>
      </c>
      <c r="AG172">
        <f>SUMIFS($H$2:H171,$D$2:D171,D172,$E$2:E171,E172,$G$2:G171,"买入")</f>
        <v/>
      </c>
      <c r="AH172">
        <f>SUMIFS($K$2:K171,$D$2:D171,D172,$E$2:E171,E172,$G$2:G171,"买入")</f>
        <v/>
      </c>
      <c r="AI172">
        <f>IF(AG172&gt;0,AH172/AG172,"")</f>
        <v/>
      </c>
      <c r="AJ172">
        <f>IF(G172="卖出",IF(AI172="","",(L172-AI172)*H172),0)</f>
        <v/>
      </c>
      <c r="AK172">
        <f>IF(G172="卖出",AJ172-T172,"")</f>
        <v/>
      </c>
      <c r="AL172">
        <f>IF(G172="卖出","(L172-AI172)×H172 = ("&amp;TEXT(L172,"0.######")&amp;"-"&amp;TEXT(AI172,"0.######")&amp;")×"&amp;H172,"")</f>
        <v/>
      </c>
    </row>
    <row r="173">
      <c r="A173">
        <f>IF('交易流水'!A133&lt;&gt;"","流水","")</f>
        <v/>
      </c>
      <c r="B173">
        <f>'交易流水'!B133</f>
        <v/>
      </c>
      <c r="C173">
        <f>'交易流水'!X133</f>
        <v/>
      </c>
      <c r="D173">
        <f>IF(ISNUMBER(SEARCH("深港",C173)),"深港",IF(ISNUMBER(SEARCH("场内",C173)),"场内","其他"))</f>
        <v/>
      </c>
      <c r="E173">
        <f>'交易流水'!F133</f>
        <v/>
      </c>
      <c r="F173">
        <f>'交易流水'!G133</f>
        <v/>
      </c>
      <c r="G173">
        <f>'交易流水'!H133</f>
        <v/>
      </c>
      <c r="H173">
        <f>'交易流水'!K133</f>
        <v/>
      </c>
      <c r="I173">
        <f>'交易流水'!P133</f>
        <v/>
      </c>
      <c r="J173">
        <f>'交易流水'!L133</f>
        <v/>
      </c>
      <c r="K173">
        <f>'交易流水'!AR133</f>
        <v/>
      </c>
      <c r="L173">
        <f>IF(H173&gt;0,K173/H173,"")</f>
        <v/>
      </c>
      <c r="M173">
        <f>IF(G173="买入",H173,0)</f>
        <v/>
      </c>
      <c r="N173">
        <f>IF(G173="买入",K173,0)</f>
        <v/>
      </c>
      <c r="O173">
        <f>IF(G173="卖出",H173,0)</f>
        <v/>
      </c>
      <c r="P173">
        <f>IF(G173="卖出",K173,0)</f>
        <v/>
      </c>
      <c r="Q173">
        <f>SUMIFS($H$2:H172,$A$2:A172,"流水",$D$2:D172,D173,$E$2:E172,E173,$G$2:G172,"买入")</f>
        <v/>
      </c>
      <c r="R173">
        <f>SUMIFS($K$2:K172,$A$2:A172,"流水",$D$2:D172,D173,$E$2:E172,E173,$G$2:G172,"买入")</f>
        <v/>
      </c>
      <c r="S173">
        <f>IF(Q173&gt;0,R173/Q173,"")</f>
        <v/>
      </c>
      <c r="T173">
        <f>IF(G173="卖出",IF(S173="","",(L173-S173)*H173),0)</f>
        <v/>
      </c>
      <c r="U173" t="n">
        <v>-316933.52</v>
      </c>
      <c r="V173">
        <f>IF(AND(J173&gt;0,D173="深港"),K173/J173,"")</f>
        <v/>
      </c>
      <c r="W173">
        <f>IF(G173="卖出","(L173-S173)×H173 = ("&amp;TEXT(L173,"0.######")&amp;"-"&amp;TEXT(S173,"0.######")&amp;")×"&amp;H173,"")</f>
        <v/>
      </c>
      <c r="X173" t="inlineStr">
        <is>
          <t>(L173-L22)×200000=(6.439714-8.024382)×200000=-316933.52 → -316933.52</t>
        </is>
      </c>
      <c r="Y173">
        <f>IF(E173="","",IF(D173="深港",TEXT(--E173,"0000")&amp;".HK",IF(--E173&gt;=600000,TEXT(--E173,"000000")&amp;".SH",TEXT(--E173,"000000")&amp;".SZ")))</f>
        <v/>
      </c>
      <c r="Z173">
        <f>IF(Y173="","",IFERROR(INDEX('估值日行情'!$C$3:$C$61,MATCH(Y173,'估值日行情'!$A$3:$A$61,0)),""))</f>
        <v/>
      </c>
      <c r="AA173">
        <f>IF(D173="深港",IFERROR('FX_RATES_TO_CNY_HIST'!$B$3,""),1)</f>
        <v/>
      </c>
      <c r="AB173">
        <f>IF(Z173&lt;&gt;"",Z173*AA173,"")</f>
        <v/>
      </c>
      <c r="AC173">
        <f>SUMIFS($H$2:H173,$D$2:D173,D173,$E$2:E173,E173,$G$2:G173,"买入")-SUMIFS($H$2:H173,$D$2:D173,D173,$E$2:E173,E173,$G$2:G173,"卖出")</f>
        <v/>
      </c>
      <c r="AD173">
        <f>IF(D173="深港",IF(Q173&gt;0,SUMIFS($J$2:J172,$D$2:D172,D173,$E$2:E172,E173,$G$2:G172,"买入")/SUMIFS($H$2:H172,$D$2:D172,D173,$E$2:E172,E173,$G$2:G172,"买入"),""),S173)</f>
        <v/>
      </c>
      <c r="AE173">
        <f>IF(AC173&gt;0,AC173*Z173-AC173*AD173,0)</f>
        <v/>
      </c>
      <c r="AF173">
        <f>IF(AC173&gt;0,IF(D173="深港",AE173*AA173,AE173),0)</f>
        <v/>
      </c>
      <c r="AG173">
        <f>SUMIFS($H$2:H172,$D$2:D172,D173,$E$2:E172,E173,$G$2:G172,"买入")</f>
        <v/>
      </c>
      <c r="AH173">
        <f>SUMIFS($K$2:K172,$D$2:D172,D173,$E$2:E172,E173,$G$2:G172,"买入")</f>
        <v/>
      </c>
      <c r="AI173">
        <f>IF(AG173&gt;0,AH173/AG173,"")</f>
        <v/>
      </c>
      <c r="AJ173">
        <f>IF(G173="卖出",IF(AI173="","",(L173-AI173)*H173),0)</f>
        <v/>
      </c>
      <c r="AK173">
        <f>IF(G173="卖出",AJ173-T173,"")</f>
        <v/>
      </c>
      <c r="AL173">
        <f>IF(G173="卖出","(L173-AI173)×H173 = ("&amp;TEXT(L173,"0.######")&amp;"-"&amp;TEXT(AI173,"0.######")&amp;")×"&amp;H173,"")</f>
        <v/>
      </c>
    </row>
    <row r="174">
      <c r="A174">
        <f>IF('交易流水'!A134&lt;&gt;"","流水","")</f>
        <v/>
      </c>
      <c r="B174">
        <f>'交易流水'!B134</f>
        <v/>
      </c>
      <c r="C174">
        <f>'交易流水'!X134</f>
        <v/>
      </c>
      <c r="D174">
        <f>IF(ISNUMBER(SEARCH("深港",C174)),"深港",IF(ISNUMBER(SEARCH("场内",C174)),"场内","其他"))</f>
        <v/>
      </c>
      <c r="E174">
        <f>'交易流水'!F134</f>
        <v/>
      </c>
      <c r="F174">
        <f>'交易流水'!G134</f>
        <v/>
      </c>
      <c r="G174">
        <f>'交易流水'!H134</f>
        <v/>
      </c>
      <c r="H174">
        <f>'交易流水'!K134</f>
        <v/>
      </c>
      <c r="I174">
        <f>'交易流水'!P134</f>
        <v/>
      </c>
      <c r="J174">
        <f>'交易流水'!L134</f>
        <v/>
      </c>
      <c r="K174">
        <f>'交易流水'!AR134</f>
        <v/>
      </c>
      <c r="L174">
        <f>IF(H174&gt;0,K174/H174,"")</f>
        <v/>
      </c>
      <c r="M174">
        <f>IF(G174="买入",H174,0)</f>
        <v/>
      </c>
      <c r="N174">
        <f>IF(G174="买入",K174,0)</f>
        <v/>
      </c>
      <c r="O174">
        <f>IF(G174="卖出",H174,0)</f>
        <v/>
      </c>
      <c r="P174">
        <f>IF(G174="卖出",K174,0)</f>
        <v/>
      </c>
      <c r="Q174">
        <f>SUMIFS($H$2:H173,$A$2:A173,"流水",$D$2:D173,D174,$E$2:E173,E174,$G$2:G173,"买入")</f>
        <v/>
      </c>
      <c r="R174">
        <f>SUMIFS($K$2:K173,$A$2:A173,"流水",$D$2:D173,D174,$E$2:E173,E174,$G$2:G173,"买入")</f>
        <v/>
      </c>
      <c r="S174">
        <f>IF(Q174&gt;0,R174/Q174,"")</f>
        <v/>
      </c>
      <c r="T174">
        <f>IF(G174="卖出",IF(S174="","",(L174-S174)*H174),0)</f>
        <v/>
      </c>
      <c r="U174" t="n">
        <v>0</v>
      </c>
      <c r="V174">
        <f>IF(AND(J174&gt;0,D174="深港"),K174/J174,"")</f>
        <v/>
      </c>
      <c r="W174">
        <f>IF(G174="卖出","(L174-S174)×H174 = ("&amp;TEXT(L174,"0.######")&amp;"-"&amp;TEXT(S174,"0.######")&amp;")×"&amp;H174,"")</f>
        <v/>
      </c>
      <c r="Y174">
        <f>IF(E174="","",IF(D174="深港",TEXT(--E174,"0000")&amp;".HK",IF(--E174&gt;=600000,TEXT(--E174,"000000")&amp;".SH",TEXT(--E174,"000000")&amp;".SZ")))</f>
        <v/>
      </c>
      <c r="Z174">
        <f>IF(Y174="","",IFERROR(INDEX('估值日行情'!$C$3:$C$61,MATCH(Y174,'估值日行情'!$A$3:$A$61,0)),""))</f>
        <v/>
      </c>
      <c r="AA174">
        <f>IF(D174="深港",IFERROR('FX_RATES_TO_CNY_HIST'!$B$3,""),1)</f>
        <v/>
      </c>
      <c r="AB174">
        <f>IF(Z174&lt;&gt;"",Z174*AA174,"")</f>
        <v/>
      </c>
      <c r="AC174">
        <f>SUMIFS($H$2:H174,$D$2:D174,D174,$E$2:E174,E174,$G$2:G174,"买入")-SUMIFS($H$2:H174,$D$2:D174,D174,$E$2:E174,E174,$G$2:G174,"卖出")</f>
        <v/>
      </c>
      <c r="AD174">
        <f>IF(D174="深港",IF(Q174&gt;0,SUMIFS($J$2:J173,$D$2:D173,D174,$E$2:E173,E174,$G$2:G173,"买入")/SUMIFS($H$2:H173,$D$2:D173,D174,$E$2:E173,E174,$G$2:G173,"买入"),""),S174)</f>
        <v/>
      </c>
      <c r="AE174">
        <f>IF(AC174&gt;0,AC174*Z174-AC174*AD174,0)</f>
        <v/>
      </c>
      <c r="AF174">
        <f>IF(AC174&gt;0,IF(D174="深港",AE174*AA174,AE174),0)</f>
        <v/>
      </c>
      <c r="AG174">
        <f>SUMIFS($H$2:H173,$D$2:D173,D174,$E$2:E173,E174,$G$2:G173,"买入")</f>
        <v/>
      </c>
      <c r="AH174">
        <f>SUMIFS($K$2:K173,$D$2:D173,D174,$E$2:E173,E174,$G$2:G173,"买入")</f>
        <v/>
      </c>
      <c r="AI174">
        <f>IF(AG174&gt;0,AH174/AG174,"")</f>
        <v/>
      </c>
      <c r="AJ174">
        <f>IF(G174="卖出",IF(AI174="","",(L174-AI174)*H174),0)</f>
        <v/>
      </c>
      <c r="AK174">
        <f>IF(G174="卖出",AJ174-T174,"")</f>
        <v/>
      </c>
      <c r="AL174">
        <f>IF(G174="卖出","(L174-AI174)×H174 = ("&amp;TEXT(L174,"0.######")&amp;"-"&amp;TEXT(AI174,"0.######")&amp;")×"&amp;H174,"")</f>
        <v/>
      </c>
    </row>
    <row r="175">
      <c r="A175">
        <f>IF('交易流水'!A135&lt;&gt;"","流水","")</f>
        <v/>
      </c>
      <c r="B175">
        <f>'交易流水'!B135</f>
        <v/>
      </c>
      <c r="C175">
        <f>'交易流水'!X135</f>
        <v/>
      </c>
      <c r="D175">
        <f>IF(ISNUMBER(SEARCH("深港",C175)),"深港",IF(ISNUMBER(SEARCH("场内",C175)),"场内","其他"))</f>
        <v/>
      </c>
      <c r="E175">
        <f>'交易流水'!F135</f>
        <v/>
      </c>
      <c r="F175">
        <f>'交易流水'!G135</f>
        <v/>
      </c>
      <c r="G175">
        <f>'交易流水'!H135</f>
        <v/>
      </c>
      <c r="H175">
        <f>'交易流水'!K135</f>
        <v/>
      </c>
      <c r="I175">
        <f>'交易流水'!P135</f>
        <v/>
      </c>
      <c r="J175">
        <f>'交易流水'!L135</f>
        <v/>
      </c>
      <c r="K175">
        <f>'交易流水'!AR135</f>
        <v/>
      </c>
      <c r="L175">
        <f>IF(H175&gt;0,K175/H175,"")</f>
        <v/>
      </c>
      <c r="M175">
        <f>IF(G175="买入",H175,0)</f>
        <v/>
      </c>
      <c r="N175">
        <f>IF(G175="买入",K175,0)</f>
        <v/>
      </c>
      <c r="O175">
        <f>IF(G175="卖出",H175,0)</f>
        <v/>
      </c>
      <c r="P175">
        <f>IF(G175="卖出",K175,0)</f>
        <v/>
      </c>
      <c r="Q175">
        <f>SUMIFS($H$2:H174,$A$2:A174,"流水",$D$2:D174,D175,$E$2:E174,E175,$G$2:G174,"买入")</f>
        <v/>
      </c>
      <c r="R175">
        <f>SUMIFS($K$2:K174,$A$2:A174,"流水",$D$2:D174,D175,$E$2:E174,E175,$G$2:G174,"买入")</f>
        <v/>
      </c>
      <c r="S175">
        <f>IF(Q175&gt;0,R175/Q175,"")</f>
        <v/>
      </c>
      <c r="T175">
        <f>IF(G175="卖出",IF(S175="","",(L175-S175)*H175),0)</f>
        <v/>
      </c>
      <c r="U175" t="n">
        <v>0</v>
      </c>
      <c r="V175">
        <f>IF(AND(J175&gt;0,D175="深港"),K175/J175,"")</f>
        <v/>
      </c>
      <c r="W175">
        <f>IF(G175="卖出","(L175-S175)×H175 = ("&amp;TEXT(L175,"0.######")&amp;"-"&amp;TEXT(S175,"0.######")&amp;")×"&amp;H175,"")</f>
        <v/>
      </c>
      <c r="Y175">
        <f>IF(E175="","",IF(D175="深港",TEXT(--E175,"0000")&amp;".HK",IF(--E175&gt;=600000,TEXT(--E175,"000000")&amp;".SH",TEXT(--E175,"000000")&amp;".SZ")))</f>
        <v/>
      </c>
      <c r="Z175">
        <f>IF(Y175="","",IFERROR(INDEX('估值日行情'!$C$3:$C$61,MATCH(Y175,'估值日行情'!$A$3:$A$61,0)),""))</f>
        <v/>
      </c>
      <c r="AA175">
        <f>IF(D175="深港",IFERROR('FX_RATES_TO_CNY_HIST'!$B$3,""),1)</f>
        <v/>
      </c>
      <c r="AB175">
        <f>IF(Z175&lt;&gt;"",Z175*AA175,"")</f>
        <v/>
      </c>
      <c r="AC175">
        <f>SUMIFS($H$2:H175,$D$2:D175,D175,$E$2:E175,E175,$G$2:G175,"买入")-SUMIFS($H$2:H175,$D$2:D175,D175,$E$2:E175,E175,$G$2:G175,"卖出")</f>
        <v/>
      </c>
      <c r="AD175">
        <f>IF(D175="深港",IF(Q175&gt;0,SUMIFS($J$2:J174,$D$2:D174,D175,$E$2:E174,E175,$G$2:G174,"买入")/SUMIFS($H$2:H174,$D$2:D174,D175,$E$2:E174,E175,$G$2:G174,"买入"),""),S175)</f>
        <v/>
      </c>
      <c r="AE175">
        <f>IF(AC175&gt;0,AC175*Z175-AC175*AD175,0)</f>
        <v/>
      </c>
      <c r="AF175">
        <f>IF(AC175&gt;0,IF(D175="深港",AE175*AA175,AE175),0)</f>
        <v/>
      </c>
      <c r="AG175">
        <f>SUMIFS($H$2:H174,$D$2:D174,D175,$E$2:E174,E175,$G$2:G174,"买入")</f>
        <v/>
      </c>
      <c r="AH175">
        <f>SUMIFS($K$2:K174,$D$2:D174,D175,$E$2:E174,E175,$G$2:G174,"买入")</f>
        <v/>
      </c>
      <c r="AI175">
        <f>IF(AG175&gt;0,AH175/AG175,"")</f>
        <v/>
      </c>
      <c r="AJ175">
        <f>IF(G175="卖出",IF(AI175="","",(L175-AI175)*H175),0)</f>
        <v/>
      </c>
      <c r="AK175">
        <f>IF(G175="卖出",AJ175-T175,"")</f>
        <v/>
      </c>
      <c r="AL175">
        <f>IF(G175="卖出","(L175-AI175)×H175 = ("&amp;TEXT(L175,"0.######")&amp;"-"&amp;TEXT(AI175,"0.######")&amp;")×"&amp;H175,"")</f>
        <v/>
      </c>
    </row>
    <row r="176">
      <c r="A176">
        <f>IF('交易流水'!A136&lt;&gt;"","流水","")</f>
        <v/>
      </c>
      <c r="B176">
        <f>'交易流水'!B136</f>
        <v/>
      </c>
      <c r="C176">
        <f>'交易流水'!X136</f>
        <v/>
      </c>
      <c r="D176">
        <f>IF(ISNUMBER(SEARCH("深港",C176)),"深港",IF(ISNUMBER(SEARCH("场内",C176)),"场内","其他"))</f>
        <v/>
      </c>
      <c r="E176">
        <f>'交易流水'!F136</f>
        <v/>
      </c>
      <c r="F176">
        <f>'交易流水'!G136</f>
        <v/>
      </c>
      <c r="G176">
        <f>'交易流水'!H136</f>
        <v/>
      </c>
      <c r="H176">
        <f>'交易流水'!K136</f>
        <v/>
      </c>
      <c r="I176">
        <f>'交易流水'!P136</f>
        <v/>
      </c>
      <c r="J176">
        <f>'交易流水'!L136</f>
        <v/>
      </c>
      <c r="K176">
        <f>'交易流水'!AR136</f>
        <v/>
      </c>
      <c r="L176">
        <f>IF(H176&gt;0,K176/H176,"")</f>
        <v/>
      </c>
      <c r="M176">
        <f>IF(G176="买入",H176,0)</f>
        <v/>
      </c>
      <c r="N176">
        <f>IF(G176="买入",K176,0)</f>
        <v/>
      </c>
      <c r="O176">
        <f>IF(G176="卖出",H176,0)</f>
        <v/>
      </c>
      <c r="P176">
        <f>IF(G176="卖出",K176,0)</f>
        <v/>
      </c>
      <c r="Q176">
        <f>SUMIFS($H$2:H175,$A$2:A175,"流水",$D$2:D175,D176,$E$2:E175,E176,$G$2:G175,"买入")</f>
        <v/>
      </c>
      <c r="R176">
        <f>SUMIFS($K$2:K175,$A$2:A175,"流水",$D$2:D175,D176,$E$2:E175,E176,$G$2:G175,"买入")</f>
        <v/>
      </c>
      <c r="S176">
        <f>IF(Q176&gt;0,R176/Q176,"")</f>
        <v/>
      </c>
      <c r="T176">
        <f>IF(G176="卖出",IF(S176="","",(L176-S176)*H176),0)</f>
        <v/>
      </c>
      <c r="U176" t="n">
        <v>0</v>
      </c>
      <c r="V176">
        <f>IF(AND(J176&gt;0,D176="深港"),K176/J176,"")</f>
        <v/>
      </c>
      <c r="W176">
        <f>IF(G176="卖出","(L176-S176)×H176 = ("&amp;TEXT(L176,"0.######")&amp;"-"&amp;TEXT(S176,"0.######")&amp;")×"&amp;H176,"")</f>
        <v/>
      </c>
      <c r="Y176">
        <f>IF(E176="","",IF(D176="深港",TEXT(--E176,"0000")&amp;".HK",IF(--E176&gt;=600000,TEXT(--E176,"000000")&amp;".SH",TEXT(--E176,"000000")&amp;".SZ")))</f>
        <v/>
      </c>
      <c r="Z176">
        <f>IF(Y176="","",IFERROR(INDEX('估值日行情'!$C$3:$C$61,MATCH(Y176,'估值日行情'!$A$3:$A$61,0)),""))</f>
        <v/>
      </c>
      <c r="AA176">
        <f>IF(D176="深港",IFERROR('FX_RATES_TO_CNY_HIST'!$B$3,""),1)</f>
        <v/>
      </c>
      <c r="AB176">
        <f>IF(Z176&lt;&gt;"",Z176*AA176,"")</f>
        <v/>
      </c>
      <c r="AC176">
        <f>SUMIFS($H$2:H176,$D$2:D176,D176,$E$2:E176,E176,$G$2:G176,"买入")-SUMIFS($H$2:H176,$D$2:D176,D176,$E$2:E176,E176,$G$2:G176,"卖出")</f>
        <v/>
      </c>
      <c r="AD176">
        <f>IF(D176="深港",IF(Q176&gt;0,SUMIFS($J$2:J175,$D$2:D175,D176,$E$2:E175,E176,$G$2:G175,"买入")/SUMIFS($H$2:H175,$D$2:D175,D176,$E$2:E175,E176,$G$2:G175,"买入"),""),S176)</f>
        <v/>
      </c>
      <c r="AE176">
        <f>IF(AC176&gt;0,AC176*Z176-AC176*AD176,0)</f>
        <v/>
      </c>
      <c r="AF176">
        <f>IF(AC176&gt;0,IF(D176="深港",AE176*AA176,AE176),0)</f>
        <v/>
      </c>
      <c r="AG176">
        <f>SUMIFS($H$2:H175,$D$2:D175,D176,$E$2:E175,E176,$G$2:G175,"买入")</f>
        <v/>
      </c>
      <c r="AH176">
        <f>SUMIFS($K$2:K175,$D$2:D175,D176,$E$2:E175,E176,$G$2:G175,"买入")</f>
        <v/>
      </c>
      <c r="AI176">
        <f>IF(AG176&gt;0,AH176/AG176,"")</f>
        <v/>
      </c>
      <c r="AJ176">
        <f>IF(G176="卖出",IF(AI176="","",(L176-AI176)*H176),0)</f>
        <v/>
      </c>
      <c r="AK176">
        <f>IF(G176="卖出",AJ176-T176,"")</f>
        <v/>
      </c>
      <c r="AL176">
        <f>IF(G176="卖出","(L176-AI176)×H176 = ("&amp;TEXT(L176,"0.######")&amp;"-"&amp;TEXT(AI176,"0.######")&amp;")×"&amp;H176,"")</f>
        <v/>
      </c>
    </row>
    <row r="177">
      <c r="A177">
        <f>IF('交易流水'!A137&lt;&gt;"","流水","")</f>
        <v/>
      </c>
      <c r="B177">
        <f>'交易流水'!B137</f>
        <v/>
      </c>
      <c r="C177">
        <f>'交易流水'!X137</f>
        <v/>
      </c>
      <c r="D177">
        <f>IF(ISNUMBER(SEARCH("深港",C177)),"深港",IF(ISNUMBER(SEARCH("场内",C177)),"场内","其他"))</f>
        <v/>
      </c>
      <c r="E177">
        <f>'交易流水'!F137</f>
        <v/>
      </c>
      <c r="F177">
        <f>'交易流水'!G137</f>
        <v/>
      </c>
      <c r="G177">
        <f>'交易流水'!H137</f>
        <v/>
      </c>
      <c r="H177">
        <f>'交易流水'!K137</f>
        <v/>
      </c>
      <c r="I177">
        <f>'交易流水'!P137</f>
        <v/>
      </c>
      <c r="J177">
        <f>'交易流水'!L137</f>
        <v/>
      </c>
      <c r="K177">
        <f>'交易流水'!AR137</f>
        <v/>
      </c>
      <c r="L177">
        <f>IF(H177&gt;0,K177/H177,"")</f>
        <v/>
      </c>
      <c r="M177">
        <f>IF(G177="买入",H177,0)</f>
        <v/>
      </c>
      <c r="N177">
        <f>IF(G177="买入",K177,0)</f>
        <v/>
      </c>
      <c r="O177">
        <f>IF(G177="卖出",H177,0)</f>
        <v/>
      </c>
      <c r="P177">
        <f>IF(G177="卖出",K177,0)</f>
        <v/>
      </c>
      <c r="Q177">
        <f>SUMIFS($H$2:H176,$A$2:A176,"流水",$D$2:D176,D177,$E$2:E176,E177,$G$2:G176,"买入")</f>
        <v/>
      </c>
      <c r="R177">
        <f>SUMIFS($K$2:K176,$A$2:A176,"流水",$D$2:D176,D177,$E$2:E176,E177,$G$2:G176,"买入")</f>
        <v/>
      </c>
      <c r="S177">
        <f>IF(Q177&gt;0,R177/Q177,"")</f>
        <v/>
      </c>
      <c r="T177">
        <f>IF(G177="卖出",IF(S177="","",(L177-S177)*H177),0)</f>
        <v/>
      </c>
      <c r="U177" t="n">
        <v>0</v>
      </c>
      <c r="V177">
        <f>IF(AND(J177&gt;0,D177="深港"),K177/J177,"")</f>
        <v/>
      </c>
      <c r="W177">
        <f>IF(G177="卖出","(L177-S177)×H177 = ("&amp;TEXT(L177,"0.######")&amp;"-"&amp;TEXT(S177,"0.######")&amp;")×"&amp;H177,"")</f>
        <v/>
      </c>
      <c r="Y177">
        <f>IF(E177="","",IF(D177="深港",TEXT(--E177,"0000")&amp;".HK",IF(--E177&gt;=600000,TEXT(--E177,"000000")&amp;".SH",TEXT(--E177,"000000")&amp;".SZ")))</f>
        <v/>
      </c>
      <c r="Z177">
        <f>IF(Y177="","",IFERROR(INDEX('估值日行情'!$C$3:$C$61,MATCH(Y177,'估值日行情'!$A$3:$A$61,0)),""))</f>
        <v/>
      </c>
      <c r="AA177">
        <f>IF(D177="深港",IFERROR('FX_RATES_TO_CNY_HIST'!$B$3,""),1)</f>
        <v/>
      </c>
      <c r="AB177">
        <f>IF(Z177&lt;&gt;"",Z177*AA177,"")</f>
        <v/>
      </c>
      <c r="AC177">
        <f>SUMIFS($H$2:H177,$D$2:D177,D177,$E$2:E177,E177,$G$2:G177,"买入")-SUMIFS($H$2:H177,$D$2:D177,D177,$E$2:E177,E177,$G$2:G177,"卖出")</f>
        <v/>
      </c>
      <c r="AD177">
        <f>IF(D177="深港",IF(Q177&gt;0,SUMIFS($J$2:J176,$D$2:D176,D177,$E$2:E176,E177,$G$2:G176,"买入")/SUMIFS($H$2:H176,$D$2:D176,D177,$E$2:E176,E177,$G$2:G176,"买入"),""),S177)</f>
        <v/>
      </c>
      <c r="AE177">
        <f>IF(AC177&gt;0,AC177*Z177-AC177*AD177,0)</f>
        <v/>
      </c>
      <c r="AF177">
        <f>IF(AC177&gt;0,IF(D177="深港",AE177*AA177,AE177),0)</f>
        <v/>
      </c>
      <c r="AG177">
        <f>SUMIFS($H$2:H176,$D$2:D176,D177,$E$2:E176,E177,$G$2:G176,"买入")</f>
        <v/>
      </c>
      <c r="AH177">
        <f>SUMIFS($K$2:K176,$D$2:D176,D177,$E$2:E176,E177,$G$2:G176,"买入")</f>
        <v/>
      </c>
      <c r="AI177">
        <f>IF(AG177&gt;0,AH177/AG177,"")</f>
        <v/>
      </c>
      <c r="AJ177">
        <f>IF(G177="卖出",IF(AI177="","",(L177-AI177)*H177),0)</f>
        <v/>
      </c>
      <c r="AK177">
        <f>IF(G177="卖出",AJ177-T177,"")</f>
        <v/>
      </c>
      <c r="AL177">
        <f>IF(G177="卖出","(L177-AI177)×H177 = ("&amp;TEXT(L177,"0.######")&amp;"-"&amp;TEXT(AI177,"0.######")&amp;")×"&amp;H177,"")</f>
        <v/>
      </c>
    </row>
    <row r="178">
      <c r="A178">
        <f>IF('交易流水'!A138&lt;&gt;"","流水","")</f>
        <v/>
      </c>
      <c r="B178">
        <f>'交易流水'!B138</f>
        <v/>
      </c>
      <c r="C178">
        <f>'交易流水'!X138</f>
        <v/>
      </c>
      <c r="D178">
        <f>IF(ISNUMBER(SEARCH("深港",C178)),"深港",IF(ISNUMBER(SEARCH("场内",C178)),"场内","其他"))</f>
        <v/>
      </c>
      <c r="E178">
        <f>'交易流水'!F138</f>
        <v/>
      </c>
      <c r="F178">
        <f>'交易流水'!G138</f>
        <v/>
      </c>
      <c r="G178">
        <f>'交易流水'!H138</f>
        <v/>
      </c>
      <c r="H178">
        <f>'交易流水'!K138</f>
        <v/>
      </c>
      <c r="I178">
        <f>'交易流水'!P138</f>
        <v/>
      </c>
      <c r="J178">
        <f>'交易流水'!L138</f>
        <v/>
      </c>
      <c r="K178">
        <f>'交易流水'!AR138</f>
        <v/>
      </c>
      <c r="L178">
        <f>IF(H178&gt;0,K178/H178,"")</f>
        <v/>
      </c>
      <c r="M178">
        <f>IF(G178="买入",H178,0)</f>
        <v/>
      </c>
      <c r="N178">
        <f>IF(G178="买入",K178,0)</f>
        <v/>
      </c>
      <c r="O178">
        <f>IF(G178="卖出",H178,0)</f>
        <v/>
      </c>
      <c r="P178">
        <f>IF(G178="卖出",K178,0)</f>
        <v/>
      </c>
      <c r="Q178">
        <f>SUMIFS($H$2:H177,$A$2:A177,"流水",$D$2:D177,D178,$E$2:E177,E178,$G$2:G177,"买入")</f>
        <v/>
      </c>
      <c r="R178">
        <f>SUMIFS($K$2:K177,$A$2:A177,"流水",$D$2:D177,D178,$E$2:E177,E178,$G$2:G177,"买入")</f>
        <v/>
      </c>
      <c r="S178">
        <f>IF(Q178&gt;0,R178/Q178,"")</f>
        <v/>
      </c>
      <c r="T178">
        <f>IF(G178="卖出",IF(S178="","",(L178-S178)*H178),0)</f>
        <v/>
      </c>
      <c r="U178" t="n">
        <v>1236193.58</v>
      </c>
      <c r="V178">
        <f>IF(AND(J178&gt;0,D178="深港"),K178/J178,"")</f>
        <v/>
      </c>
      <c r="W178">
        <f>IF(G178="卖出","(L178-S178)×H178 = ("&amp;TEXT(L178,"0.######")&amp;"-"&amp;TEXT(S178,"0.######")&amp;")×"&amp;H178,"")</f>
        <v/>
      </c>
      <c r="X178" t="inlineStr">
        <is>
          <t>(L178-L32)×1000000=(6.026146-4.789952)×1000000=1236193.58 → 1236193.58</t>
        </is>
      </c>
      <c r="Y178">
        <f>IF(E178="","",IF(D178="深港",TEXT(--E178,"0000")&amp;".HK",IF(--E178&gt;=600000,TEXT(--E178,"000000")&amp;".SH",TEXT(--E178,"000000")&amp;".SZ")))</f>
        <v/>
      </c>
      <c r="Z178">
        <f>IF(Y178="","",IFERROR(INDEX('估值日行情'!$C$3:$C$61,MATCH(Y178,'估值日行情'!$A$3:$A$61,0)),""))</f>
        <v/>
      </c>
      <c r="AA178">
        <f>IF(D178="深港",IFERROR('FX_RATES_TO_CNY_HIST'!$B$3,""),1)</f>
        <v/>
      </c>
      <c r="AB178">
        <f>IF(Z178&lt;&gt;"",Z178*AA178,"")</f>
        <v/>
      </c>
      <c r="AC178">
        <f>SUMIFS($H$2:H178,$D$2:D178,D178,$E$2:E178,E178,$G$2:G178,"买入")-SUMIFS($H$2:H178,$D$2:D178,D178,$E$2:E178,E178,$G$2:G178,"卖出")</f>
        <v/>
      </c>
      <c r="AD178">
        <f>IF(D178="深港",IF(Q178&gt;0,SUMIFS($J$2:J177,$D$2:D177,D178,$E$2:E177,E178,$G$2:G177,"买入")/SUMIFS($H$2:H177,$D$2:D177,D178,$E$2:E177,E178,$G$2:G177,"买入"),""),S178)</f>
        <v/>
      </c>
      <c r="AE178">
        <f>IF(AC178&gt;0,AC178*Z178-AC178*AD178,0)</f>
        <v/>
      </c>
      <c r="AF178">
        <f>IF(AC178&gt;0,IF(D178="深港",AE178*AA178,AE178),0)</f>
        <v/>
      </c>
      <c r="AG178">
        <f>SUMIFS($H$2:H177,$D$2:D177,D178,$E$2:E177,E178,$G$2:G177,"买入")</f>
        <v/>
      </c>
      <c r="AH178">
        <f>SUMIFS($K$2:K177,$D$2:D177,D178,$E$2:E177,E178,$G$2:G177,"买入")</f>
        <v/>
      </c>
      <c r="AI178">
        <f>IF(AG178&gt;0,AH178/AG178,"")</f>
        <v/>
      </c>
      <c r="AJ178">
        <f>IF(G178="卖出",IF(AI178="","",(L178-AI178)*H178),0)</f>
        <v/>
      </c>
      <c r="AK178">
        <f>IF(G178="卖出",AJ178-T178,"")</f>
        <v/>
      </c>
      <c r="AL178">
        <f>IF(G178="卖出","(L178-AI178)×H178 = ("&amp;TEXT(L178,"0.######")&amp;"-"&amp;TEXT(AI178,"0.######")&amp;")×"&amp;H178,"")</f>
        <v/>
      </c>
    </row>
    <row r="179">
      <c r="A179">
        <f>IF('交易流水'!A139&lt;&gt;"","流水","")</f>
        <v/>
      </c>
      <c r="B179">
        <f>'交易流水'!B139</f>
        <v/>
      </c>
      <c r="C179">
        <f>'交易流水'!X139</f>
        <v/>
      </c>
      <c r="D179">
        <f>IF(ISNUMBER(SEARCH("深港",C179)),"深港",IF(ISNUMBER(SEARCH("场内",C179)),"场内","其他"))</f>
        <v/>
      </c>
      <c r="E179">
        <f>'交易流水'!F139</f>
        <v/>
      </c>
      <c r="F179">
        <f>'交易流水'!G139</f>
        <v/>
      </c>
      <c r="G179">
        <f>'交易流水'!H139</f>
        <v/>
      </c>
      <c r="H179">
        <f>'交易流水'!K139</f>
        <v/>
      </c>
      <c r="I179">
        <f>'交易流水'!P139</f>
        <v/>
      </c>
      <c r="J179">
        <f>'交易流水'!L139</f>
        <v/>
      </c>
      <c r="K179">
        <f>'交易流水'!AR139</f>
        <v/>
      </c>
      <c r="L179">
        <f>IF(H179&gt;0,K179/H179,"")</f>
        <v/>
      </c>
      <c r="M179">
        <f>IF(G179="买入",H179,0)</f>
        <v/>
      </c>
      <c r="N179">
        <f>IF(G179="买入",K179,0)</f>
        <v/>
      </c>
      <c r="O179">
        <f>IF(G179="卖出",H179,0)</f>
        <v/>
      </c>
      <c r="P179">
        <f>IF(G179="卖出",K179,0)</f>
        <v/>
      </c>
      <c r="Q179">
        <f>SUMIFS($H$2:H178,$A$2:A178,"流水",$D$2:D178,D179,$E$2:E178,E179,$G$2:G178,"买入")</f>
        <v/>
      </c>
      <c r="R179">
        <f>SUMIFS($K$2:K178,$A$2:A178,"流水",$D$2:D178,D179,$E$2:E178,E179,$G$2:G178,"买入")</f>
        <v/>
      </c>
      <c r="S179">
        <f>IF(Q179&gt;0,R179/Q179,"")</f>
        <v/>
      </c>
      <c r="T179">
        <f>IF(G179="卖出",IF(S179="","",(L179-S179)*H179),0)</f>
        <v/>
      </c>
      <c r="U179" t="n">
        <v>0</v>
      </c>
      <c r="V179">
        <f>IF(AND(J179&gt;0,D179="深港"),K179/J179,"")</f>
        <v/>
      </c>
      <c r="W179">
        <f>IF(G179="卖出","(L179-S179)×H179 = ("&amp;TEXT(L179,"0.######")&amp;"-"&amp;TEXT(S179,"0.######")&amp;")×"&amp;H179,"")</f>
        <v/>
      </c>
      <c r="Y179">
        <f>IF(E179="","",IF(D179="深港",TEXT(--E179,"0000")&amp;".HK",IF(--E179&gt;=600000,TEXT(--E179,"000000")&amp;".SH",TEXT(--E179,"000000")&amp;".SZ")))</f>
        <v/>
      </c>
      <c r="Z179">
        <f>IF(Y179="","",IFERROR(INDEX('估值日行情'!$C$3:$C$61,MATCH(Y179,'估值日行情'!$A$3:$A$61,0)),""))</f>
        <v/>
      </c>
      <c r="AA179">
        <f>IF(D179="深港",IFERROR('FX_RATES_TO_CNY_HIST'!$B$3,""),1)</f>
        <v/>
      </c>
      <c r="AB179">
        <f>IF(Z179&lt;&gt;"",Z179*AA179,"")</f>
        <v/>
      </c>
      <c r="AC179">
        <f>SUMIFS($H$2:H179,$D$2:D179,D179,$E$2:E179,E179,$G$2:G179,"买入")-SUMIFS($H$2:H179,$D$2:D179,D179,$E$2:E179,E179,$G$2:G179,"卖出")</f>
        <v/>
      </c>
      <c r="AD179">
        <f>IF(D179="深港",IF(Q179&gt;0,SUMIFS($J$2:J178,$D$2:D178,D179,$E$2:E178,E179,$G$2:G178,"买入")/SUMIFS($H$2:H178,$D$2:D178,D179,$E$2:E178,E179,$G$2:G178,"买入"),""),S179)</f>
        <v/>
      </c>
      <c r="AE179">
        <f>IF(AC179&gt;0,AC179*Z179-AC179*AD179,0)</f>
        <v/>
      </c>
      <c r="AF179">
        <f>IF(AC179&gt;0,IF(D179="深港",AE179*AA179,AE179),0)</f>
        <v/>
      </c>
      <c r="AG179">
        <f>SUMIFS($H$2:H178,$D$2:D178,D179,$E$2:E178,E179,$G$2:G178,"买入")</f>
        <v/>
      </c>
      <c r="AH179">
        <f>SUMIFS($K$2:K178,$D$2:D178,D179,$E$2:E178,E179,$G$2:G178,"买入")</f>
        <v/>
      </c>
      <c r="AI179">
        <f>IF(AG179&gt;0,AH179/AG179,"")</f>
        <v/>
      </c>
      <c r="AJ179">
        <f>IF(G179="卖出",IF(AI179="","",(L179-AI179)*H179),0)</f>
        <v/>
      </c>
      <c r="AK179">
        <f>IF(G179="卖出",AJ179-T179,"")</f>
        <v/>
      </c>
      <c r="AL179">
        <f>IF(G179="卖出","(L179-AI179)×H179 = ("&amp;TEXT(L179,"0.######")&amp;"-"&amp;TEXT(AI179,"0.######")&amp;")×"&amp;H179,"")</f>
        <v/>
      </c>
    </row>
    <row r="180">
      <c r="A180">
        <f>IF('交易流水'!A140&lt;&gt;"","流水","")</f>
        <v/>
      </c>
      <c r="B180">
        <f>'交易流水'!B140</f>
        <v/>
      </c>
      <c r="C180">
        <f>'交易流水'!X140</f>
        <v/>
      </c>
      <c r="D180">
        <f>IF(ISNUMBER(SEARCH("深港",C180)),"深港",IF(ISNUMBER(SEARCH("场内",C180)),"场内","其他"))</f>
        <v/>
      </c>
      <c r="E180">
        <f>'交易流水'!F140</f>
        <v/>
      </c>
      <c r="F180">
        <f>'交易流水'!G140</f>
        <v/>
      </c>
      <c r="G180">
        <f>'交易流水'!H140</f>
        <v/>
      </c>
      <c r="H180">
        <f>'交易流水'!K140</f>
        <v/>
      </c>
      <c r="I180">
        <f>'交易流水'!P140</f>
        <v/>
      </c>
      <c r="J180">
        <f>'交易流水'!L140</f>
        <v/>
      </c>
      <c r="K180">
        <f>'交易流水'!AR140</f>
        <v/>
      </c>
      <c r="L180">
        <f>IF(H180&gt;0,K180/H180,"")</f>
        <v/>
      </c>
      <c r="M180">
        <f>IF(G180="买入",H180,0)</f>
        <v/>
      </c>
      <c r="N180">
        <f>IF(G180="买入",K180,0)</f>
        <v/>
      </c>
      <c r="O180">
        <f>IF(G180="卖出",H180,0)</f>
        <v/>
      </c>
      <c r="P180">
        <f>IF(G180="卖出",K180,0)</f>
        <v/>
      </c>
      <c r="Q180">
        <f>SUMIFS($H$2:H179,$A$2:A179,"流水",$D$2:D179,D180,$E$2:E179,E180,$G$2:G179,"买入")</f>
        <v/>
      </c>
      <c r="R180">
        <f>SUMIFS($K$2:K179,$A$2:A179,"流水",$D$2:D179,D180,$E$2:E179,E180,$G$2:G179,"买入")</f>
        <v/>
      </c>
      <c r="S180">
        <f>IF(Q180&gt;0,R180/Q180,"")</f>
        <v/>
      </c>
      <c r="T180">
        <f>IF(G180="卖出",IF(S180="","",(L180-S180)*H180),0)</f>
        <v/>
      </c>
      <c r="U180" t="n">
        <v>0</v>
      </c>
      <c r="V180">
        <f>IF(AND(J180&gt;0,D180="深港"),K180/J180,"")</f>
        <v/>
      </c>
      <c r="W180">
        <f>IF(G180="卖出","(L180-S180)×H180 = ("&amp;TEXT(L180,"0.######")&amp;"-"&amp;TEXT(S180,"0.######")&amp;")×"&amp;H180,"")</f>
        <v/>
      </c>
      <c r="Y180">
        <f>IF(E180="","",IF(D180="深港",TEXT(--E180,"0000")&amp;".HK",IF(--E180&gt;=600000,TEXT(--E180,"000000")&amp;".SH",TEXT(--E180,"000000")&amp;".SZ")))</f>
        <v/>
      </c>
      <c r="Z180">
        <f>IF(Y180="","",IFERROR(INDEX('估值日行情'!$C$3:$C$61,MATCH(Y180,'估值日行情'!$A$3:$A$61,0)),""))</f>
        <v/>
      </c>
      <c r="AA180">
        <f>IF(D180="深港",IFERROR('FX_RATES_TO_CNY_HIST'!$B$3,""),1)</f>
        <v/>
      </c>
      <c r="AB180">
        <f>IF(Z180&lt;&gt;"",Z180*AA180,"")</f>
        <v/>
      </c>
      <c r="AC180">
        <f>SUMIFS($H$2:H180,$D$2:D180,D180,$E$2:E180,E180,$G$2:G180,"买入")-SUMIFS($H$2:H180,$D$2:D180,D180,$E$2:E180,E180,$G$2:G180,"卖出")</f>
        <v/>
      </c>
      <c r="AD180">
        <f>IF(D180="深港",IF(Q180&gt;0,SUMIFS($J$2:J179,$D$2:D179,D180,$E$2:E179,E180,$G$2:G179,"买入")/SUMIFS($H$2:H179,$D$2:D179,D180,$E$2:E179,E180,$G$2:G179,"买入"),""),S180)</f>
        <v/>
      </c>
      <c r="AE180">
        <f>IF(AC180&gt;0,AC180*Z180-AC180*AD180,0)</f>
        <v/>
      </c>
      <c r="AF180">
        <f>IF(AC180&gt;0,IF(D180="深港",AE180*AA180,AE180),0)</f>
        <v/>
      </c>
      <c r="AG180">
        <f>SUMIFS($H$2:H179,$D$2:D179,D180,$E$2:E179,E180,$G$2:G179,"买入")</f>
        <v/>
      </c>
      <c r="AH180">
        <f>SUMIFS($K$2:K179,$D$2:D179,D180,$E$2:E179,E180,$G$2:G179,"买入")</f>
        <v/>
      </c>
      <c r="AI180">
        <f>IF(AG180&gt;0,AH180/AG180,"")</f>
        <v/>
      </c>
      <c r="AJ180">
        <f>IF(G180="卖出",IF(AI180="","",(L180-AI180)*H180),0)</f>
        <v/>
      </c>
      <c r="AK180">
        <f>IF(G180="卖出",AJ180-T180,"")</f>
        <v/>
      </c>
      <c r="AL180">
        <f>IF(G180="卖出","(L180-AI180)×H180 = ("&amp;TEXT(L180,"0.######")&amp;"-"&amp;TEXT(AI180,"0.######")&amp;")×"&amp;H180,"")</f>
        <v/>
      </c>
    </row>
    <row r="181">
      <c r="A181">
        <f>IF('交易流水'!A141&lt;&gt;"","流水","")</f>
        <v/>
      </c>
      <c r="B181">
        <f>'交易流水'!B141</f>
        <v/>
      </c>
      <c r="C181">
        <f>'交易流水'!X141</f>
        <v/>
      </c>
      <c r="D181">
        <f>IF(ISNUMBER(SEARCH("深港",C181)),"深港",IF(ISNUMBER(SEARCH("场内",C181)),"场内","其他"))</f>
        <v/>
      </c>
      <c r="E181">
        <f>'交易流水'!F141</f>
        <v/>
      </c>
      <c r="F181">
        <f>'交易流水'!G141</f>
        <v/>
      </c>
      <c r="G181">
        <f>'交易流水'!H141</f>
        <v/>
      </c>
      <c r="H181">
        <f>'交易流水'!K141</f>
        <v/>
      </c>
      <c r="I181">
        <f>'交易流水'!P141</f>
        <v/>
      </c>
      <c r="J181">
        <f>'交易流水'!L141</f>
        <v/>
      </c>
      <c r="K181">
        <f>'交易流水'!AR141</f>
        <v/>
      </c>
      <c r="L181">
        <f>IF(H181&gt;0,K181/H181,"")</f>
        <v/>
      </c>
      <c r="M181">
        <f>IF(G181="买入",H181,0)</f>
        <v/>
      </c>
      <c r="N181">
        <f>IF(G181="买入",K181,0)</f>
        <v/>
      </c>
      <c r="O181">
        <f>IF(G181="卖出",H181,0)</f>
        <v/>
      </c>
      <c r="P181">
        <f>IF(G181="卖出",K181,0)</f>
        <v/>
      </c>
      <c r="Q181">
        <f>SUMIFS($H$2:H180,$A$2:A180,"流水",$D$2:D180,D181,$E$2:E180,E181,$G$2:G180,"买入")</f>
        <v/>
      </c>
      <c r="R181">
        <f>SUMIFS($K$2:K180,$A$2:A180,"流水",$D$2:D180,D181,$E$2:E180,E181,$G$2:G180,"买入")</f>
        <v/>
      </c>
      <c r="S181">
        <f>IF(Q181&gt;0,R181/Q181,"")</f>
        <v/>
      </c>
      <c r="T181">
        <f>IF(G181="卖出",IF(S181="","",(L181-S181)*H181),0)</f>
        <v/>
      </c>
      <c r="U181" t="n">
        <v>0</v>
      </c>
      <c r="V181">
        <f>IF(AND(J181&gt;0,D181="深港"),K181/J181,"")</f>
        <v/>
      </c>
      <c r="W181">
        <f>IF(G181="卖出","(L181-S181)×H181 = ("&amp;TEXT(L181,"0.######")&amp;"-"&amp;TEXT(S181,"0.######")&amp;")×"&amp;H181,"")</f>
        <v/>
      </c>
      <c r="Y181">
        <f>IF(E181="","",IF(D181="深港",TEXT(--E181,"0000")&amp;".HK",IF(--E181&gt;=600000,TEXT(--E181,"000000")&amp;".SH",TEXT(--E181,"000000")&amp;".SZ")))</f>
        <v/>
      </c>
      <c r="Z181">
        <f>IF(Y181="","",IFERROR(INDEX('估值日行情'!$C$3:$C$61,MATCH(Y181,'估值日行情'!$A$3:$A$61,0)),""))</f>
        <v/>
      </c>
      <c r="AA181">
        <f>IF(D181="深港",IFERROR('FX_RATES_TO_CNY_HIST'!$B$3,""),1)</f>
        <v/>
      </c>
      <c r="AB181">
        <f>IF(Z181&lt;&gt;"",Z181*AA181,"")</f>
        <v/>
      </c>
      <c r="AC181">
        <f>SUMIFS($H$2:H181,$D$2:D181,D181,$E$2:E181,E181,$G$2:G181,"买入")-SUMIFS($H$2:H181,$D$2:D181,D181,$E$2:E181,E181,$G$2:G181,"卖出")</f>
        <v/>
      </c>
      <c r="AD181">
        <f>IF(D181="深港",IF(Q181&gt;0,SUMIFS($J$2:J180,$D$2:D180,D181,$E$2:E180,E181,$G$2:G180,"买入")/SUMIFS($H$2:H180,$D$2:D180,D181,$E$2:E180,E181,$G$2:G180,"买入"),""),S181)</f>
        <v/>
      </c>
      <c r="AE181">
        <f>IF(AC181&gt;0,AC181*Z181-AC181*AD181,0)</f>
        <v/>
      </c>
      <c r="AF181">
        <f>IF(AC181&gt;0,IF(D181="深港",AE181*AA181,AE181),0)</f>
        <v/>
      </c>
      <c r="AG181">
        <f>SUMIFS($H$2:H180,$D$2:D180,D181,$E$2:E180,E181,$G$2:G180,"买入")</f>
        <v/>
      </c>
      <c r="AH181">
        <f>SUMIFS($K$2:K180,$D$2:D180,D181,$E$2:E180,E181,$G$2:G180,"买入")</f>
        <v/>
      </c>
      <c r="AI181">
        <f>IF(AG181&gt;0,AH181/AG181,"")</f>
        <v/>
      </c>
      <c r="AJ181">
        <f>IF(G181="卖出",IF(AI181="","",(L181-AI181)*H181),0)</f>
        <v/>
      </c>
      <c r="AK181">
        <f>IF(G181="卖出",AJ181-T181,"")</f>
        <v/>
      </c>
      <c r="AL181">
        <f>IF(G181="卖出","(L181-AI181)×H181 = ("&amp;TEXT(L181,"0.######")&amp;"-"&amp;TEXT(AI181,"0.######")&amp;")×"&amp;H181,"")</f>
        <v/>
      </c>
    </row>
    <row r="182">
      <c r="A182">
        <f>IF('交易流水'!A142&lt;&gt;"","流水","")</f>
        <v/>
      </c>
      <c r="B182">
        <f>'交易流水'!B142</f>
        <v/>
      </c>
      <c r="C182">
        <f>'交易流水'!X142</f>
        <v/>
      </c>
      <c r="D182">
        <f>IF(ISNUMBER(SEARCH("深港",C182)),"深港",IF(ISNUMBER(SEARCH("场内",C182)),"场内","其他"))</f>
        <v/>
      </c>
      <c r="E182">
        <f>'交易流水'!F142</f>
        <v/>
      </c>
      <c r="F182">
        <f>'交易流水'!G142</f>
        <v/>
      </c>
      <c r="G182">
        <f>'交易流水'!H142</f>
        <v/>
      </c>
      <c r="H182">
        <f>'交易流水'!K142</f>
        <v/>
      </c>
      <c r="I182">
        <f>'交易流水'!P142</f>
        <v/>
      </c>
      <c r="J182">
        <f>'交易流水'!L142</f>
        <v/>
      </c>
      <c r="K182">
        <f>'交易流水'!AR142</f>
        <v/>
      </c>
      <c r="L182">
        <f>IF(H182&gt;0,K182/H182,"")</f>
        <v/>
      </c>
      <c r="M182">
        <f>IF(G182="买入",H182,0)</f>
        <v/>
      </c>
      <c r="N182">
        <f>IF(G182="买入",K182,0)</f>
        <v/>
      </c>
      <c r="O182">
        <f>IF(G182="卖出",H182,0)</f>
        <v/>
      </c>
      <c r="P182">
        <f>IF(G182="卖出",K182,0)</f>
        <v/>
      </c>
      <c r="Q182">
        <f>SUMIFS($H$2:H181,$A$2:A181,"流水",$D$2:D181,D182,$E$2:E181,E182,$G$2:G181,"买入")</f>
        <v/>
      </c>
      <c r="R182">
        <f>SUMIFS($K$2:K181,$A$2:A181,"流水",$D$2:D181,D182,$E$2:E181,E182,$G$2:G181,"买入")</f>
        <v/>
      </c>
      <c r="S182">
        <f>IF(Q182&gt;0,R182/Q182,"")</f>
        <v/>
      </c>
      <c r="T182">
        <f>IF(G182="卖出",IF(S182="","",(L182-S182)*H182),0)</f>
        <v/>
      </c>
      <c r="U182" t="n">
        <v>0</v>
      </c>
      <c r="V182">
        <f>IF(AND(J182&gt;0,D182="深港"),K182/J182,"")</f>
        <v/>
      </c>
      <c r="W182">
        <f>IF(G182="卖出","(L182-S182)×H182 = ("&amp;TEXT(L182,"0.######")&amp;"-"&amp;TEXT(S182,"0.######")&amp;")×"&amp;H182,"")</f>
        <v/>
      </c>
      <c r="Y182">
        <f>IF(E182="","",IF(D182="深港",TEXT(--E182,"0000")&amp;".HK",IF(--E182&gt;=600000,TEXT(--E182,"000000")&amp;".SH",TEXT(--E182,"000000")&amp;".SZ")))</f>
        <v/>
      </c>
      <c r="Z182">
        <f>IF(Y182="","",IFERROR(INDEX('估值日行情'!$C$3:$C$61,MATCH(Y182,'估值日行情'!$A$3:$A$61,0)),""))</f>
        <v/>
      </c>
      <c r="AA182">
        <f>IF(D182="深港",IFERROR('FX_RATES_TO_CNY_HIST'!$B$3,""),1)</f>
        <v/>
      </c>
      <c r="AB182">
        <f>IF(Z182&lt;&gt;"",Z182*AA182,"")</f>
        <v/>
      </c>
      <c r="AC182">
        <f>SUMIFS($H$2:H182,$D$2:D182,D182,$E$2:E182,E182,$G$2:G182,"买入")-SUMIFS($H$2:H182,$D$2:D182,D182,$E$2:E182,E182,$G$2:G182,"卖出")</f>
        <v/>
      </c>
      <c r="AD182">
        <f>IF(D182="深港",IF(Q182&gt;0,SUMIFS($J$2:J181,$D$2:D181,D182,$E$2:E181,E182,$G$2:G181,"买入")/SUMIFS($H$2:H181,$D$2:D181,D182,$E$2:E181,E182,$G$2:G181,"买入"),""),S182)</f>
        <v/>
      </c>
      <c r="AE182">
        <f>IF(AC182&gt;0,AC182*Z182-AC182*AD182,0)</f>
        <v/>
      </c>
      <c r="AF182">
        <f>IF(AC182&gt;0,IF(D182="深港",AE182*AA182,AE182),0)</f>
        <v/>
      </c>
      <c r="AG182">
        <f>SUMIFS($H$2:H181,$D$2:D181,D182,$E$2:E181,E182,$G$2:G181,"买入")</f>
        <v/>
      </c>
      <c r="AH182">
        <f>SUMIFS($K$2:K181,$D$2:D181,D182,$E$2:E181,E182,$G$2:G181,"买入")</f>
        <v/>
      </c>
      <c r="AI182">
        <f>IF(AG182&gt;0,AH182/AG182,"")</f>
        <v/>
      </c>
      <c r="AJ182">
        <f>IF(G182="卖出",IF(AI182="","",(L182-AI182)*H182),0)</f>
        <v/>
      </c>
      <c r="AK182">
        <f>IF(G182="卖出",AJ182-T182,"")</f>
        <v/>
      </c>
      <c r="AL182">
        <f>IF(G182="卖出","(L182-AI182)×H182 = ("&amp;TEXT(L182,"0.######")&amp;"-"&amp;TEXT(AI182,"0.######")&amp;")×"&amp;H182,"")</f>
        <v/>
      </c>
    </row>
    <row r="183">
      <c r="A183">
        <f>IF('交易流水'!A143&lt;&gt;"","流水","")</f>
        <v/>
      </c>
      <c r="B183">
        <f>'交易流水'!B143</f>
        <v/>
      </c>
      <c r="C183">
        <f>'交易流水'!X143</f>
        <v/>
      </c>
      <c r="D183">
        <f>IF(ISNUMBER(SEARCH("深港",C183)),"深港",IF(ISNUMBER(SEARCH("场内",C183)),"场内","其他"))</f>
        <v/>
      </c>
      <c r="E183">
        <f>'交易流水'!F143</f>
        <v/>
      </c>
      <c r="F183">
        <f>'交易流水'!G143</f>
        <v/>
      </c>
      <c r="G183">
        <f>'交易流水'!H143</f>
        <v/>
      </c>
      <c r="H183">
        <f>'交易流水'!K143</f>
        <v/>
      </c>
      <c r="I183">
        <f>'交易流水'!P143</f>
        <v/>
      </c>
      <c r="J183">
        <f>'交易流水'!L143</f>
        <v/>
      </c>
      <c r="K183">
        <f>'交易流水'!AR143</f>
        <v/>
      </c>
      <c r="L183">
        <f>IF(H183&gt;0,K183/H183,"")</f>
        <v/>
      </c>
      <c r="M183">
        <f>IF(G183="买入",H183,0)</f>
        <v/>
      </c>
      <c r="N183">
        <f>IF(G183="买入",K183,0)</f>
        <v/>
      </c>
      <c r="O183">
        <f>IF(G183="卖出",H183,0)</f>
        <v/>
      </c>
      <c r="P183">
        <f>IF(G183="卖出",K183,0)</f>
        <v/>
      </c>
      <c r="Q183">
        <f>SUMIFS($H$2:H182,$A$2:A182,"流水",$D$2:D182,D183,$E$2:E182,E183,$G$2:G182,"买入")</f>
        <v/>
      </c>
      <c r="R183">
        <f>SUMIFS($K$2:K182,$A$2:A182,"流水",$D$2:D182,D183,$E$2:E182,E183,$G$2:G182,"买入")</f>
        <v/>
      </c>
      <c r="S183">
        <f>IF(Q183&gt;0,R183/Q183,"")</f>
        <v/>
      </c>
      <c r="T183">
        <f>IF(G183="卖出",IF(S183="","",(L183-S183)*H183),0)</f>
        <v/>
      </c>
      <c r="U183" t="n">
        <v>0</v>
      </c>
      <c r="V183">
        <f>IF(AND(J183&gt;0,D183="深港"),K183/J183,"")</f>
        <v/>
      </c>
      <c r="W183">
        <f>IF(G183="卖出","(L183-S183)×H183 = ("&amp;TEXT(L183,"0.######")&amp;"-"&amp;TEXT(S183,"0.######")&amp;")×"&amp;H183,"")</f>
        <v/>
      </c>
      <c r="Y183">
        <f>IF(E183="","",IF(D183="深港",TEXT(--E183,"0000")&amp;".HK",IF(--E183&gt;=600000,TEXT(--E183,"000000")&amp;".SH",TEXT(--E183,"000000")&amp;".SZ")))</f>
        <v/>
      </c>
      <c r="Z183">
        <f>IF(Y183="","",IFERROR(INDEX('估值日行情'!$C$3:$C$61,MATCH(Y183,'估值日行情'!$A$3:$A$61,0)),""))</f>
        <v/>
      </c>
      <c r="AA183">
        <f>IF(D183="深港",IFERROR('FX_RATES_TO_CNY_HIST'!$B$3,""),1)</f>
        <v/>
      </c>
      <c r="AB183">
        <f>IF(Z183&lt;&gt;"",Z183*AA183,"")</f>
        <v/>
      </c>
      <c r="AC183">
        <f>SUMIFS($H$2:H183,$D$2:D183,D183,$E$2:E183,E183,$G$2:G183,"买入")-SUMIFS($H$2:H183,$D$2:D183,D183,$E$2:E183,E183,$G$2:G183,"卖出")</f>
        <v/>
      </c>
      <c r="AD183">
        <f>IF(D183="深港",IF(Q183&gt;0,SUMIFS($J$2:J182,$D$2:D182,D183,$E$2:E182,E183,$G$2:G182,"买入")/SUMIFS($H$2:H182,$D$2:D182,D183,$E$2:E182,E183,$G$2:G182,"买入"),""),S183)</f>
        <v/>
      </c>
      <c r="AE183">
        <f>IF(AC183&gt;0,AC183*Z183-AC183*AD183,0)</f>
        <v/>
      </c>
      <c r="AF183">
        <f>IF(AC183&gt;0,IF(D183="深港",AE183*AA183,AE183),0)</f>
        <v/>
      </c>
      <c r="AG183">
        <f>SUMIFS($H$2:H182,$D$2:D182,D183,$E$2:E182,E183,$G$2:G182,"买入")</f>
        <v/>
      </c>
      <c r="AH183">
        <f>SUMIFS($K$2:K182,$D$2:D182,D183,$E$2:E182,E183,$G$2:G182,"买入")</f>
        <v/>
      </c>
      <c r="AI183">
        <f>IF(AG183&gt;0,AH183/AG183,"")</f>
        <v/>
      </c>
      <c r="AJ183">
        <f>IF(G183="卖出",IF(AI183="","",(L183-AI183)*H183),0)</f>
        <v/>
      </c>
      <c r="AK183">
        <f>IF(G183="卖出",AJ183-T183,"")</f>
        <v/>
      </c>
      <c r="AL183">
        <f>IF(G183="卖出","(L183-AI183)×H183 = ("&amp;TEXT(L183,"0.######")&amp;"-"&amp;TEXT(AI183,"0.######")&amp;")×"&amp;H183,"")</f>
        <v/>
      </c>
    </row>
    <row r="184">
      <c r="A184">
        <f>IF('交易流水'!A144&lt;&gt;"","流水","")</f>
        <v/>
      </c>
      <c r="B184">
        <f>'交易流水'!B144</f>
        <v/>
      </c>
      <c r="C184">
        <f>'交易流水'!X144</f>
        <v/>
      </c>
      <c r="D184">
        <f>IF(ISNUMBER(SEARCH("深港",C184)),"深港",IF(ISNUMBER(SEARCH("场内",C184)),"场内","其他"))</f>
        <v/>
      </c>
      <c r="E184">
        <f>'交易流水'!F144</f>
        <v/>
      </c>
      <c r="F184">
        <f>'交易流水'!G144</f>
        <v/>
      </c>
      <c r="G184">
        <f>'交易流水'!H144</f>
        <v/>
      </c>
      <c r="H184">
        <f>'交易流水'!K144</f>
        <v/>
      </c>
      <c r="I184">
        <f>'交易流水'!P144</f>
        <v/>
      </c>
      <c r="J184">
        <f>'交易流水'!L144</f>
        <v/>
      </c>
      <c r="K184">
        <f>'交易流水'!AR144</f>
        <v/>
      </c>
      <c r="L184">
        <f>IF(H184&gt;0,K184/H184,"")</f>
        <v/>
      </c>
      <c r="M184">
        <f>IF(G184="买入",H184,0)</f>
        <v/>
      </c>
      <c r="N184">
        <f>IF(G184="买入",K184,0)</f>
        <v/>
      </c>
      <c r="O184">
        <f>IF(G184="卖出",H184,0)</f>
        <v/>
      </c>
      <c r="P184">
        <f>IF(G184="卖出",K184,0)</f>
        <v/>
      </c>
      <c r="Q184">
        <f>SUMIFS($H$2:H183,$A$2:A183,"流水",$D$2:D183,D184,$E$2:E183,E184,$G$2:G183,"买入")</f>
        <v/>
      </c>
      <c r="R184">
        <f>SUMIFS($K$2:K183,$A$2:A183,"流水",$D$2:D183,D184,$E$2:E183,E184,$G$2:G183,"买入")</f>
        <v/>
      </c>
      <c r="S184">
        <f>IF(Q184&gt;0,R184/Q184,"")</f>
        <v/>
      </c>
      <c r="T184">
        <f>IF(G184="卖出",IF(S184="","",(L184-S184)*H184),0)</f>
        <v/>
      </c>
      <c r="U184" t="n">
        <v>-228095.28</v>
      </c>
      <c r="V184">
        <f>IF(AND(J184&gt;0,D184="深港"),K184/J184,"")</f>
        <v/>
      </c>
      <c r="W184">
        <f>IF(G184="卖出","(L184-S184)×H184 = ("&amp;TEXT(L184,"0.######")&amp;"-"&amp;TEXT(S184,"0.######")&amp;")×"&amp;H184,"")</f>
        <v/>
      </c>
      <c r="X184" t="inlineStr">
        <is>
          <t>(L184-L21)×1100000=(4.879223-5.176389)×1100000=-326882.22 + (L184-L76)×200000=(4.879223-4.385288)×200000=98786.94 → -228095.28</t>
        </is>
      </c>
      <c r="Y184">
        <f>IF(E184="","",IF(D184="深港",TEXT(--E184,"0000")&amp;".HK",IF(--E184&gt;=600000,TEXT(--E184,"000000")&amp;".SH",TEXT(--E184,"000000")&amp;".SZ")))</f>
        <v/>
      </c>
      <c r="Z184">
        <f>IF(Y184="","",IFERROR(INDEX('估值日行情'!$C$3:$C$61,MATCH(Y184,'估值日行情'!$A$3:$A$61,0)),""))</f>
        <v/>
      </c>
      <c r="AA184">
        <f>IF(D184="深港",IFERROR('FX_RATES_TO_CNY_HIST'!$B$3,""),1)</f>
        <v/>
      </c>
      <c r="AB184">
        <f>IF(Z184&lt;&gt;"",Z184*AA184,"")</f>
        <v/>
      </c>
      <c r="AC184">
        <f>SUMIFS($H$2:H184,$D$2:D184,D184,$E$2:E184,E184,$G$2:G184,"买入")-SUMIFS($H$2:H184,$D$2:D184,D184,$E$2:E184,E184,$G$2:G184,"卖出")</f>
        <v/>
      </c>
      <c r="AD184">
        <f>IF(D184="深港",IF(Q184&gt;0,SUMIFS($J$2:J183,$D$2:D183,D184,$E$2:E183,E184,$G$2:G183,"买入")/SUMIFS($H$2:H183,$D$2:D183,D184,$E$2:E183,E184,$G$2:G183,"买入"),""),S184)</f>
        <v/>
      </c>
      <c r="AE184">
        <f>IF(AC184&gt;0,AC184*Z184-AC184*AD184,0)</f>
        <v/>
      </c>
      <c r="AF184">
        <f>IF(AC184&gt;0,IF(D184="深港",AE184*AA184,AE184),0)</f>
        <v/>
      </c>
      <c r="AG184">
        <f>SUMIFS($H$2:H183,$D$2:D183,D184,$E$2:E183,E184,$G$2:G183,"买入")</f>
        <v/>
      </c>
      <c r="AH184">
        <f>SUMIFS($K$2:K183,$D$2:D183,D184,$E$2:E183,E184,$G$2:G183,"买入")</f>
        <v/>
      </c>
      <c r="AI184">
        <f>IF(AG184&gt;0,AH184/AG184,"")</f>
        <v/>
      </c>
      <c r="AJ184">
        <f>IF(G184="卖出",IF(AI184="","",(L184-AI184)*H184),0)</f>
        <v/>
      </c>
      <c r="AK184">
        <f>IF(G184="卖出",AJ184-T184,"")</f>
        <v/>
      </c>
      <c r="AL184">
        <f>IF(G184="卖出","(L184-AI184)×H184 = ("&amp;TEXT(L184,"0.######")&amp;"-"&amp;TEXT(AI184,"0.######")&amp;")×"&amp;H184,"")</f>
        <v/>
      </c>
    </row>
    <row r="185">
      <c r="A185">
        <f>IF('交易流水'!A145&lt;&gt;"","流水","")</f>
        <v/>
      </c>
      <c r="B185">
        <f>'交易流水'!B145</f>
        <v/>
      </c>
      <c r="C185">
        <f>'交易流水'!X145</f>
        <v/>
      </c>
      <c r="D185">
        <f>IF(ISNUMBER(SEARCH("深港",C185)),"深港",IF(ISNUMBER(SEARCH("场内",C185)),"场内","其他"))</f>
        <v/>
      </c>
      <c r="E185">
        <f>'交易流水'!F145</f>
        <v/>
      </c>
      <c r="F185">
        <f>'交易流水'!G145</f>
        <v/>
      </c>
      <c r="G185">
        <f>'交易流水'!H145</f>
        <v/>
      </c>
      <c r="H185">
        <f>'交易流水'!K145</f>
        <v/>
      </c>
      <c r="I185">
        <f>'交易流水'!P145</f>
        <v/>
      </c>
      <c r="J185">
        <f>'交易流水'!L145</f>
        <v/>
      </c>
      <c r="K185">
        <f>'交易流水'!AR145</f>
        <v/>
      </c>
      <c r="L185">
        <f>IF(H185&gt;0,K185/H185,"")</f>
        <v/>
      </c>
      <c r="M185">
        <f>IF(G185="买入",H185,0)</f>
        <v/>
      </c>
      <c r="N185">
        <f>IF(G185="买入",K185,0)</f>
        <v/>
      </c>
      <c r="O185">
        <f>IF(G185="卖出",H185,0)</f>
        <v/>
      </c>
      <c r="P185">
        <f>IF(G185="卖出",K185,0)</f>
        <v/>
      </c>
      <c r="Q185">
        <f>SUMIFS($H$2:H184,$A$2:A184,"流水",$D$2:D184,D185,$E$2:E184,E185,$G$2:G184,"买入")</f>
        <v/>
      </c>
      <c r="R185">
        <f>SUMIFS($K$2:K184,$A$2:A184,"流水",$D$2:D184,D185,$E$2:E184,E185,$G$2:G184,"买入")</f>
        <v/>
      </c>
      <c r="S185">
        <f>IF(Q185&gt;0,R185/Q185,"")</f>
        <v/>
      </c>
      <c r="T185">
        <f>IF(G185="卖出",IF(S185="","",(L185-S185)*H185),0)</f>
        <v/>
      </c>
      <c r="U185" t="n">
        <v>122441.38</v>
      </c>
      <c r="V185">
        <f>IF(AND(J185&gt;0,D185="深港"),K185/J185,"")</f>
        <v/>
      </c>
      <c r="W185">
        <f>IF(G185="卖出","(L185-S185)×H185 = ("&amp;TEXT(L185,"0.######")&amp;"-"&amp;TEXT(S185,"0.######")&amp;")×"&amp;H185,"")</f>
        <v/>
      </c>
      <c r="X185" t="inlineStr">
        <is>
          <t>(L185-L78)×150000=(23.329771-22.513495)×150000=122441.38 → 122441.38</t>
        </is>
      </c>
      <c r="Y185">
        <f>IF(E185="","",IF(D185="深港",TEXT(--E185,"0000")&amp;".HK",IF(--E185&gt;=600000,TEXT(--E185,"000000")&amp;".SH",TEXT(--E185,"000000")&amp;".SZ")))</f>
        <v/>
      </c>
      <c r="Z185">
        <f>IF(Y185="","",IFERROR(INDEX('估值日行情'!$C$3:$C$61,MATCH(Y185,'估值日行情'!$A$3:$A$61,0)),""))</f>
        <v/>
      </c>
      <c r="AA185">
        <f>IF(D185="深港",IFERROR('FX_RATES_TO_CNY_HIST'!$B$3,""),1)</f>
        <v/>
      </c>
      <c r="AB185">
        <f>IF(Z185&lt;&gt;"",Z185*AA185,"")</f>
        <v/>
      </c>
      <c r="AC185">
        <f>SUMIFS($H$2:H185,$D$2:D185,D185,$E$2:E185,E185,$G$2:G185,"买入")-SUMIFS($H$2:H185,$D$2:D185,D185,$E$2:E185,E185,$G$2:G185,"卖出")</f>
        <v/>
      </c>
      <c r="AD185">
        <f>IF(D185="深港",IF(Q185&gt;0,SUMIFS($J$2:J184,$D$2:D184,D185,$E$2:E184,E185,$G$2:G184,"买入")/SUMIFS($H$2:H184,$D$2:D184,D185,$E$2:E184,E185,$G$2:G184,"买入"),""),S185)</f>
        <v/>
      </c>
      <c r="AE185">
        <f>IF(AC185&gt;0,AC185*Z185-AC185*AD185,0)</f>
        <v/>
      </c>
      <c r="AF185">
        <f>IF(AC185&gt;0,IF(D185="深港",AE185*AA185,AE185),0)</f>
        <v/>
      </c>
      <c r="AG185">
        <f>SUMIFS($H$2:H184,$D$2:D184,D185,$E$2:E184,E185,$G$2:G184,"买入")</f>
        <v/>
      </c>
      <c r="AH185">
        <f>SUMIFS($K$2:K184,$D$2:D184,D185,$E$2:E184,E185,$G$2:G184,"买入")</f>
        <v/>
      </c>
      <c r="AI185">
        <f>IF(AG185&gt;0,AH185/AG185,"")</f>
        <v/>
      </c>
      <c r="AJ185">
        <f>IF(G185="卖出",IF(AI185="","",(L185-AI185)*H185),0)</f>
        <v/>
      </c>
      <c r="AK185">
        <f>IF(G185="卖出",AJ185-T185,"")</f>
        <v/>
      </c>
      <c r="AL185">
        <f>IF(G185="卖出","(L185-AI185)×H185 = ("&amp;TEXT(L185,"0.######")&amp;"-"&amp;TEXT(AI185,"0.######")&amp;")×"&amp;H185,"")</f>
        <v/>
      </c>
    </row>
    <row r="186">
      <c r="A186">
        <f>IF('交易流水'!A146&lt;&gt;"","流水","")</f>
        <v/>
      </c>
      <c r="B186">
        <f>'交易流水'!B146</f>
        <v/>
      </c>
      <c r="C186">
        <f>'交易流水'!X146</f>
        <v/>
      </c>
      <c r="D186">
        <f>IF(ISNUMBER(SEARCH("深港",C186)),"深港",IF(ISNUMBER(SEARCH("场内",C186)),"场内","其他"))</f>
        <v/>
      </c>
      <c r="E186">
        <f>'交易流水'!F146</f>
        <v/>
      </c>
      <c r="F186">
        <f>'交易流水'!G146</f>
        <v/>
      </c>
      <c r="G186">
        <f>'交易流水'!H146</f>
        <v/>
      </c>
      <c r="H186">
        <f>'交易流水'!K146</f>
        <v/>
      </c>
      <c r="I186">
        <f>'交易流水'!P146</f>
        <v/>
      </c>
      <c r="J186">
        <f>'交易流水'!L146</f>
        <v/>
      </c>
      <c r="K186">
        <f>'交易流水'!AR146</f>
        <v/>
      </c>
      <c r="L186">
        <f>IF(H186&gt;0,K186/H186,"")</f>
        <v/>
      </c>
      <c r="M186">
        <f>IF(G186="买入",H186,0)</f>
        <v/>
      </c>
      <c r="N186">
        <f>IF(G186="买入",K186,0)</f>
        <v/>
      </c>
      <c r="O186">
        <f>IF(G186="卖出",H186,0)</f>
        <v/>
      </c>
      <c r="P186">
        <f>IF(G186="卖出",K186,0)</f>
        <v/>
      </c>
      <c r="Q186">
        <f>SUMIFS($H$2:H185,$A$2:A185,"流水",$D$2:D185,D186,$E$2:E185,E186,$G$2:G185,"买入")</f>
        <v/>
      </c>
      <c r="R186">
        <f>SUMIFS($K$2:K185,$A$2:A185,"流水",$D$2:D185,D186,$E$2:E185,E186,$G$2:G185,"买入")</f>
        <v/>
      </c>
      <c r="S186">
        <f>IF(Q186&gt;0,R186/Q186,"")</f>
        <v/>
      </c>
      <c r="T186">
        <f>IF(G186="卖出",IF(S186="","",(L186-S186)*H186),0)</f>
        <v/>
      </c>
      <c r="U186" t="n">
        <v>61939</v>
      </c>
      <c r="V186">
        <f>IF(AND(J186&gt;0,D186="深港"),K186/J186,"")</f>
        <v/>
      </c>
      <c r="W186">
        <f>IF(G186="卖出","(L186-S186)×H186 = ("&amp;TEXT(L186,"0.######")&amp;"-"&amp;TEXT(S186,"0.######")&amp;")×"&amp;H186,"")</f>
        <v/>
      </c>
      <c r="X186" t="inlineStr">
        <is>
          <t>(L186-L74)×30000=(79.050000-80.150000)×30000=-33000.00 + (L186-L89)×10000=(79.050000-79.450000)×10000=-4000.00 + (L186-L94)×10000=(79.050000-77.246100)×10000=18039.00 + (L186-L148)×50000=(79.050000-77.432000)×50000=80900.00 → 61939.0</t>
        </is>
      </c>
      <c r="Y186">
        <f>IF(E186="","",IF(D186="深港",TEXT(--E186,"0000")&amp;".HK",IF(--E186&gt;=600000,TEXT(--E186,"000000")&amp;".SH",TEXT(--E186,"000000")&amp;".SZ")))</f>
        <v/>
      </c>
      <c r="Z186">
        <f>IF(Y186="","",IFERROR(INDEX('估值日行情'!$C$3:$C$61,MATCH(Y186,'估值日行情'!$A$3:$A$61,0)),""))</f>
        <v/>
      </c>
      <c r="AA186">
        <f>IF(D186="深港",IFERROR('FX_RATES_TO_CNY_HIST'!$B$3,""),1)</f>
        <v/>
      </c>
      <c r="AB186">
        <f>IF(Z186&lt;&gt;"",Z186*AA186,"")</f>
        <v/>
      </c>
      <c r="AC186">
        <f>SUMIFS($H$2:H186,$D$2:D186,D186,$E$2:E186,E186,$G$2:G186,"买入")-SUMIFS($H$2:H186,$D$2:D186,D186,$E$2:E186,E186,$G$2:G186,"卖出")</f>
        <v/>
      </c>
      <c r="AD186">
        <f>IF(D186="深港",IF(Q186&gt;0,SUMIFS($J$2:J185,$D$2:D185,D186,$E$2:E185,E186,$G$2:G185,"买入")/SUMIFS($H$2:H185,$D$2:D185,D186,$E$2:E185,E186,$G$2:G185,"买入"),""),S186)</f>
        <v/>
      </c>
      <c r="AE186">
        <f>IF(AC186&gt;0,AC186*Z186-AC186*AD186,0)</f>
        <v/>
      </c>
      <c r="AF186">
        <f>IF(AC186&gt;0,IF(D186="深港",AE186*AA186,AE186),0)</f>
        <v/>
      </c>
      <c r="AG186">
        <f>SUMIFS($H$2:H185,$D$2:D185,D186,$E$2:E185,E186,$G$2:G185,"买入")</f>
        <v/>
      </c>
      <c r="AH186">
        <f>SUMIFS($K$2:K185,$D$2:D185,D186,$E$2:E185,E186,$G$2:G185,"买入")</f>
        <v/>
      </c>
      <c r="AI186">
        <f>IF(AG186&gt;0,AH186/AG186,"")</f>
        <v/>
      </c>
      <c r="AJ186">
        <f>IF(G186="卖出",IF(AI186="","",(L186-AI186)*H186),0)</f>
        <v/>
      </c>
      <c r="AK186">
        <f>IF(G186="卖出",AJ186-T186,"")</f>
        <v/>
      </c>
      <c r="AL186">
        <f>IF(G186="卖出","(L186-AI186)×H186 = ("&amp;TEXT(L186,"0.######")&amp;"-"&amp;TEXT(AI186,"0.######")&amp;")×"&amp;H186,"")</f>
        <v/>
      </c>
    </row>
    <row r="187">
      <c r="A187">
        <f>IF('交易流水'!A147&lt;&gt;"","流水","")</f>
        <v/>
      </c>
      <c r="B187">
        <f>'交易流水'!B147</f>
        <v/>
      </c>
      <c r="C187">
        <f>'交易流水'!X147</f>
        <v/>
      </c>
      <c r="D187">
        <f>IF(ISNUMBER(SEARCH("深港",C187)),"深港",IF(ISNUMBER(SEARCH("场内",C187)),"场内","其他"))</f>
        <v/>
      </c>
      <c r="E187">
        <f>'交易流水'!F147</f>
        <v/>
      </c>
      <c r="F187">
        <f>'交易流水'!G147</f>
        <v/>
      </c>
      <c r="G187">
        <f>'交易流水'!H147</f>
        <v/>
      </c>
      <c r="H187">
        <f>'交易流水'!K147</f>
        <v/>
      </c>
      <c r="I187">
        <f>'交易流水'!P147</f>
        <v/>
      </c>
      <c r="J187">
        <f>'交易流水'!L147</f>
        <v/>
      </c>
      <c r="K187">
        <f>'交易流水'!AR147</f>
        <v/>
      </c>
      <c r="L187">
        <f>IF(H187&gt;0,K187/H187,"")</f>
        <v/>
      </c>
      <c r="M187">
        <f>IF(G187="买入",H187,0)</f>
        <v/>
      </c>
      <c r="N187">
        <f>IF(G187="买入",K187,0)</f>
        <v/>
      </c>
      <c r="O187">
        <f>IF(G187="卖出",H187,0)</f>
        <v/>
      </c>
      <c r="P187">
        <f>IF(G187="卖出",K187,0)</f>
        <v/>
      </c>
      <c r="Q187">
        <f>SUMIFS($H$2:H186,$A$2:A186,"流水",$D$2:D186,D187,$E$2:E186,E187,$G$2:G186,"买入")</f>
        <v/>
      </c>
      <c r="R187">
        <f>SUMIFS($K$2:K186,$A$2:A186,"流水",$D$2:D186,D187,$E$2:E186,E187,$G$2:G186,"买入")</f>
        <v/>
      </c>
      <c r="S187">
        <f>IF(Q187&gt;0,R187/Q187,"")</f>
        <v/>
      </c>
      <c r="T187">
        <f>IF(G187="卖出",IF(S187="","",(L187-S187)*H187),0)</f>
        <v/>
      </c>
      <c r="U187" t="n">
        <v>864942.27</v>
      </c>
      <c r="V187">
        <f>IF(AND(J187&gt;0,D187="深港"),K187/J187,"")</f>
        <v/>
      </c>
      <c r="W187">
        <f>IF(G187="卖出","(L187-S187)×H187 = ("&amp;TEXT(L187,"0.######")&amp;"-"&amp;TEXT(S187,"0.######")&amp;")×"&amp;H187,"")</f>
        <v/>
      </c>
      <c r="X187" t="inlineStr">
        <is>
          <t>(L187-L34)×100000=(51.069810-42.420387)×100000=864942.27 → 864942.27</t>
        </is>
      </c>
      <c r="Y187">
        <f>IF(E187="","",IF(D187="深港",TEXT(--E187,"0000")&amp;".HK",IF(--E187&gt;=600000,TEXT(--E187,"000000")&amp;".SH",TEXT(--E187,"000000")&amp;".SZ")))</f>
        <v/>
      </c>
      <c r="Z187">
        <f>IF(Y187="","",IFERROR(INDEX('估值日行情'!$C$3:$C$61,MATCH(Y187,'估值日行情'!$A$3:$A$61,0)),""))</f>
        <v/>
      </c>
      <c r="AA187">
        <f>IF(D187="深港",IFERROR('FX_RATES_TO_CNY_HIST'!$B$3,""),1)</f>
        <v/>
      </c>
      <c r="AB187">
        <f>IF(Z187&lt;&gt;"",Z187*AA187,"")</f>
        <v/>
      </c>
      <c r="AC187">
        <f>SUMIFS($H$2:H187,$D$2:D187,D187,$E$2:E187,E187,$G$2:G187,"买入")-SUMIFS($H$2:H187,$D$2:D187,D187,$E$2:E187,E187,$G$2:G187,"卖出")</f>
        <v/>
      </c>
      <c r="AD187">
        <f>IF(D187="深港",IF(Q187&gt;0,SUMIFS($J$2:J186,$D$2:D186,D187,$E$2:E186,E187,$G$2:G186,"买入")/SUMIFS($H$2:H186,$D$2:D186,D187,$E$2:E186,E187,$G$2:G186,"买入"),""),S187)</f>
        <v/>
      </c>
      <c r="AE187">
        <f>IF(AC187&gt;0,AC187*Z187-AC187*AD187,0)</f>
        <v/>
      </c>
      <c r="AF187">
        <f>IF(AC187&gt;0,IF(D187="深港",AE187*AA187,AE187),0)</f>
        <v/>
      </c>
      <c r="AG187">
        <f>SUMIFS($H$2:H186,$D$2:D186,D187,$E$2:E186,E187,$G$2:G186,"买入")</f>
        <v/>
      </c>
      <c r="AH187">
        <f>SUMIFS($K$2:K186,$D$2:D186,D187,$E$2:E186,E187,$G$2:G186,"买入")</f>
        <v/>
      </c>
      <c r="AI187">
        <f>IF(AG187&gt;0,AH187/AG187,"")</f>
        <v/>
      </c>
      <c r="AJ187">
        <f>IF(G187="卖出",IF(AI187="","",(L187-AI187)*H187),0)</f>
        <v/>
      </c>
      <c r="AK187">
        <f>IF(G187="卖出",AJ187-T187,"")</f>
        <v/>
      </c>
      <c r="AL187">
        <f>IF(G187="卖出","(L187-AI187)×H187 = ("&amp;TEXT(L187,"0.######")&amp;"-"&amp;TEXT(AI187,"0.######")&amp;")×"&amp;H187,"")</f>
        <v/>
      </c>
    </row>
    <row r="188">
      <c r="A188">
        <f>IF('交易流水'!A148&lt;&gt;"","流水","")</f>
        <v/>
      </c>
      <c r="B188">
        <f>'交易流水'!B148</f>
        <v/>
      </c>
      <c r="C188">
        <f>'交易流水'!X148</f>
        <v/>
      </c>
      <c r="D188">
        <f>IF(ISNUMBER(SEARCH("深港",C188)),"深港",IF(ISNUMBER(SEARCH("场内",C188)),"场内","其他"))</f>
        <v/>
      </c>
      <c r="E188">
        <f>'交易流水'!F148</f>
        <v/>
      </c>
      <c r="F188">
        <f>'交易流水'!G148</f>
        <v/>
      </c>
      <c r="G188">
        <f>'交易流水'!H148</f>
        <v/>
      </c>
      <c r="H188">
        <f>'交易流水'!K148</f>
        <v/>
      </c>
      <c r="I188">
        <f>'交易流水'!P148</f>
        <v/>
      </c>
      <c r="J188">
        <f>'交易流水'!L148</f>
        <v/>
      </c>
      <c r="K188">
        <f>'交易流水'!AR148</f>
        <v/>
      </c>
      <c r="L188">
        <f>IF(H188&gt;0,K188/H188,"")</f>
        <v/>
      </c>
      <c r="M188">
        <f>IF(G188="买入",H188,0)</f>
        <v/>
      </c>
      <c r="N188">
        <f>IF(G188="买入",K188,0)</f>
        <v/>
      </c>
      <c r="O188">
        <f>IF(G188="卖出",H188,0)</f>
        <v/>
      </c>
      <c r="P188">
        <f>IF(G188="卖出",K188,0)</f>
        <v/>
      </c>
      <c r="Q188">
        <f>SUMIFS($H$2:H187,$A$2:A187,"流水",$D$2:D187,D188,$E$2:E187,E188,$G$2:G187,"买入")</f>
        <v/>
      </c>
      <c r="R188">
        <f>SUMIFS($K$2:K187,$A$2:A187,"流水",$D$2:D187,D188,$E$2:E187,E188,$G$2:G187,"买入")</f>
        <v/>
      </c>
      <c r="S188">
        <f>IF(Q188&gt;0,R188/Q188,"")</f>
        <v/>
      </c>
      <c r="T188">
        <f>IF(G188="卖出",IF(S188="","",(L188-S188)*H188),0)</f>
        <v/>
      </c>
      <c r="U188" t="n">
        <v>0</v>
      </c>
      <c r="V188">
        <f>IF(AND(J188&gt;0,D188="深港"),K188/J188,"")</f>
        <v/>
      </c>
      <c r="W188">
        <f>IF(G188="卖出","(L188-S188)×H188 = ("&amp;TEXT(L188,"0.######")&amp;"-"&amp;TEXT(S188,"0.######")&amp;")×"&amp;H188,"")</f>
        <v/>
      </c>
      <c r="Y188">
        <f>IF(E188="","",IF(D188="深港",TEXT(--E188,"0000")&amp;".HK",IF(--E188&gt;=600000,TEXT(--E188,"000000")&amp;".SH",TEXT(--E188,"000000")&amp;".SZ")))</f>
        <v/>
      </c>
      <c r="Z188">
        <f>IF(Y188="","",IFERROR(INDEX('估值日行情'!$C$3:$C$61,MATCH(Y188,'估值日行情'!$A$3:$A$61,0)),""))</f>
        <v/>
      </c>
      <c r="AA188">
        <f>IF(D188="深港",IFERROR('FX_RATES_TO_CNY_HIST'!$B$3,""),1)</f>
        <v/>
      </c>
      <c r="AB188">
        <f>IF(Z188&lt;&gt;"",Z188*AA188,"")</f>
        <v/>
      </c>
      <c r="AC188">
        <f>SUMIFS($H$2:H188,$D$2:D188,D188,$E$2:E188,E188,$G$2:G188,"买入")-SUMIFS($H$2:H188,$D$2:D188,D188,$E$2:E188,E188,$G$2:G188,"卖出")</f>
        <v/>
      </c>
      <c r="AD188">
        <f>IF(D188="深港",IF(Q188&gt;0,SUMIFS($J$2:J187,$D$2:D187,D188,$E$2:E187,E188,$G$2:G187,"买入")/SUMIFS($H$2:H187,$D$2:D187,D188,$E$2:E187,E188,$G$2:G187,"买入"),""),S188)</f>
        <v/>
      </c>
      <c r="AE188">
        <f>IF(AC188&gt;0,AC188*Z188-AC188*AD188,0)</f>
        <v/>
      </c>
      <c r="AF188">
        <f>IF(AC188&gt;0,IF(D188="深港",AE188*AA188,AE188),0)</f>
        <v/>
      </c>
      <c r="AG188">
        <f>SUMIFS($H$2:H187,$D$2:D187,D188,$E$2:E187,E188,$G$2:G187,"买入")</f>
        <v/>
      </c>
      <c r="AH188">
        <f>SUMIFS($K$2:K187,$D$2:D187,D188,$E$2:E187,E188,$G$2:G187,"买入")</f>
        <v/>
      </c>
      <c r="AI188">
        <f>IF(AG188&gt;0,AH188/AG188,"")</f>
        <v/>
      </c>
      <c r="AJ188">
        <f>IF(G188="卖出",IF(AI188="","",(L188-AI188)*H188),0)</f>
        <v/>
      </c>
      <c r="AK188">
        <f>IF(G188="卖出",AJ188-T188,"")</f>
        <v/>
      </c>
      <c r="AL188">
        <f>IF(G188="卖出","(L188-AI188)×H188 = ("&amp;TEXT(L188,"0.######")&amp;"-"&amp;TEXT(AI188,"0.######")&amp;")×"&amp;H188,"")</f>
        <v/>
      </c>
    </row>
    <row r="189">
      <c r="A189">
        <f>IF('交易流水'!A149&lt;&gt;"","流水","")</f>
        <v/>
      </c>
      <c r="B189">
        <f>'交易流水'!B149</f>
        <v/>
      </c>
      <c r="C189">
        <f>'交易流水'!X149</f>
        <v/>
      </c>
      <c r="D189">
        <f>IF(ISNUMBER(SEARCH("深港",C189)),"深港",IF(ISNUMBER(SEARCH("场内",C189)),"场内","其他"))</f>
        <v/>
      </c>
      <c r="E189">
        <f>'交易流水'!F149</f>
        <v/>
      </c>
      <c r="F189">
        <f>'交易流水'!G149</f>
        <v/>
      </c>
      <c r="G189">
        <f>'交易流水'!H149</f>
        <v/>
      </c>
      <c r="H189">
        <f>'交易流水'!K149</f>
        <v/>
      </c>
      <c r="I189">
        <f>'交易流水'!P149</f>
        <v/>
      </c>
      <c r="J189">
        <f>'交易流水'!L149</f>
        <v/>
      </c>
      <c r="K189">
        <f>'交易流水'!AR149</f>
        <v/>
      </c>
      <c r="L189">
        <f>IF(H189&gt;0,K189/H189,"")</f>
        <v/>
      </c>
      <c r="M189">
        <f>IF(G189="买入",H189,0)</f>
        <v/>
      </c>
      <c r="N189">
        <f>IF(G189="买入",K189,0)</f>
        <v/>
      </c>
      <c r="O189">
        <f>IF(G189="卖出",H189,0)</f>
        <v/>
      </c>
      <c r="P189">
        <f>IF(G189="卖出",K189,0)</f>
        <v/>
      </c>
      <c r="Q189">
        <f>SUMIFS($H$2:H188,$A$2:A188,"流水",$D$2:D188,D189,$E$2:E188,E189,$G$2:G188,"买入")</f>
        <v/>
      </c>
      <c r="R189">
        <f>SUMIFS($K$2:K188,$A$2:A188,"流水",$D$2:D188,D189,$E$2:E188,E189,$G$2:G188,"买入")</f>
        <v/>
      </c>
      <c r="S189">
        <f>IF(Q189&gt;0,R189/Q189,"")</f>
        <v/>
      </c>
      <c r="T189">
        <f>IF(G189="卖出",IF(S189="","",(L189-S189)*H189),0)</f>
        <v/>
      </c>
      <c r="U189" t="n">
        <v>-2043189.1</v>
      </c>
      <c r="V189">
        <f>IF(AND(J189&gt;0,D189="深港"),K189/J189,"")</f>
        <v/>
      </c>
      <c r="W189">
        <f>IF(G189="卖出","(L189-S189)×H189 = ("&amp;TEXT(L189,"0.######")&amp;"-"&amp;TEXT(S189,"0.######")&amp;")×"&amp;H189,"")</f>
        <v/>
      </c>
      <c r="X189" t="inlineStr">
        <is>
          <t>(L189-L38)×400000=(7.411087-11.535194)×400000=-1649642.74 + (L189-L82)×100000=(7.411087-10.716659)×100000=-330557.14 + (L189-L139)×20000=(7.411087-8.549520)×20000=-22768.66 + (L189-L163)×30000=(7.411087-8.751773)×30000=-40220.56 → -2043189.1</t>
        </is>
      </c>
      <c r="Y189">
        <f>IF(E189="","",IF(D189="深港",TEXT(--E189,"0000")&amp;".HK",IF(--E189&gt;=600000,TEXT(--E189,"000000")&amp;".SH",TEXT(--E189,"000000")&amp;".SZ")))</f>
        <v/>
      </c>
      <c r="Z189">
        <f>IF(Y189="","",IFERROR(INDEX('估值日行情'!$C$3:$C$61,MATCH(Y189,'估值日行情'!$A$3:$A$61,0)),""))</f>
        <v/>
      </c>
      <c r="AA189">
        <f>IF(D189="深港",IFERROR('FX_RATES_TO_CNY_HIST'!$B$3,""),1)</f>
        <v/>
      </c>
      <c r="AB189">
        <f>IF(Z189&lt;&gt;"",Z189*AA189,"")</f>
        <v/>
      </c>
      <c r="AC189">
        <f>SUMIFS($H$2:H189,$D$2:D189,D189,$E$2:E189,E189,$G$2:G189,"买入")-SUMIFS($H$2:H189,$D$2:D189,D189,$E$2:E189,E189,$G$2:G189,"卖出")</f>
        <v/>
      </c>
      <c r="AD189">
        <f>IF(D189="深港",IF(Q189&gt;0,SUMIFS($J$2:J188,$D$2:D188,D189,$E$2:E188,E189,$G$2:G188,"买入")/SUMIFS($H$2:H188,$D$2:D188,D189,$E$2:E188,E189,$G$2:G188,"买入"),""),S189)</f>
        <v/>
      </c>
      <c r="AE189">
        <f>IF(AC189&gt;0,AC189*Z189-AC189*AD189,0)</f>
        <v/>
      </c>
      <c r="AF189">
        <f>IF(AC189&gt;0,IF(D189="深港",AE189*AA189,AE189),0)</f>
        <v/>
      </c>
      <c r="AG189">
        <f>SUMIFS($H$2:H188,$D$2:D188,D189,$E$2:E188,E189,$G$2:G188,"买入")</f>
        <v/>
      </c>
      <c r="AH189">
        <f>SUMIFS($K$2:K188,$D$2:D188,D189,$E$2:E188,E189,$G$2:G188,"买入")</f>
        <v/>
      </c>
      <c r="AI189">
        <f>IF(AG189&gt;0,AH189/AG189,"")</f>
        <v/>
      </c>
      <c r="AJ189">
        <f>IF(G189="卖出",IF(AI189="","",(L189-AI189)*H189),0)</f>
        <v/>
      </c>
      <c r="AK189">
        <f>IF(G189="卖出",AJ189-T189,"")</f>
        <v/>
      </c>
      <c r="AL189">
        <f>IF(G189="卖出","(L189-AI189)×H189 = ("&amp;TEXT(L189,"0.######")&amp;"-"&amp;TEXT(AI189,"0.######")&amp;")×"&amp;H189,"")</f>
        <v/>
      </c>
    </row>
    <row r="190">
      <c r="A190">
        <f>IF('交易流水'!A150&lt;&gt;"","流水","")</f>
        <v/>
      </c>
      <c r="B190">
        <f>'交易流水'!B150</f>
        <v/>
      </c>
      <c r="C190">
        <f>'交易流水'!X150</f>
        <v/>
      </c>
      <c r="D190">
        <f>IF(ISNUMBER(SEARCH("深港",C190)),"深港",IF(ISNUMBER(SEARCH("场内",C190)),"场内","其他"))</f>
        <v/>
      </c>
      <c r="E190">
        <f>'交易流水'!F150</f>
        <v/>
      </c>
      <c r="F190">
        <f>'交易流水'!G150</f>
        <v/>
      </c>
      <c r="G190">
        <f>'交易流水'!H150</f>
        <v/>
      </c>
      <c r="H190">
        <f>'交易流水'!K150</f>
        <v/>
      </c>
      <c r="I190">
        <f>'交易流水'!P150</f>
        <v/>
      </c>
      <c r="J190">
        <f>'交易流水'!L150</f>
        <v/>
      </c>
      <c r="K190">
        <f>'交易流水'!AR150</f>
        <v/>
      </c>
      <c r="L190">
        <f>IF(H190&gt;0,K190/H190,"")</f>
        <v/>
      </c>
      <c r="M190">
        <f>IF(G190="买入",H190,0)</f>
        <v/>
      </c>
      <c r="N190">
        <f>IF(G190="买入",K190,0)</f>
        <v/>
      </c>
      <c r="O190">
        <f>IF(G190="卖出",H190,0)</f>
        <v/>
      </c>
      <c r="P190">
        <f>IF(G190="卖出",K190,0)</f>
        <v/>
      </c>
      <c r="Q190">
        <f>SUMIFS($H$2:H189,$A$2:A189,"流水",$D$2:D189,D190,$E$2:E189,E190,$G$2:G189,"买入")</f>
        <v/>
      </c>
      <c r="R190">
        <f>SUMIFS($K$2:K189,$A$2:A189,"流水",$D$2:D189,D190,$E$2:E189,E190,$G$2:G189,"买入")</f>
        <v/>
      </c>
      <c r="S190">
        <f>IF(Q190&gt;0,R190/Q190,"")</f>
        <v/>
      </c>
      <c r="T190">
        <f>IF(G190="卖出",IF(S190="","",(L190-S190)*H190),0)</f>
        <v/>
      </c>
      <c r="U190" t="n">
        <v>-1607753.06</v>
      </c>
      <c r="V190">
        <f>IF(AND(J190&gt;0,D190="深港"),K190/J190,"")</f>
        <v/>
      </c>
      <c r="W190">
        <f>IF(G190="卖出","(L190-S190)×H190 = ("&amp;TEXT(L190,"0.######")&amp;"-"&amp;TEXT(S190,"0.######")&amp;")×"&amp;H190,"")</f>
        <v/>
      </c>
      <c r="X190" t="inlineStr">
        <is>
          <t>(L190-L86)×300000=(6.921995-10.486147)×300000=-1069245.58 + (L190-L90)×50000=(6.921995-10.317107)×50000=-169755.58 + (L190-L113)×50000=(6.921995-9.649110)×50000=-136355.75 + (L190-L115)×100000=(6.921995-9.245957)×100000=-232396.15 → -1607753.06</t>
        </is>
      </c>
      <c r="Y190">
        <f>IF(E190="","",IF(D190="深港",TEXT(--E190,"0000")&amp;".HK",IF(--E190&gt;=600000,TEXT(--E190,"000000")&amp;".SH",TEXT(--E190,"000000")&amp;".SZ")))</f>
        <v/>
      </c>
      <c r="Z190">
        <f>IF(Y190="","",IFERROR(INDEX('估值日行情'!$C$3:$C$61,MATCH(Y190,'估值日行情'!$A$3:$A$61,0)),""))</f>
        <v/>
      </c>
      <c r="AA190">
        <f>IF(D190="深港",IFERROR('FX_RATES_TO_CNY_HIST'!$B$3,""),1)</f>
        <v/>
      </c>
      <c r="AB190">
        <f>IF(Z190&lt;&gt;"",Z190*AA190,"")</f>
        <v/>
      </c>
      <c r="AC190">
        <f>SUMIFS($H$2:H190,$D$2:D190,D190,$E$2:E190,E190,$G$2:G190,"买入")-SUMIFS($H$2:H190,$D$2:D190,D190,$E$2:E190,E190,$G$2:G190,"卖出")</f>
        <v/>
      </c>
      <c r="AD190">
        <f>IF(D190="深港",IF(Q190&gt;0,SUMIFS($J$2:J189,$D$2:D189,D190,$E$2:E189,E190,$G$2:G189,"买入")/SUMIFS($H$2:H189,$D$2:D189,D190,$E$2:E189,E190,$G$2:G189,"买入"),""),S190)</f>
        <v/>
      </c>
      <c r="AE190">
        <f>IF(AC190&gt;0,AC190*Z190-AC190*AD190,0)</f>
        <v/>
      </c>
      <c r="AF190">
        <f>IF(AC190&gt;0,IF(D190="深港",AE190*AA190,AE190),0)</f>
        <v/>
      </c>
      <c r="AG190">
        <f>SUMIFS($H$2:H189,$D$2:D189,D190,$E$2:E189,E190,$G$2:G189,"买入")</f>
        <v/>
      </c>
      <c r="AH190">
        <f>SUMIFS($K$2:K189,$D$2:D189,D190,$E$2:E189,E190,$G$2:G189,"买入")</f>
        <v/>
      </c>
      <c r="AI190">
        <f>IF(AG190&gt;0,AH190/AG190,"")</f>
        <v/>
      </c>
      <c r="AJ190">
        <f>IF(G190="卖出",IF(AI190="","",(L190-AI190)*H190),0)</f>
        <v/>
      </c>
      <c r="AK190">
        <f>IF(G190="卖出",AJ190-T190,"")</f>
        <v/>
      </c>
      <c r="AL190">
        <f>IF(G190="卖出","(L190-AI190)×H190 = ("&amp;TEXT(L190,"0.######")&amp;"-"&amp;TEXT(AI190,"0.######")&amp;")×"&amp;H190,"")</f>
        <v/>
      </c>
    </row>
    <row r="191">
      <c r="A191">
        <f>IF('交易流水'!A151&lt;&gt;"","流水","")</f>
        <v/>
      </c>
      <c r="B191">
        <f>'交易流水'!B151</f>
        <v/>
      </c>
      <c r="C191">
        <f>'交易流水'!X151</f>
        <v/>
      </c>
      <c r="D191">
        <f>IF(ISNUMBER(SEARCH("深港",C191)),"深港",IF(ISNUMBER(SEARCH("场内",C191)),"场内","其他"))</f>
        <v/>
      </c>
      <c r="E191">
        <f>'交易流水'!F151</f>
        <v/>
      </c>
      <c r="F191">
        <f>'交易流水'!G151</f>
        <v/>
      </c>
      <c r="G191">
        <f>'交易流水'!H151</f>
        <v/>
      </c>
      <c r="H191">
        <f>'交易流水'!K151</f>
        <v/>
      </c>
      <c r="I191">
        <f>'交易流水'!P151</f>
        <v/>
      </c>
      <c r="J191">
        <f>'交易流水'!L151</f>
        <v/>
      </c>
      <c r="K191">
        <f>'交易流水'!AR151</f>
        <v/>
      </c>
      <c r="L191">
        <f>IF(H191&gt;0,K191/H191,"")</f>
        <v/>
      </c>
      <c r="M191">
        <f>IF(G191="买入",H191,0)</f>
        <v/>
      </c>
      <c r="N191">
        <f>IF(G191="买入",K191,0)</f>
        <v/>
      </c>
      <c r="O191">
        <f>IF(G191="卖出",H191,0)</f>
        <v/>
      </c>
      <c r="P191">
        <f>IF(G191="卖出",K191,0)</f>
        <v/>
      </c>
      <c r="Q191">
        <f>SUMIFS($H$2:H190,$A$2:A190,"流水",$D$2:D190,D191,$E$2:E190,E191,$G$2:G190,"买入")</f>
        <v/>
      </c>
      <c r="R191">
        <f>SUMIFS($K$2:K190,$A$2:A190,"流水",$D$2:D190,D191,$E$2:E190,E191,$G$2:G190,"买入")</f>
        <v/>
      </c>
      <c r="S191">
        <f>IF(Q191&gt;0,R191/Q191,"")</f>
        <v/>
      </c>
      <c r="T191">
        <f>IF(G191="卖出",IF(S191="","",(L191-S191)*H191),0)</f>
        <v/>
      </c>
      <c r="U191" t="n">
        <v>296557.05</v>
      </c>
      <c r="V191">
        <f>IF(AND(J191&gt;0,D191="深港"),K191/J191,"")</f>
        <v/>
      </c>
      <c r="W191">
        <f>IF(G191="卖出","(L191-S191)×H191 = ("&amp;TEXT(L191,"0.######")&amp;"-"&amp;TEXT(S191,"0.######")&amp;")×"&amp;H191,"")</f>
        <v/>
      </c>
      <c r="X191" t="inlineStr">
        <is>
          <t>(L191-L39)×1300000=(4.483394-4.255273)×1300000=296557.05 → 296557.05</t>
        </is>
      </c>
      <c r="Y191">
        <f>IF(E191="","",IF(D191="深港",TEXT(--E191,"0000")&amp;".HK",IF(--E191&gt;=600000,TEXT(--E191,"000000")&amp;".SH",TEXT(--E191,"000000")&amp;".SZ")))</f>
        <v/>
      </c>
      <c r="Z191">
        <f>IF(Y191="","",IFERROR(INDEX('估值日行情'!$C$3:$C$61,MATCH(Y191,'估值日行情'!$A$3:$A$61,0)),""))</f>
        <v/>
      </c>
      <c r="AA191">
        <f>IF(D191="深港",IFERROR('FX_RATES_TO_CNY_HIST'!$B$3,""),1)</f>
        <v/>
      </c>
      <c r="AB191">
        <f>IF(Z191&lt;&gt;"",Z191*AA191,"")</f>
        <v/>
      </c>
      <c r="AC191">
        <f>SUMIFS($H$2:H191,$D$2:D191,D191,$E$2:E191,E191,$G$2:G191,"买入")-SUMIFS($H$2:H191,$D$2:D191,D191,$E$2:E191,E191,$G$2:G191,"卖出")</f>
        <v/>
      </c>
      <c r="AD191">
        <f>IF(D191="深港",IF(Q191&gt;0,SUMIFS($J$2:J190,$D$2:D190,D191,$E$2:E190,E191,$G$2:G190,"买入")/SUMIFS($H$2:H190,$D$2:D190,D191,$E$2:E190,E191,$G$2:G190,"买入"),""),S191)</f>
        <v/>
      </c>
      <c r="AE191">
        <f>IF(AC191&gt;0,AC191*Z191-AC191*AD191,0)</f>
        <v/>
      </c>
      <c r="AF191">
        <f>IF(AC191&gt;0,IF(D191="深港",AE191*AA191,AE191),0)</f>
        <v/>
      </c>
      <c r="AG191">
        <f>SUMIFS($H$2:H190,$D$2:D190,D191,$E$2:E190,E191,$G$2:G190,"买入")</f>
        <v/>
      </c>
      <c r="AH191">
        <f>SUMIFS($K$2:K190,$D$2:D190,D191,$E$2:E190,E191,$G$2:G190,"买入")</f>
        <v/>
      </c>
      <c r="AI191">
        <f>IF(AG191&gt;0,AH191/AG191,"")</f>
        <v/>
      </c>
      <c r="AJ191">
        <f>IF(G191="卖出",IF(AI191="","",(L191-AI191)*H191),0)</f>
        <v/>
      </c>
      <c r="AK191">
        <f>IF(G191="卖出",AJ191-T191,"")</f>
        <v/>
      </c>
      <c r="AL191">
        <f>IF(G191="卖出","(L191-AI191)×H191 = ("&amp;TEXT(L191,"0.######")&amp;"-"&amp;TEXT(AI191,"0.######")&amp;")×"&amp;H191,"")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叶子投组</t>
        </is>
      </c>
      <c r="B1" s="3" t="inlineStr">
        <is>
          <t>证券代码</t>
        </is>
      </c>
      <c r="C1" s="3" t="inlineStr">
        <is>
          <t>证券名称</t>
        </is>
      </c>
      <c r="D1" s="3" t="inlineStr">
        <is>
          <t>期初数量</t>
        </is>
      </c>
      <c r="E1" s="3" t="inlineStr">
        <is>
          <t>买入数量</t>
        </is>
      </c>
      <c r="F1" s="3" t="inlineStr">
        <is>
          <t>卖出数量</t>
        </is>
      </c>
      <c r="G1" s="3" t="inlineStr">
        <is>
          <t>净持仓</t>
        </is>
      </c>
      <c r="H1" s="3" t="inlineStr">
        <is>
          <t>成本单价(加权)(原币)</t>
        </is>
      </c>
      <c r="I1" s="3" t="inlineStr">
        <is>
          <t>成本单价(加权)(CNY)</t>
        </is>
      </c>
      <c r="J1" s="3" t="inlineStr">
        <is>
          <t>标准代码</t>
        </is>
      </c>
      <c r="K1" s="3" t="inlineStr">
        <is>
          <t>估值日市价(原币)</t>
        </is>
      </c>
      <c r="L1" s="3" t="inlineStr">
        <is>
          <t>兑CNY汇率(估值日)</t>
        </is>
      </c>
      <c r="M1" s="3" t="inlineStr">
        <is>
          <t>估值日市价(CNY)</t>
        </is>
      </c>
      <c r="N1" s="3" t="inlineStr">
        <is>
          <t>持仓成本(原币)</t>
        </is>
      </c>
      <c r="O1" s="3" t="inlineStr">
        <is>
          <t>持仓成本(加权)(CNY)</t>
        </is>
      </c>
      <c r="P1" s="3" t="inlineStr">
        <is>
          <t>市值(原币)</t>
        </is>
      </c>
      <c r="Q1" s="3" t="inlineStr">
        <is>
          <t>市值(CNY)</t>
        </is>
      </c>
      <c r="R1" s="3" t="inlineStr">
        <is>
          <t>浮动盈亏(MTM)(原币·加权参考)</t>
        </is>
      </c>
      <c r="S1" s="3" t="inlineStr">
        <is>
          <t>浮动盈亏(MTM)(CNY·全账FIFO)</t>
        </is>
      </c>
      <c r="T1" s="3" t="inlineStr">
        <is>
          <t>FIFO剩余成本(CNY)</t>
        </is>
      </c>
      <c r="U1" s="3" t="inlineStr">
        <is>
          <t>流水净持仓</t>
        </is>
      </c>
      <c r="V1" s="3" t="inlineStr">
        <is>
          <t>流水买入均价(CNY)</t>
        </is>
      </c>
      <c r="W1" s="3" t="inlineStr">
        <is>
          <t>运营MTM(CNY·流水加权)</t>
        </is>
      </c>
    </row>
    <row r="2">
      <c r="A2" t="inlineStr">
        <is>
          <t>场内</t>
        </is>
      </c>
      <c r="B2" t="inlineStr">
        <is>
          <t>1</t>
        </is>
      </c>
      <c r="C2" t="inlineStr">
        <is>
          <t>平安银行</t>
        </is>
      </c>
      <c r="D2">
        <f>SUMIFS('期初批次'!$D$2:$D$41,'期初批次'!$B$2:$B$41,B2,'期初批次'!$I$2:$I$41,A2)</f>
        <v/>
      </c>
      <c r="E2">
        <f>SUMIFS('逐笔辅助'!$M$2:$M$191,'逐笔辅助'!$A$2:$A$191,"流水",'逐笔辅助'!$D$2:$D$191,A2,'逐笔辅助'!$E$2:$E$191,B2)</f>
        <v/>
      </c>
      <c r="F2">
        <f>SUMIFS('逐笔辅助'!$O$2:$O$191,'逐笔辅助'!$A$2:$A$191,"流水",'逐笔辅助'!$D$2:$D$191,A2,'逐笔辅助'!$E$2:$E$191,B2)</f>
        <v/>
      </c>
      <c r="G2">
        <f>D2+E2-F2</f>
        <v/>
      </c>
      <c r="H2">
        <f>IF((D2+E2)&gt;0,IF(A2="深港",(SUMIFS('期初批次'!$M$2:$M$41,'期初批次'!$B$2:$B$41,B2,'期初批次'!$I$2:$I$41,A2)+SUMIFS('逐笔辅助'!$J$2:$J$191,'逐笔辅助'!$A$2:$A$191,"流水",'逐笔辅助'!$D$2:$D$191,A2,'逐笔辅助'!$G$2:$G$191,"买入",'逐笔辅助'!$E$2:$E$191,B2))/(D2+E2),(SUMIFS('期初批次'!$E$2:$E$41,'期初批次'!$B$2:$B$41,B2,'期初批次'!$I$2:$I$41,A2)+SUMIFS('逐笔辅助'!$N$2:$N$191,'逐笔辅助'!$A$2:$A$191,"流水",'逐笔辅助'!$D$2:$D$191,A2,'逐笔辅助'!$E$2:$E$191,B2))/(D2+E2)),"")</f>
        <v/>
      </c>
      <c r="I2">
        <f>IF((D2+E2)&gt;0,(SUMIFS('期初批次'!$E$2:$E$41,'期初批次'!$B$2:$B$41,B2,'期初批次'!$I$2:$I$41,A2)+SUMIFS('逐笔辅助'!$N$2:$N$191,'逐笔辅助'!$A$2:$A$191,"流水",'逐笔辅助'!$D$2:$D$191,A2,'逐笔辅助'!$E$2:$E$191,B2))/(D2+E2),"")</f>
        <v/>
      </c>
      <c r="J2">
        <f>IFERROR(INDEX('期初批次'!$J$2:$J$41,MATCH(TRUE,('期初批次'!$B$2:$B$41=B2)*('期初批次'!$I$2:$I$41=A2),0)),IF(A2="深港",TEXT(--B2,"0000")&amp;".HK",IF(--B2&gt;=600000,TEXT(--B2,"000000")&amp;".SH",TEXT(--B2,"000000")&amp;".SZ")))</f>
        <v/>
      </c>
      <c r="K2">
        <f>IF(J2="","",IFERROR(INDEX('估值日行情'!$C$3:$C$61,MATCH(J2,'估值日行情'!$A$3:$A$61,0)),""))</f>
        <v/>
      </c>
      <c r="L2">
        <f>IF(A2="深港",IFERROR('FX_RATES_TO_CNY_HIST'!$B$3,""),1)</f>
        <v/>
      </c>
      <c r="M2">
        <f>IF(K2&lt;&gt;"",K2*L2,"")</f>
        <v/>
      </c>
      <c r="N2">
        <f>IF(G2&gt;0,G2*H2,0)</f>
        <v/>
      </c>
      <c r="O2">
        <f>IF(G2&gt;0,G2*I2,0)</f>
        <v/>
      </c>
      <c r="P2">
        <f>IF(G2&gt;0,G2*K2,0)</f>
        <v/>
      </c>
      <c r="Q2">
        <f>IF(G2&gt;0,G2*M2,0)</f>
        <v/>
      </c>
      <c r="R2">
        <f>IF(G2&gt;0,P2-N2,0)</f>
        <v/>
      </c>
      <c r="S2">
        <f>IF(G2&gt;0,Q2-T2,0)</f>
        <v/>
      </c>
      <c r="T2">
        <f>SUMIFS('期初批次'!$E$2:$E$41,'期初批次'!$B$2:$B$41,B2,'期初批次'!$I$2:$I$41,A2)+SUMIFS('逐笔辅助'!$N$2:$N$191,'逐笔辅助'!$A$2:$A$191,"流水",'逐笔辅助'!$D$2:$D$191,A2,'逐笔辅助'!$E$2:$E$191,B2)-SUMIFS('逐笔辅助'!$P$2:$P$191,'逐笔辅助'!$A$2:$A$191,"流水",'逐笔辅助'!$D$2:$D$191,A2,'逐笔辅助'!$E$2:$E$191,B2)+SUMIFS('逐笔辅助'!$U$2:$U$191,'逐笔辅助'!$A$2:$A$191,"流水",'逐笔辅助'!$D$2:$D$191,A2,'逐笔辅助'!$E$2:$E$191,B2)</f>
        <v/>
      </c>
      <c r="U2">
        <f>E2-F2</f>
        <v/>
      </c>
      <c r="V2">
        <f>IF(E2&gt;0,SUMIFS('逐笔辅助'!$N$2:$N$191,'逐笔辅助'!$A$2:$A$191,"流水",'逐笔辅助'!$D$2:$D$191,A2,'逐笔辅助'!$E$2:$E$191,B2)/E2,"")</f>
        <v/>
      </c>
      <c r="W2">
        <f>IF(AND(U2&gt;0,M2&lt;&gt;""),U2*(M2-V2),0)</f>
        <v/>
      </c>
    </row>
    <row r="3">
      <c r="A3" t="inlineStr">
        <is>
          <t>场内</t>
        </is>
      </c>
      <c r="B3" t="inlineStr">
        <is>
          <t>2807</t>
        </is>
      </c>
      <c r="C3" t="inlineStr">
        <is>
          <t>江阴银行</t>
        </is>
      </c>
      <c r="D3">
        <f>SUMIFS('期初批次'!$D$2:$D$41,'期初批次'!$B$2:$B$41,B3,'期初批次'!$I$2:$I$41,A3)</f>
        <v/>
      </c>
      <c r="E3">
        <f>SUMIFS('逐笔辅助'!$M$2:$M$191,'逐笔辅助'!$A$2:$A$191,"流水",'逐笔辅助'!$D$2:$D$191,A3,'逐笔辅助'!$E$2:$E$191,B3)</f>
        <v/>
      </c>
      <c r="F3">
        <f>SUMIFS('逐笔辅助'!$O$2:$O$191,'逐笔辅助'!$A$2:$A$191,"流水",'逐笔辅助'!$D$2:$D$191,A3,'逐笔辅助'!$E$2:$E$191,B3)</f>
        <v/>
      </c>
      <c r="G3">
        <f>D3+E3-F3</f>
        <v/>
      </c>
      <c r="H3">
        <f>IF((D3+E3)&gt;0,IF(A3="深港",(SUMIFS('期初批次'!$M$2:$M$41,'期初批次'!$B$2:$B$41,B3,'期初批次'!$I$2:$I$41,A3)+SUMIFS('逐笔辅助'!$J$2:$J$191,'逐笔辅助'!$A$2:$A$191,"流水",'逐笔辅助'!$D$2:$D$191,A3,'逐笔辅助'!$G$2:$G$191,"买入",'逐笔辅助'!$E$2:$E$191,B3))/(D3+E3),(SUMIFS('期初批次'!$E$2:$E$41,'期初批次'!$B$2:$B$41,B3,'期初批次'!$I$2:$I$41,A3)+SUMIFS('逐笔辅助'!$N$2:$N$191,'逐笔辅助'!$A$2:$A$191,"流水",'逐笔辅助'!$D$2:$D$191,A3,'逐笔辅助'!$E$2:$E$191,B3))/(D3+E3)),"")</f>
        <v/>
      </c>
      <c r="I3">
        <f>IF((D3+E3)&gt;0,(SUMIFS('期初批次'!$E$2:$E$41,'期初批次'!$B$2:$B$41,B3,'期初批次'!$I$2:$I$41,A3)+SUMIFS('逐笔辅助'!$N$2:$N$191,'逐笔辅助'!$A$2:$A$191,"流水",'逐笔辅助'!$D$2:$D$191,A3,'逐笔辅助'!$E$2:$E$191,B3))/(D3+E3),"")</f>
        <v/>
      </c>
      <c r="J3">
        <f>IFERROR(INDEX('期初批次'!$J$2:$J$41,MATCH(TRUE,('期初批次'!$B$2:$B$41=B3)*('期初批次'!$I$2:$I$41=A3),0)),IF(A3="深港",TEXT(--B3,"0000")&amp;".HK",IF(--B3&gt;=600000,TEXT(--B3,"000000")&amp;".SH",TEXT(--B3,"000000")&amp;".SZ")))</f>
        <v/>
      </c>
      <c r="K3">
        <f>IF(J3="","",IFERROR(INDEX('估值日行情'!$C$3:$C$61,MATCH(J3,'估值日行情'!$A$3:$A$61,0)),""))</f>
        <v/>
      </c>
      <c r="L3">
        <f>IF(A3="深港",IFERROR('FX_RATES_TO_CNY_HIST'!$B$3,""),1)</f>
        <v/>
      </c>
      <c r="M3">
        <f>IF(K3&lt;&gt;"",K3*L3,"")</f>
        <v/>
      </c>
      <c r="N3">
        <f>IF(G3&gt;0,G3*H3,0)</f>
        <v/>
      </c>
      <c r="O3">
        <f>IF(G3&gt;0,G3*I3,0)</f>
        <v/>
      </c>
      <c r="P3">
        <f>IF(G3&gt;0,G3*K3,0)</f>
        <v/>
      </c>
      <c r="Q3">
        <f>IF(G3&gt;0,G3*M3,0)</f>
        <v/>
      </c>
      <c r="R3">
        <f>IF(G3&gt;0,P3-N3,0)</f>
        <v/>
      </c>
      <c r="S3">
        <f>IF(G3&gt;0,Q3-T3,0)</f>
        <v/>
      </c>
      <c r="T3">
        <f>SUMIFS('期初批次'!$E$2:$E$41,'期初批次'!$B$2:$B$41,B3,'期初批次'!$I$2:$I$41,A3)+SUMIFS('逐笔辅助'!$N$2:$N$191,'逐笔辅助'!$A$2:$A$191,"流水",'逐笔辅助'!$D$2:$D$191,A3,'逐笔辅助'!$E$2:$E$191,B3)-SUMIFS('逐笔辅助'!$P$2:$P$191,'逐笔辅助'!$A$2:$A$191,"流水",'逐笔辅助'!$D$2:$D$191,A3,'逐笔辅助'!$E$2:$E$191,B3)+SUMIFS('逐笔辅助'!$U$2:$U$191,'逐笔辅助'!$A$2:$A$191,"流水",'逐笔辅助'!$D$2:$D$191,A3,'逐笔辅助'!$E$2:$E$191,B3)</f>
        <v/>
      </c>
      <c r="U3">
        <f>E3-F3</f>
        <v/>
      </c>
      <c r="V3">
        <f>IF(E3&gt;0,SUMIFS('逐笔辅助'!$N$2:$N$191,'逐笔辅助'!$A$2:$A$191,"流水",'逐笔辅助'!$D$2:$D$191,A3,'逐笔辅助'!$E$2:$E$191,B3)/E3,"")</f>
        <v/>
      </c>
      <c r="W3">
        <f>IF(AND(U3&gt;0,M3&lt;&gt;""),U3*(M3-V3),0)</f>
        <v/>
      </c>
    </row>
    <row r="4">
      <c r="A4" t="inlineStr">
        <is>
          <t>场内</t>
        </is>
      </c>
      <c r="B4" t="inlineStr">
        <is>
          <t>2839</t>
        </is>
      </c>
      <c r="C4" t="inlineStr">
        <is>
          <t>张家港行</t>
        </is>
      </c>
      <c r="D4">
        <f>SUMIFS('期初批次'!$D$2:$D$41,'期初批次'!$B$2:$B$41,B4,'期初批次'!$I$2:$I$41,A4)</f>
        <v/>
      </c>
      <c r="E4">
        <f>SUMIFS('逐笔辅助'!$M$2:$M$191,'逐笔辅助'!$A$2:$A$191,"流水",'逐笔辅助'!$D$2:$D$191,A4,'逐笔辅助'!$E$2:$E$191,B4)</f>
        <v/>
      </c>
      <c r="F4">
        <f>SUMIFS('逐笔辅助'!$O$2:$O$191,'逐笔辅助'!$A$2:$A$191,"流水",'逐笔辅助'!$D$2:$D$191,A4,'逐笔辅助'!$E$2:$E$191,B4)</f>
        <v/>
      </c>
      <c r="G4">
        <f>D4+E4-F4</f>
        <v/>
      </c>
      <c r="H4">
        <f>IF((D4+E4)&gt;0,IF(A4="深港",(SUMIFS('期初批次'!$M$2:$M$41,'期初批次'!$B$2:$B$41,B4,'期初批次'!$I$2:$I$41,A4)+SUMIFS('逐笔辅助'!$J$2:$J$191,'逐笔辅助'!$A$2:$A$191,"流水",'逐笔辅助'!$D$2:$D$191,A4,'逐笔辅助'!$G$2:$G$191,"买入",'逐笔辅助'!$E$2:$E$191,B4))/(D4+E4),(SUMIFS('期初批次'!$E$2:$E$41,'期初批次'!$B$2:$B$41,B4,'期初批次'!$I$2:$I$41,A4)+SUMIFS('逐笔辅助'!$N$2:$N$191,'逐笔辅助'!$A$2:$A$191,"流水",'逐笔辅助'!$D$2:$D$191,A4,'逐笔辅助'!$E$2:$E$191,B4))/(D4+E4)),"")</f>
        <v/>
      </c>
      <c r="I4">
        <f>IF((D4+E4)&gt;0,(SUMIFS('期初批次'!$E$2:$E$41,'期初批次'!$B$2:$B$41,B4,'期初批次'!$I$2:$I$41,A4)+SUMIFS('逐笔辅助'!$N$2:$N$191,'逐笔辅助'!$A$2:$A$191,"流水",'逐笔辅助'!$D$2:$D$191,A4,'逐笔辅助'!$E$2:$E$191,B4))/(D4+E4),"")</f>
        <v/>
      </c>
      <c r="J4">
        <f>IFERROR(INDEX('期初批次'!$J$2:$J$41,MATCH(TRUE,('期初批次'!$B$2:$B$41=B4)*('期初批次'!$I$2:$I$41=A4),0)),IF(A4="深港",TEXT(--B4,"0000")&amp;".HK",IF(--B4&gt;=600000,TEXT(--B4,"000000")&amp;".SH",TEXT(--B4,"000000")&amp;".SZ")))</f>
        <v/>
      </c>
      <c r="K4">
        <f>IF(J4="","",IFERROR(INDEX('估值日行情'!$C$3:$C$61,MATCH(J4,'估值日行情'!$A$3:$A$61,0)),""))</f>
        <v/>
      </c>
      <c r="L4">
        <f>IF(A4="深港",IFERROR('FX_RATES_TO_CNY_HIST'!$B$3,""),1)</f>
        <v/>
      </c>
      <c r="M4">
        <f>IF(K4&lt;&gt;"",K4*L4,"")</f>
        <v/>
      </c>
      <c r="N4">
        <f>IF(G4&gt;0,G4*H4,0)</f>
        <v/>
      </c>
      <c r="O4">
        <f>IF(G4&gt;0,G4*I4,0)</f>
        <v/>
      </c>
      <c r="P4">
        <f>IF(G4&gt;0,G4*K4,0)</f>
        <v/>
      </c>
      <c r="Q4">
        <f>IF(G4&gt;0,G4*M4,0)</f>
        <v/>
      </c>
      <c r="R4">
        <f>IF(G4&gt;0,P4-N4,0)</f>
        <v/>
      </c>
      <c r="S4">
        <f>IF(G4&gt;0,Q4-T4,0)</f>
        <v/>
      </c>
      <c r="T4">
        <f>SUMIFS('期初批次'!$E$2:$E$41,'期初批次'!$B$2:$B$41,B4,'期初批次'!$I$2:$I$41,A4)+SUMIFS('逐笔辅助'!$N$2:$N$191,'逐笔辅助'!$A$2:$A$191,"流水",'逐笔辅助'!$D$2:$D$191,A4,'逐笔辅助'!$E$2:$E$191,B4)-SUMIFS('逐笔辅助'!$P$2:$P$191,'逐笔辅助'!$A$2:$A$191,"流水",'逐笔辅助'!$D$2:$D$191,A4,'逐笔辅助'!$E$2:$E$191,B4)+SUMIFS('逐笔辅助'!$U$2:$U$191,'逐笔辅助'!$A$2:$A$191,"流水",'逐笔辅助'!$D$2:$D$191,A4,'逐笔辅助'!$E$2:$E$191,B4)</f>
        <v/>
      </c>
      <c r="U4">
        <f>E4-F4</f>
        <v/>
      </c>
      <c r="V4">
        <f>IF(E4&gt;0,SUMIFS('逐笔辅助'!$N$2:$N$191,'逐笔辅助'!$A$2:$A$191,"流水",'逐笔辅助'!$D$2:$D$191,A4,'逐笔辅助'!$E$2:$E$191,B4)/E4,"")</f>
        <v/>
      </c>
      <c r="W4">
        <f>IF(AND(U4&gt;0,M4&lt;&gt;""),U4*(M4-V4),0)</f>
        <v/>
      </c>
    </row>
    <row r="5">
      <c r="A5" t="inlineStr">
        <is>
          <t>场内</t>
        </is>
      </c>
      <c r="B5" t="inlineStr">
        <is>
          <t>333</t>
        </is>
      </c>
      <c r="C5" t="inlineStr">
        <is>
          <t>美的集团</t>
        </is>
      </c>
      <c r="D5">
        <f>SUMIFS('期初批次'!$D$2:$D$41,'期初批次'!$B$2:$B$41,B5,'期初批次'!$I$2:$I$41,A5)</f>
        <v/>
      </c>
      <c r="E5">
        <f>SUMIFS('逐笔辅助'!$M$2:$M$191,'逐笔辅助'!$A$2:$A$191,"流水",'逐笔辅助'!$D$2:$D$191,A5,'逐笔辅助'!$E$2:$E$191,B5)</f>
        <v/>
      </c>
      <c r="F5">
        <f>SUMIFS('逐笔辅助'!$O$2:$O$191,'逐笔辅助'!$A$2:$A$191,"流水",'逐笔辅助'!$D$2:$D$191,A5,'逐笔辅助'!$E$2:$E$191,B5)</f>
        <v/>
      </c>
      <c r="G5">
        <f>D5+E5-F5</f>
        <v/>
      </c>
      <c r="H5">
        <f>IF((D5+E5)&gt;0,IF(A5="深港",(SUMIFS('期初批次'!$M$2:$M$41,'期初批次'!$B$2:$B$41,B5,'期初批次'!$I$2:$I$41,A5)+SUMIFS('逐笔辅助'!$J$2:$J$191,'逐笔辅助'!$A$2:$A$191,"流水",'逐笔辅助'!$D$2:$D$191,A5,'逐笔辅助'!$G$2:$G$191,"买入",'逐笔辅助'!$E$2:$E$191,B5))/(D5+E5),(SUMIFS('期初批次'!$E$2:$E$41,'期初批次'!$B$2:$B$41,B5,'期初批次'!$I$2:$I$41,A5)+SUMIFS('逐笔辅助'!$N$2:$N$191,'逐笔辅助'!$A$2:$A$191,"流水",'逐笔辅助'!$D$2:$D$191,A5,'逐笔辅助'!$E$2:$E$191,B5))/(D5+E5)),"")</f>
        <v/>
      </c>
      <c r="I5">
        <f>IF((D5+E5)&gt;0,(SUMIFS('期初批次'!$E$2:$E$41,'期初批次'!$B$2:$B$41,B5,'期初批次'!$I$2:$I$41,A5)+SUMIFS('逐笔辅助'!$N$2:$N$191,'逐笔辅助'!$A$2:$A$191,"流水",'逐笔辅助'!$D$2:$D$191,A5,'逐笔辅助'!$E$2:$E$191,B5))/(D5+E5),"")</f>
        <v/>
      </c>
      <c r="J5">
        <f>IFERROR(INDEX('期初批次'!$J$2:$J$41,MATCH(TRUE,('期初批次'!$B$2:$B$41=B5)*('期初批次'!$I$2:$I$41=A5),0)),IF(A5="深港",TEXT(--B5,"0000")&amp;".HK",IF(--B5&gt;=600000,TEXT(--B5,"000000")&amp;".SH",TEXT(--B5,"000000")&amp;".SZ")))</f>
        <v/>
      </c>
      <c r="K5">
        <f>IF(J5="","",IFERROR(INDEX('估值日行情'!$C$3:$C$61,MATCH(J5,'估值日行情'!$A$3:$A$61,0)),""))</f>
        <v/>
      </c>
      <c r="L5">
        <f>IF(A5="深港",IFERROR('FX_RATES_TO_CNY_HIST'!$B$3,""),1)</f>
        <v/>
      </c>
      <c r="M5">
        <f>IF(K5&lt;&gt;"",K5*L5,"")</f>
        <v/>
      </c>
      <c r="N5">
        <f>IF(G5&gt;0,G5*H5,0)</f>
        <v/>
      </c>
      <c r="O5">
        <f>IF(G5&gt;0,G5*I5,0)</f>
        <v/>
      </c>
      <c r="P5">
        <f>IF(G5&gt;0,G5*K5,0)</f>
        <v/>
      </c>
      <c r="Q5">
        <f>IF(G5&gt;0,G5*M5,0)</f>
        <v/>
      </c>
      <c r="R5">
        <f>IF(G5&gt;0,P5-N5,0)</f>
        <v/>
      </c>
      <c r="S5">
        <f>IF(G5&gt;0,Q5-T5,0)</f>
        <v/>
      </c>
      <c r="T5">
        <f>SUMIFS('期初批次'!$E$2:$E$41,'期初批次'!$B$2:$B$41,B5,'期初批次'!$I$2:$I$41,A5)+SUMIFS('逐笔辅助'!$N$2:$N$191,'逐笔辅助'!$A$2:$A$191,"流水",'逐笔辅助'!$D$2:$D$191,A5,'逐笔辅助'!$E$2:$E$191,B5)-SUMIFS('逐笔辅助'!$P$2:$P$191,'逐笔辅助'!$A$2:$A$191,"流水",'逐笔辅助'!$D$2:$D$191,A5,'逐笔辅助'!$E$2:$E$191,B5)+SUMIFS('逐笔辅助'!$U$2:$U$191,'逐笔辅助'!$A$2:$A$191,"流水",'逐笔辅助'!$D$2:$D$191,A5,'逐笔辅助'!$E$2:$E$191,B5)</f>
        <v/>
      </c>
      <c r="U5">
        <f>E5-F5</f>
        <v/>
      </c>
      <c r="V5">
        <f>IF(E5&gt;0,SUMIFS('逐笔辅助'!$N$2:$N$191,'逐笔辅助'!$A$2:$A$191,"流水",'逐笔辅助'!$D$2:$D$191,A5,'逐笔辅助'!$E$2:$E$191,B5)/E5,"")</f>
        <v/>
      </c>
      <c r="W5">
        <f>IF(AND(U5&gt;0,M5&lt;&gt;""),U5*(M5-V5),0)</f>
        <v/>
      </c>
    </row>
    <row r="6">
      <c r="A6" t="inlineStr">
        <is>
          <t>场内</t>
        </is>
      </c>
      <c r="B6" t="inlineStr">
        <is>
          <t>568</t>
        </is>
      </c>
      <c r="C6" t="inlineStr">
        <is>
          <t>泸州老窖</t>
        </is>
      </c>
      <c r="D6">
        <f>SUMIFS('期初批次'!$D$2:$D$41,'期初批次'!$B$2:$B$41,B6,'期初批次'!$I$2:$I$41,A6)</f>
        <v/>
      </c>
      <c r="E6">
        <f>SUMIFS('逐笔辅助'!$M$2:$M$191,'逐笔辅助'!$A$2:$A$191,"流水",'逐笔辅助'!$D$2:$D$191,A6,'逐笔辅助'!$E$2:$E$191,B6)</f>
        <v/>
      </c>
      <c r="F6">
        <f>SUMIFS('逐笔辅助'!$O$2:$O$191,'逐笔辅助'!$A$2:$A$191,"流水",'逐笔辅助'!$D$2:$D$191,A6,'逐笔辅助'!$E$2:$E$191,B6)</f>
        <v/>
      </c>
      <c r="G6">
        <f>D6+E6-F6</f>
        <v/>
      </c>
      <c r="H6">
        <f>IF((D6+E6)&gt;0,IF(A6="深港",(SUMIFS('期初批次'!$M$2:$M$41,'期初批次'!$B$2:$B$41,B6,'期初批次'!$I$2:$I$41,A6)+SUMIFS('逐笔辅助'!$J$2:$J$191,'逐笔辅助'!$A$2:$A$191,"流水",'逐笔辅助'!$D$2:$D$191,A6,'逐笔辅助'!$G$2:$G$191,"买入",'逐笔辅助'!$E$2:$E$191,B6))/(D6+E6),(SUMIFS('期初批次'!$E$2:$E$41,'期初批次'!$B$2:$B$41,B6,'期初批次'!$I$2:$I$41,A6)+SUMIFS('逐笔辅助'!$N$2:$N$191,'逐笔辅助'!$A$2:$A$191,"流水",'逐笔辅助'!$D$2:$D$191,A6,'逐笔辅助'!$E$2:$E$191,B6))/(D6+E6)),"")</f>
        <v/>
      </c>
      <c r="I6">
        <f>IF((D6+E6)&gt;0,(SUMIFS('期初批次'!$E$2:$E$41,'期初批次'!$B$2:$B$41,B6,'期初批次'!$I$2:$I$41,A6)+SUMIFS('逐笔辅助'!$N$2:$N$191,'逐笔辅助'!$A$2:$A$191,"流水",'逐笔辅助'!$D$2:$D$191,A6,'逐笔辅助'!$E$2:$E$191,B6))/(D6+E6),"")</f>
        <v/>
      </c>
      <c r="J6">
        <f>IFERROR(INDEX('期初批次'!$J$2:$J$41,MATCH(TRUE,('期初批次'!$B$2:$B$41=B6)*('期初批次'!$I$2:$I$41=A6),0)),IF(A6="深港",TEXT(--B6,"0000")&amp;".HK",IF(--B6&gt;=600000,TEXT(--B6,"000000")&amp;".SH",TEXT(--B6,"000000")&amp;".SZ")))</f>
        <v/>
      </c>
      <c r="K6">
        <f>IF(J6="","",IFERROR(INDEX('估值日行情'!$C$3:$C$61,MATCH(J6,'估值日行情'!$A$3:$A$61,0)),""))</f>
        <v/>
      </c>
      <c r="L6">
        <f>IF(A6="深港",IFERROR('FX_RATES_TO_CNY_HIST'!$B$3,""),1)</f>
        <v/>
      </c>
      <c r="M6">
        <f>IF(K6&lt;&gt;"",K6*L6,"")</f>
        <v/>
      </c>
      <c r="N6">
        <f>IF(G6&gt;0,G6*H6,0)</f>
        <v/>
      </c>
      <c r="O6">
        <f>IF(G6&gt;0,G6*I6,0)</f>
        <v/>
      </c>
      <c r="P6">
        <f>IF(G6&gt;0,G6*K6,0)</f>
        <v/>
      </c>
      <c r="Q6">
        <f>IF(G6&gt;0,G6*M6,0)</f>
        <v/>
      </c>
      <c r="R6">
        <f>IF(G6&gt;0,P6-N6,0)</f>
        <v/>
      </c>
      <c r="S6">
        <f>IF(G6&gt;0,Q6-T6,0)</f>
        <v/>
      </c>
      <c r="T6">
        <f>SUMIFS('期初批次'!$E$2:$E$41,'期初批次'!$B$2:$B$41,B6,'期初批次'!$I$2:$I$41,A6)+SUMIFS('逐笔辅助'!$N$2:$N$191,'逐笔辅助'!$A$2:$A$191,"流水",'逐笔辅助'!$D$2:$D$191,A6,'逐笔辅助'!$E$2:$E$191,B6)-SUMIFS('逐笔辅助'!$P$2:$P$191,'逐笔辅助'!$A$2:$A$191,"流水",'逐笔辅助'!$D$2:$D$191,A6,'逐笔辅助'!$E$2:$E$191,B6)+SUMIFS('逐笔辅助'!$U$2:$U$191,'逐笔辅助'!$A$2:$A$191,"流水",'逐笔辅助'!$D$2:$D$191,A6,'逐笔辅助'!$E$2:$E$191,B6)</f>
        <v/>
      </c>
      <c r="U6">
        <f>E6-F6</f>
        <v/>
      </c>
      <c r="V6">
        <f>IF(E6&gt;0,SUMIFS('逐笔辅助'!$N$2:$N$191,'逐笔辅助'!$A$2:$A$191,"流水",'逐笔辅助'!$D$2:$D$191,A6,'逐笔辅助'!$E$2:$E$191,B6)/E6,"")</f>
        <v/>
      </c>
      <c r="W6">
        <f>IF(AND(U6&gt;0,M6&lt;&gt;""),U6*(M6-V6),0)</f>
        <v/>
      </c>
    </row>
    <row r="7">
      <c r="A7" t="inlineStr">
        <is>
          <t>场内</t>
        </is>
      </c>
      <c r="B7" t="inlineStr">
        <is>
          <t>600036</t>
        </is>
      </c>
      <c r="C7" t="inlineStr">
        <is>
          <t>招商银行</t>
        </is>
      </c>
      <c r="D7">
        <f>SUMIFS('期初批次'!$D$2:$D$41,'期初批次'!$B$2:$B$41,B7,'期初批次'!$I$2:$I$41,A7)</f>
        <v/>
      </c>
      <c r="E7">
        <f>SUMIFS('逐笔辅助'!$M$2:$M$191,'逐笔辅助'!$A$2:$A$191,"流水",'逐笔辅助'!$D$2:$D$191,A7,'逐笔辅助'!$E$2:$E$191,B7)</f>
        <v/>
      </c>
      <c r="F7">
        <f>SUMIFS('逐笔辅助'!$O$2:$O$191,'逐笔辅助'!$A$2:$A$191,"流水",'逐笔辅助'!$D$2:$D$191,A7,'逐笔辅助'!$E$2:$E$191,B7)</f>
        <v/>
      </c>
      <c r="G7">
        <f>D7+E7-F7</f>
        <v/>
      </c>
      <c r="H7">
        <f>IF((D7+E7)&gt;0,IF(A7="深港",(SUMIFS('期初批次'!$M$2:$M$41,'期初批次'!$B$2:$B$41,B7,'期初批次'!$I$2:$I$41,A7)+SUMIFS('逐笔辅助'!$J$2:$J$191,'逐笔辅助'!$A$2:$A$191,"流水",'逐笔辅助'!$D$2:$D$191,A7,'逐笔辅助'!$G$2:$G$191,"买入",'逐笔辅助'!$E$2:$E$191,B7))/(D7+E7),(SUMIFS('期初批次'!$E$2:$E$41,'期初批次'!$B$2:$B$41,B7,'期初批次'!$I$2:$I$41,A7)+SUMIFS('逐笔辅助'!$N$2:$N$191,'逐笔辅助'!$A$2:$A$191,"流水",'逐笔辅助'!$D$2:$D$191,A7,'逐笔辅助'!$E$2:$E$191,B7))/(D7+E7)),"")</f>
        <v/>
      </c>
      <c r="I7">
        <f>IF((D7+E7)&gt;0,(SUMIFS('期初批次'!$E$2:$E$41,'期初批次'!$B$2:$B$41,B7,'期初批次'!$I$2:$I$41,A7)+SUMIFS('逐笔辅助'!$N$2:$N$191,'逐笔辅助'!$A$2:$A$191,"流水",'逐笔辅助'!$D$2:$D$191,A7,'逐笔辅助'!$E$2:$E$191,B7))/(D7+E7),"")</f>
        <v/>
      </c>
      <c r="J7">
        <f>IFERROR(INDEX('期初批次'!$J$2:$J$41,MATCH(TRUE,('期初批次'!$B$2:$B$41=B7)*('期初批次'!$I$2:$I$41=A7),0)),IF(A7="深港",TEXT(--B7,"0000")&amp;".HK",IF(--B7&gt;=600000,TEXT(--B7,"000000")&amp;".SH",TEXT(--B7,"000000")&amp;".SZ")))</f>
        <v/>
      </c>
      <c r="K7">
        <f>IF(J7="","",IFERROR(INDEX('估值日行情'!$C$3:$C$61,MATCH(J7,'估值日行情'!$A$3:$A$61,0)),""))</f>
        <v/>
      </c>
      <c r="L7">
        <f>IF(A7="深港",IFERROR('FX_RATES_TO_CNY_HIST'!$B$3,""),1)</f>
        <v/>
      </c>
      <c r="M7">
        <f>IF(K7&lt;&gt;"",K7*L7,"")</f>
        <v/>
      </c>
      <c r="N7">
        <f>IF(G7&gt;0,G7*H7,0)</f>
        <v/>
      </c>
      <c r="O7">
        <f>IF(G7&gt;0,G7*I7,0)</f>
        <v/>
      </c>
      <c r="P7">
        <f>IF(G7&gt;0,G7*K7,0)</f>
        <v/>
      </c>
      <c r="Q7">
        <f>IF(G7&gt;0,G7*M7,0)</f>
        <v/>
      </c>
      <c r="R7">
        <f>IF(G7&gt;0,P7-N7,0)</f>
        <v/>
      </c>
      <c r="S7">
        <f>IF(G7&gt;0,Q7-T7,0)</f>
        <v/>
      </c>
      <c r="T7">
        <f>SUMIFS('期初批次'!$E$2:$E$41,'期初批次'!$B$2:$B$41,B7,'期初批次'!$I$2:$I$41,A7)+SUMIFS('逐笔辅助'!$N$2:$N$191,'逐笔辅助'!$A$2:$A$191,"流水",'逐笔辅助'!$D$2:$D$191,A7,'逐笔辅助'!$E$2:$E$191,B7)-SUMIFS('逐笔辅助'!$P$2:$P$191,'逐笔辅助'!$A$2:$A$191,"流水",'逐笔辅助'!$D$2:$D$191,A7,'逐笔辅助'!$E$2:$E$191,B7)+SUMIFS('逐笔辅助'!$U$2:$U$191,'逐笔辅助'!$A$2:$A$191,"流水",'逐笔辅助'!$D$2:$D$191,A7,'逐笔辅助'!$E$2:$E$191,B7)</f>
        <v/>
      </c>
      <c r="U7">
        <f>E7-F7</f>
        <v/>
      </c>
      <c r="V7">
        <f>IF(E7&gt;0,SUMIFS('逐笔辅助'!$N$2:$N$191,'逐笔辅助'!$A$2:$A$191,"流水",'逐笔辅助'!$D$2:$D$191,A7,'逐笔辅助'!$E$2:$E$191,B7)/E7,"")</f>
        <v/>
      </c>
      <c r="W7">
        <f>IF(AND(U7&gt;0,M7&lt;&gt;""),U7*(M7-V7),0)</f>
        <v/>
      </c>
    </row>
    <row r="8">
      <c r="A8" t="inlineStr">
        <is>
          <t>场内</t>
        </is>
      </c>
      <c r="B8" t="inlineStr">
        <is>
          <t>600519</t>
        </is>
      </c>
      <c r="C8" t="inlineStr">
        <is>
          <t>贵州茅台</t>
        </is>
      </c>
      <c r="D8">
        <f>SUMIFS('期初批次'!$D$2:$D$41,'期初批次'!$B$2:$B$41,B8,'期初批次'!$I$2:$I$41,A8)</f>
        <v/>
      </c>
      <c r="E8">
        <f>SUMIFS('逐笔辅助'!$M$2:$M$191,'逐笔辅助'!$A$2:$A$191,"流水",'逐笔辅助'!$D$2:$D$191,A8,'逐笔辅助'!$E$2:$E$191,B8)</f>
        <v/>
      </c>
      <c r="F8">
        <f>SUMIFS('逐笔辅助'!$O$2:$O$191,'逐笔辅助'!$A$2:$A$191,"流水",'逐笔辅助'!$D$2:$D$191,A8,'逐笔辅助'!$E$2:$E$191,B8)</f>
        <v/>
      </c>
      <c r="G8">
        <f>D8+E8-F8</f>
        <v/>
      </c>
      <c r="H8">
        <f>IF((D8+E8)&gt;0,IF(A8="深港",(SUMIFS('期初批次'!$M$2:$M$41,'期初批次'!$B$2:$B$41,B8,'期初批次'!$I$2:$I$41,A8)+SUMIFS('逐笔辅助'!$J$2:$J$191,'逐笔辅助'!$A$2:$A$191,"流水",'逐笔辅助'!$D$2:$D$191,A8,'逐笔辅助'!$G$2:$G$191,"买入",'逐笔辅助'!$E$2:$E$191,B8))/(D8+E8),(SUMIFS('期初批次'!$E$2:$E$41,'期初批次'!$B$2:$B$41,B8,'期初批次'!$I$2:$I$41,A8)+SUMIFS('逐笔辅助'!$N$2:$N$191,'逐笔辅助'!$A$2:$A$191,"流水",'逐笔辅助'!$D$2:$D$191,A8,'逐笔辅助'!$E$2:$E$191,B8))/(D8+E8)),"")</f>
        <v/>
      </c>
      <c r="I8">
        <f>IF((D8+E8)&gt;0,(SUMIFS('期初批次'!$E$2:$E$41,'期初批次'!$B$2:$B$41,B8,'期初批次'!$I$2:$I$41,A8)+SUMIFS('逐笔辅助'!$N$2:$N$191,'逐笔辅助'!$A$2:$A$191,"流水",'逐笔辅助'!$D$2:$D$191,A8,'逐笔辅助'!$E$2:$E$191,B8))/(D8+E8),"")</f>
        <v/>
      </c>
      <c r="J8">
        <f>IFERROR(INDEX('期初批次'!$J$2:$J$41,MATCH(TRUE,('期初批次'!$B$2:$B$41=B8)*('期初批次'!$I$2:$I$41=A8),0)),IF(A8="深港",TEXT(--B8,"0000")&amp;".HK",IF(--B8&gt;=600000,TEXT(--B8,"000000")&amp;".SH",TEXT(--B8,"000000")&amp;".SZ")))</f>
        <v/>
      </c>
      <c r="K8">
        <f>IF(J8="","",IFERROR(INDEX('估值日行情'!$C$3:$C$61,MATCH(J8,'估值日行情'!$A$3:$A$61,0)),""))</f>
        <v/>
      </c>
      <c r="L8">
        <f>IF(A8="深港",IFERROR('FX_RATES_TO_CNY_HIST'!$B$3,""),1)</f>
        <v/>
      </c>
      <c r="M8">
        <f>IF(K8&lt;&gt;"",K8*L8,"")</f>
        <v/>
      </c>
      <c r="N8">
        <f>IF(G8&gt;0,G8*H8,0)</f>
        <v/>
      </c>
      <c r="O8">
        <f>IF(G8&gt;0,G8*I8,0)</f>
        <v/>
      </c>
      <c r="P8">
        <f>IF(G8&gt;0,G8*K8,0)</f>
        <v/>
      </c>
      <c r="Q8">
        <f>IF(G8&gt;0,G8*M8,0)</f>
        <v/>
      </c>
      <c r="R8">
        <f>IF(G8&gt;0,P8-N8,0)</f>
        <v/>
      </c>
      <c r="S8">
        <f>IF(G8&gt;0,Q8-T8,0)</f>
        <v/>
      </c>
      <c r="T8">
        <f>SUMIFS('期初批次'!$E$2:$E$41,'期初批次'!$B$2:$B$41,B8,'期初批次'!$I$2:$I$41,A8)+SUMIFS('逐笔辅助'!$N$2:$N$191,'逐笔辅助'!$A$2:$A$191,"流水",'逐笔辅助'!$D$2:$D$191,A8,'逐笔辅助'!$E$2:$E$191,B8)-SUMIFS('逐笔辅助'!$P$2:$P$191,'逐笔辅助'!$A$2:$A$191,"流水",'逐笔辅助'!$D$2:$D$191,A8,'逐笔辅助'!$E$2:$E$191,B8)+SUMIFS('逐笔辅助'!$U$2:$U$191,'逐笔辅助'!$A$2:$A$191,"流水",'逐笔辅助'!$D$2:$D$191,A8,'逐笔辅助'!$E$2:$E$191,B8)</f>
        <v/>
      </c>
      <c r="U8">
        <f>E8-F8</f>
        <v/>
      </c>
      <c r="V8">
        <f>IF(E8&gt;0,SUMIFS('逐笔辅助'!$N$2:$N$191,'逐笔辅助'!$A$2:$A$191,"流水",'逐笔辅助'!$D$2:$D$191,A8,'逐笔辅助'!$E$2:$E$191,B8)/E8,"")</f>
        <v/>
      </c>
      <c r="W8">
        <f>IF(AND(U8&gt;0,M8&lt;&gt;""),U8*(M8-V8),0)</f>
        <v/>
      </c>
    </row>
    <row r="9">
      <c r="A9" t="inlineStr">
        <is>
          <t>场内</t>
        </is>
      </c>
      <c r="B9" t="inlineStr">
        <is>
          <t>600690</t>
        </is>
      </c>
      <c r="C9" t="inlineStr">
        <is>
          <t>海尔智家</t>
        </is>
      </c>
      <c r="D9">
        <f>SUMIFS('期初批次'!$D$2:$D$41,'期初批次'!$B$2:$B$41,B9,'期初批次'!$I$2:$I$41,A9)</f>
        <v/>
      </c>
      <c r="E9">
        <f>SUMIFS('逐笔辅助'!$M$2:$M$191,'逐笔辅助'!$A$2:$A$191,"流水",'逐笔辅助'!$D$2:$D$191,A9,'逐笔辅助'!$E$2:$E$191,B9)</f>
        <v/>
      </c>
      <c r="F9">
        <f>SUMIFS('逐笔辅助'!$O$2:$O$191,'逐笔辅助'!$A$2:$A$191,"流水",'逐笔辅助'!$D$2:$D$191,A9,'逐笔辅助'!$E$2:$E$191,B9)</f>
        <v/>
      </c>
      <c r="G9">
        <f>D9+E9-F9</f>
        <v/>
      </c>
      <c r="H9">
        <f>IF((D9+E9)&gt;0,IF(A9="深港",(SUMIFS('期初批次'!$M$2:$M$41,'期初批次'!$B$2:$B$41,B9,'期初批次'!$I$2:$I$41,A9)+SUMIFS('逐笔辅助'!$J$2:$J$191,'逐笔辅助'!$A$2:$A$191,"流水",'逐笔辅助'!$D$2:$D$191,A9,'逐笔辅助'!$G$2:$G$191,"买入",'逐笔辅助'!$E$2:$E$191,B9))/(D9+E9),(SUMIFS('期初批次'!$E$2:$E$41,'期初批次'!$B$2:$B$41,B9,'期初批次'!$I$2:$I$41,A9)+SUMIFS('逐笔辅助'!$N$2:$N$191,'逐笔辅助'!$A$2:$A$191,"流水",'逐笔辅助'!$D$2:$D$191,A9,'逐笔辅助'!$E$2:$E$191,B9))/(D9+E9)),"")</f>
        <v/>
      </c>
      <c r="I9">
        <f>IF((D9+E9)&gt;0,(SUMIFS('期初批次'!$E$2:$E$41,'期初批次'!$B$2:$B$41,B9,'期初批次'!$I$2:$I$41,A9)+SUMIFS('逐笔辅助'!$N$2:$N$191,'逐笔辅助'!$A$2:$A$191,"流水",'逐笔辅助'!$D$2:$D$191,A9,'逐笔辅助'!$E$2:$E$191,B9))/(D9+E9),"")</f>
        <v/>
      </c>
      <c r="J9">
        <f>IFERROR(INDEX('期初批次'!$J$2:$J$41,MATCH(TRUE,('期初批次'!$B$2:$B$41=B9)*('期初批次'!$I$2:$I$41=A9),0)),IF(A9="深港",TEXT(--B9,"0000")&amp;".HK",IF(--B9&gt;=600000,TEXT(--B9,"000000")&amp;".SH",TEXT(--B9,"000000")&amp;".SZ")))</f>
        <v/>
      </c>
      <c r="K9">
        <f>IF(J9="","",IFERROR(INDEX('估值日行情'!$C$3:$C$61,MATCH(J9,'估值日行情'!$A$3:$A$61,0)),""))</f>
        <v/>
      </c>
      <c r="L9">
        <f>IF(A9="深港",IFERROR('FX_RATES_TO_CNY_HIST'!$B$3,""),1)</f>
        <v/>
      </c>
      <c r="M9">
        <f>IF(K9&lt;&gt;"",K9*L9,"")</f>
        <v/>
      </c>
      <c r="N9">
        <f>IF(G9&gt;0,G9*H9,0)</f>
        <v/>
      </c>
      <c r="O9">
        <f>IF(G9&gt;0,G9*I9,0)</f>
        <v/>
      </c>
      <c r="P9">
        <f>IF(G9&gt;0,G9*K9,0)</f>
        <v/>
      </c>
      <c r="Q9">
        <f>IF(G9&gt;0,G9*M9,0)</f>
        <v/>
      </c>
      <c r="R9">
        <f>IF(G9&gt;0,P9-N9,0)</f>
        <v/>
      </c>
      <c r="S9">
        <f>IF(G9&gt;0,Q9-T9,0)</f>
        <v/>
      </c>
      <c r="T9">
        <f>SUMIFS('期初批次'!$E$2:$E$41,'期初批次'!$B$2:$B$41,B9,'期初批次'!$I$2:$I$41,A9)+SUMIFS('逐笔辅助'!$N$2:$N$191,'逐笔辅助'!$A$2:$A$191,"流水",'逐笔辅助'!$D$2:$D$191,A9,'逐笔辅助'!$E$2:$E$191,B9)-SUMIFS('逐笔辅助'!$P$2:$P$191,'逐笔辅助'!$A$2:$A$191,"流水",'逐笔辅助'!$D$2:$D$191,A9,'逐笔辅助'!$E$2:$E$191,B9)+SUMIFS('逐笔辅助'!$U$2:$U$191,'逐笔辅助'!$A$2:$A$191,"流水",'逐笔辅助'!$D$2:$D$191,A9,'逐笔辅助'!$E$2:$E$191,B9)</f>
        <v/>
      </c>
      <c r="U9">
        <f>E9-F9</f>
        <v/>
      </c>
      <c r="V9">
        <f>IF(E9&gt;0,SUMIFS('逐笔辅助'!$N$2:$N$191,'逐笔辅助'!$A$2:$A$191,"流水",'逐笔辅助'!$D$2:$D$191,A9,'逐笔辅助'!$E$2:$E$191,B9)/E9,"")</f>
        <v/>
      </c>
      <c r="W9">
        <f>IF(AND(U9&gt;0,M9&lt;&gt;""),U9*(M9-V9),0)</f>
        <v/>
      </c>
    </row>
    <row r="10">
      <c r="A10" t="inlineStr">
        <is>
          <t>场内</t>
        </is>
      </c>
      <c r="B10" t="inlineStr">
        <is>
          <t>600809</t>
        </is>
      </c>
      <c r="C10" t="inlineStr">
        <is>
          <t>山西汾酒</t>
        </is>
      </c>
      <c r="D10">
        <f>SUMIFS('期初批次'!$D$2:$D$41,'期初批次'!$B$2:$B$41,B10,'期初批次'!$I$2:$I$41,A10)</f>
        <v/>
      </c>
      <c r="E10">
        <f>SUMIFS('逐笔辅助'!$M$2:$M$191,'逐笔辅助'!$A$2:$A$191,"流水",'逐笔辅助'!$D$2:$D$191,A10,'逐笔辅助'!$E$2:$E$191,B10)</f>
        <v/>
      </c>
      <c r="F10">
        <f>SUMIFS('逐笔辅助'!$O$2:$O$191,'逐笔辅助'!$A$2:$A$191,"流水",'逐笔辅助'!$D$2:$D$191,A10,'逐笔辅助'!$E$2:$E$191,B10)</f>
        <v/>
      </c>
      <c r="G10">
        <f>D10+E10-F10</f>
        <v/>
      </c>
      <c r="H10">
        <f>IF((D10+E10)&gt;0,IF(A10="深港",(SUMIFS('期初批次'!$M$2:$M$41,'期初批次'!$B$2:$B$41,B10,'期初批次'!$I$2:$I$41,A10)+SUMIFS('逐笔辅助'!$J$2:$J$191,'逐笔辅助'!$A$2:$A$191,"流水",'逐笔辅助'!$D$2:$D$191,A10,'逐笔辅助'!$G$2:$G$191,"买入",'逐笔辅助'!$E$2:$E$191,B10))/(D10+E10),(SUMIFS('期初批次'!$E$2:$E$41,'期初批次'!$B$2:$B$41,B10,'期初批次'!$I$2:$I$41,A10)+SUMIFS('逐笔辅助'!$N$2:$N$191,'逐笔辅助'!$A$2:$A$191,"流水",'逐笔辅助'!$D$2:$D$191,A10,'逐笔辅助'!$E$2:$E$191,B10))/(D10+E10)),"")</f>
        <v/>
      </c>
      <c r="I10">
        <f>IF((D10+E10)&gt;0,(SUMIFS('期初批次'!$E$2:$E$41,'期初批次'!$B$2:$B$41,B10,'期初批次'!$I$2:$I$41,A10)+SUMIFS('逐笔辅助'!$N$2:$N$191,'逐笔辅助'!$A$2:$A$191,"流水",'逐笔辅助'!$D$2:$D$191,A10,'逐笔辅助'!$E$2:$E$191,B10))/(D10+E10),"")</f>
        <v/>
      </c>
      <c r="J10">
        <f>IFERROR(INDEX('期初批次'!$J$2:$J$41,MATCH(TRUE,('期初批次'!$B$2:$B$41=B10)*('期初批次'!$I$2:$I$41=A10),0)),IF(A10="深港",TEXT(--B10,"0000")&amp;".HK",IF(--B10&gt;=600000,TEXT(--B10,"000000")&amp;".SH",TEXT(--B10,"000000")&amp;".SZ")))</f>
        <v/>
      </c>
      <c r="K10">
        <f>IF(J10="","",IFERROR(INDEX('估值日行情'!$C$3:$C$61,MATCH(J10,'估值日行情'!$A$3:$A$61,0)),""))</f>
        <v/>
      </c>
      <c r="L10">
        <f>IF(A10="深港",IFERROR('FX_RATES_TO_CNY_HIST'!$B$3,""),1)</f>
        <v/>
      </c>
      <c r="M10">
        <f>IF(K10&lt;&gt;"",K10*L10,"")</f>
        <v/>
      </c>
      <c r="N10">
        <f>IF(G10&gt;0,G10*H10,0)</f>
        <v/>
      </c>
      <c r="O10">
        <f>IF(G10&gt;0,G10*I10,0)</f>
        <v/>
      </c>
      <c r="P10">
        <f>IF(G10&gt;0,G10*K10,0)</f>
        <v/>
      </c>
      <c r="Q10">
        <f>IF(G10&gt;0,G10*M10,0)</f>
        <v/>
      </c>
      <c r="R10">
        <f>IF(G10&gt;0,P10-N10,0)</f>
        <v/>
      </c>
      <c r="S10">
        <f>IF(G10&gt;0,Q10-T10,0)</f>
        <v/>
      </c>
      <c r="T10">
        <f>SUMIFS('期初批次'!$E$2:$E$41,'期初批次'!$B$2:$B$41,B10,'期初批次'!$I$2:$I$41,A10)+SUMIFS('逐笔辅助'!$N$2:$N$191,'逐笔辅助'!$A$2:$A$191,"流水",'逐笔辅助'!$D$2:$D$191,A10,'逐笔辅助'!$E$2:$E$191,B10)-SUMIFS('逐笔辅助'!$P$2:$P$191,'逐笔辅助'!$A$2:$A$191,"流水",'逐笔辅助'!$D$2:$D$191,A10,'逐笔辅助'!$E$2:$E$191,B10)+SUMIFS('逐笔辅助'!$U$2:$U$191,'逐笔辅助'!$A$2:$A$191,"流水",'逐笔辅助'!$D$2:$D$191,A10,'逐笔辅助'!$E$2:$E$191,B10)</f>
        <v/>
      </c>
      <c r="U10">
        <f>E10-F10</f>
        <v/>
      </c>
      <c r="V10">
        <f>IF(E10&gt;0,SUMIFS('逐笔辅助'!$N$2:$N$191,'逐笔辅助'!$A$2:$A$191,"流水",'逐笔辅助'!$D$2:$D$191,A10,'逐笔辅助'!$E$2:$E$191,B10)/E10,"")</f>
        <v/>
      </c>
      <c r="W10">
        <f>IF(AND(U10&gt;0,M10&lt;&gt;""),U10*(M10-V10),0)</f>
        <v/>
      </c>
    </row>
    <row r="11">
      <c r="A11" t="inlineStr">
        <is>
          <t>场内</t>
        </is>
      </c>
      <c r="B11" t="inlineStr">
        <is>
          <t>600887</t>
        </is>
      </c>
      <c r="C11" t="inlineStr">
        <is>
          <t>伊利股份</t>
        </is>
      </c>
      <c r="D11">
        <f>SUMIFS('期初批次'!$D$2:$D$41,'期初批次'!$B$2:$B$41,B11,'期初批次'!$I$2:$I$41,A11)</f>
        <v/>
      </c>
      <c r="E11">
        <f>SUMIFS('逐笔辅助'!$M$2:$M$191,'逐笔辅助'!$A$2:$A$191,"流水",'逐笔辅助'!$D$2:$D$191,A11,'逐笔辅助'!$E$2:$E$191,B11)</f>
        <v/>
      </c>
      <c r="F11">
        <f>SUMIFS('逐笔辅助'!$O$2:$O$191,'逐笔辅助'!$A$2:$A$191,"流水",'逐笔辅助'!$D$2:$D$191,A11,'逐笔辅助'!$E$2:$E$191,B11)</f>
        <v/>
      </c>
      <c r="G11">
        <f>D11+E11-F11</f>
        <v/>
      </c>
      <c r="H11">
        <f>IF((D11+E11)&gt;0,IF(A11="深港",(SUMIFS('期初批次'!$M$2:$M$41,'期初批次'!$B$2:$B$41,B11,'期初批次'!$I$2:$I$41,A11)+SUMIFS('逐笔辅助'!$J$2:$J$191,'逐笔辅助'!$A$2:$A$191,"流水",'逐笔辅助'!$D$2:$D$191,A11,'逐笔辅助'!$G$2:$G$191,"买入",'逐笔辅助'!$E$2:$E$191,B11))/(D11+E11),(SUMIFS('期初批次'!$E$2:$E$41,'期初批次'!$B$2:$B$41,B11,'期初批次'!$I$2:$I$41,A11)+SUMIFS('逐笔辅助'!$N$2:$N$191,'逐笔辅助'!$A$2:$A$191,"流水",'逐笔辅助'!$D$2:$D$191,A11,'逐笔辅助'!$E$2:$E$191,B11))/(D11+E11)),"")</f>
        <v/>
      </c>
      <c r="I11">
        <f>IF((D11+E11)&gt;0,(SUMIFS('期初批次'!$E$2:$E$41,'期初批次'!$B$2:$B$41,B11,'期初批次'!$I$2:$I$41,A11)+SUMIFS('逐笔辅助'!$N$2:$N$191,'逐笔辅助'!$A$2:$A$191,"流水",'逐笔辅助'!$D$2:$D$191,A11,'逐笔辅助'!$E$2:$E$191,B11))/(D11+E11),"")</f>
        <v/>
      </c>
      <c r="J11">
        <f>IFERROR(INDEX('期初批次'!$J$2:$J$41,MATCH(TRUE,('期初批次'!$B$2:$B$41=B11)*('期初批次'!$I$2:$I$41=A11),0)),IF(A11="深港",TEXT(--B11,"0000")&amp;".HK",IF(--B11&gt;=600000,TEXT(--B11,"000000")&amp;".SH",TEXT(--B11,"000000")&amp;".SZ")))</f>
        <v/>
      </c>
      <c r="K11">
        <f>IF(J11="","",IFERROR(INDEX('估值日行情'!$C$3:$C$61,MATCH(J11,'估值日行情'!$A$3:$A$61,0)),""))</f>
        <v/>
      </c>
      <c r="L11">
        <f>IF(A11="深港",IFERROR('FX_RATES_TO_CNY_HIST'!$B$3,""),1)</f>
        <v/>
      </c>
      <c r="M11">
        <f>IF(K11&lt;&gt;"",K11*L11,"")</f>
        <v/>
      </c>
      <c r="N11">
        <f>IF(G11&gt;0,G11*H11,0)</f>
        <v/>
      </c>
      <c r="O11">
        <f>IF(G11&gt;0,G11*I11,0)</f>
        <v/>
      </c>
      <c r="P11">
        <f>IF(G11&gt;0,G11*K11,0)</f>
        <v/>
      </c>
      <c r="Q11">
        <f>IF(G11&gt;0,G11*M11,0)</f>
        <v/>
      </c>
      <c r="R11">
        <f>IF(G11&gt;0,P11-N11,0)</f>
        <v/>
      </c>
      <c r="S11">
        <f>IF(G11&gt;0,Q11-T11,0)</f>
        <v/>
      </c>
      <c r="T11">
        <f>SUMIFS('期初批次'!$E$2:$E$41,'期初批次'!$B$2:$B$41,B11,'期初批次'!$I$2:$I$41,A11)+SUMIFS('逐笔辅助'!$N$2:$N$191,'逐笔辅助'!$A$2:$A$191,"流水",'逐笔辅助'!$D$2:$D$191,A11,'逐笔辅助'!$E$2:$E$191,B11)-SUMIFS('逐笔辅助'!$P$2:$P$191,'逐笔辅助'!$A$2:$A$191,"流水",'逐笔辅助'!$D$2:$D$191,A11,'逐笔辅助'!$E$2:$E$191,B11)+SUMIFS('逐笔辅助'!$U$2:$U$191,'逐笔辅助'!$A$2:$A$191,"流水",'逐笔辅助'!$D$2:$D$191,A11,'逐笔辅助'!$E$2:$E$191,B11)</f>
        <v/>
      </c>
      <c r="U11">
        <f>E11-F11</f>
        <v/>
      </c>
      <c r="V11">
        <f>IF(E11&gt;0,SUMIFS('逐笔辅助'!$N$2:$N$191,'逐笔辅助'!$A$2:$A$191,"流水",'逐笔辅助'!$D$2:$D$191,A11,'逐笔辅助'!$E$2:$E$191,B11)/E11,"")</f>
        <v/>
      </c>
      <c r="W11">
        <f>IF(AND(U11&gt;0,M11&lt;&gt;""),U11*(M11-V11),0)</f>
        <v/>
      </c>
    </row>
    <row r="12">
      <c r="A12" t="inlineStr">
        <is>
          <t>场内</t>
        </is>
      </c>
      <c r="B12" t="inlineStr">
        <is>
          <t>600908</t>
        </is>
      </c>
      <c r="C12" t="inlineStr">
        <is>
          <t>无锡银行</t>
        </is>
      </c>
      <c r="D12">
        <f>SUMIFS('期初批次'!$D$2:$D$41,'期初批次'!$B$2:$B$41,B12,'期初批次'!$I$2:$I$41,A12)</f>
        <v/>
      </c>
      <c r="E12">
        <f>SUMIFS('逐笔辅助'!$M$2:$M$191,'逐笔辅助'!$A$2:$A$191,"流水",'逐笔辅助'!$D$2:$D$191,A12,'逐笔辅助'!$E$2:$E$191,B12)</f>
        <v/>
      </c>
      <c r="F12">
        <f>SUMIFS('逐笔辅助'!$O$2:$O$191,'逐笔辅助'!$A$2:$A$191,"流水",'逐笔辅助'!$D$2:$D$191,A12,'逐笔辅助'!$E$2:$E$191,B12)</f>
        <v/>
      </c>
      <c r="G12">
        <f>D12+E12-F12</f>
        <v/>
      </c>
      <c r="H12">
        <f>IF((D12+E12)&gt;0,IF(A12="深港",(SUMIFS('期初批次'!$M$2:$M$41,'期初批次'!$B$2:$B$41,B12,'期初批次'!$I$2:$I$41,A12)+SUMIFS('逐笔辅助'!$J$2:$J$191,'逐笔辅助'!$A$2:$A$191,"流水",'逐笔辅助'!$D$2:$D$191,A12,'逐笔辅助'!$G$2:$G$191,"买入",'逐笔辅助'!$E$2:$E$191,B12))/(D12+E12),(SUMIFS('期初批次'!$E$2:$E$41,'期初批次'!$B$2:$B$41,B12,'期初批次'!$I$2:$I$41,A12)+SUMIFS('逐笔辅助'!$N$2:$N$191,'逐笔辅助'!$A$2:$A$191,"流水",'逐笔辅助'!$D$2:$D$191,A12,'逐笔辅助'!$E$2:$E$191,B12))/(D12+E12)),"")</f>
        <v/>
      </c>
      <c r="I12">
        <f>IF((D12+E12)&gt;0,(SUMIFS('期初批次'!$E$2:$E$41,'期初批次'!$B$2:$B$41,B12,'期初批次'!$I$2:$I$41,A12)+SUMIFS('逐笔辅助'!$N$2:$N$191,'逐笔辅助'!$A$2:$A$191,"流水",'逐笔辅助'!$D$2:$D$191,A12,'逐笔辅助'!$E$2:$E$191,B12))/(D12+E12),"")</f>
        <v/>
      </c>
      <c r="J12">
        <f>IFERROR(INDEX('期初批次'!$J$2:$J$41,MATCH(TRUE,('期初批次'!$B$2:$B$41=B12)*('期初批次'!$I$2:$I$41=A12),0)),IF(A12="深港",TEXT(--B12,"0000")&amp;".HK",IF(--B12&gt;=600000,TEXT(--B12,"000000")&amp;".SH",TEXT(--B12,"000000")&amp;".SZ")))</f>
        <v/>
      </c>
      <c r="K12">
        <f>IF(J12="","",IFERROR(INDEX('估值日行情'!$C$3:$C$61,MATCH(J12,'估值日行情'!$A$3:$A$61,0)),""))</f>
        <v/>
      </c>
      <c r="L12">
        <f>IF(A12="深港",IFERROR('FX_RATES_TO_CNY_HIST'!$B$3,""),1)</f>
        <v/>
      </c>
      <c r="M12">
        <f>IF(K12&lt;&gt;"",K12*L12,"")</f>
        <v/>
      </c>
      <c r="N12">
        <f>IF(G12&gt;0,G12*H12,0)</f>
        <v/>
      </c>
      <c r="O12">
        <f>IF(G12&gt;0,G12*I12,0)</f>
        <v/>
      </c>
      <c r="P12">
        <f>IF(G12&gt;0,G12*K12,0)</f>
        <v/>
      </c>
      <c r="Q12">
        <f>IF(G12&gt;0,G12*M12,0)</f>
        <v/>
      </c>
      <c r="R12">
        <f>IF(G12&gt;0,P12-N12,0)</f>
        <v/>
      </c>
      <c r="S12">
        <f>IF(G12&gt;0,Q12-T12,0)</f>
        <v/>
      </c>
      <c r="T12">
        <f>SUMIFS('期初批次'!$E$2:$E$41,'期初批次'!$B$2:$B$41,B12,'期初批次'!$I$2:$I$41,A12)+SUMIFS('逐笔辅助'!$N$2:$N$191,'逐笔辅助'!$A$2:$A$191,"流水",'逐笔辅助'!$D$2:$D$191,A12,'逐笔辅助'!$E$2:$E$191,B12)-SUMIFS('逐笔辅助'!$P$2:$P$191,'逐笔辅助'!$A$2:$A$191,"流水",'逐笔辅助'!$D$2:$D$191,A12,'逐笔辅助'!$E$2:$E$191,B12)+SUMIFS('逐笔辅助'!$U$2:$U$191,'逐笔辅助'!$A$2:$A$191,"流水",'逐笔辅助'!$D$2:$D$191,A12,'逐笔辅助'!$E$2:$E$191,B12)</f>
        <v/>
      </c>
      <c r="U12">
        <f>E12-F12</f>
        <v/>
      </c>
      <c r="V12">
        <f>IF(E12&gt;0,SUMIFS('逐笔辅助'!$N$2:$N$191,'逐笔辅助'!$A$2:$A$191,"流水",'逐笔辅助'!$D$2:$D$191,A12,'逐笔辅助'!$E$2:$E$191,B12)/E12,"")</f>
        <v/>
      </c>
      <c r="W12">
        <f>IF(AND(U12&gt;0,M12&lt;&gt;""),U12*(M12-V12),0)</f>
        <v/>
      </c>
    </row>
    <row r="13">
      <c r="A13" t="inlineStr">
        <is>
          <t>场内</t>
        </is>
      </c>
      <c r="B13" t="inlineStr">
        <is>
          <t>600919</t>
        </is>
      </c>
      <c r="C13" t="inlineStr">
        <is>
          <t>江苏银行</t>
        </is>
      </c>
      <c r="D13">
        <f>SUMIFS('期初批次'!$D$2:$D$41,'期初批次'!$B$2:$B$41,B13,'期初批次'!$I$2:$I$41,A13)</f>
        <v/>
      </c>
      <c r="E13">
        <f>SUMIFS('逐笔辅助'!$M$2:$M$191,'逐笔辅助'!$A$2:$A$191,"流水",'逐笔辅助'!$D$2:$D$191,A13,'逐笔辅助'!$E$2:$E$191,B13)</f>
        <v/>
      </c>
      <c r="F13">
        <f>SUMIFS('逐笔辅助'!$O$2:$O$191,'逐笔辅助'!$A$2:$A$191,"流水",'逐笔辅助'!$D$2:$D$191,A13,'逐笔辅助'!$E$2:$E$191,B13)</f>
        <v/>
      </c>
      <c r="G13">
        <f>D13+E13-F13</f>
        <v/>
      </c>
      <c r="H13">
        <f>IF((D13+E13)&gt;0,IF(A13="深港",(SUMIFS('期初批次'!$M$2:$M$41,'期初批次'!$B$2:$B$41,B13,'期初批次'!$I$2:$I$41,A13)+SUMIFS('逐笔辅助'!$J$2:$J$191,'逐笔辅助'!$A$2:$A$191,"流水",'逐笔辅助'!$D$2:$D$191,A13,'逐笔辅助'!$G$2:$G$191,"买入",'逐笔辅助'!$E$2:$E$191,B13))/(D13+E13),(SUMIFS('期初批次'!$E$2:$E$41,'期初批次'!$B$2:$B$41,B13,'期初批次'!$I$2:$I$41,A13)+SUMIFS('逐笔辅助'!$N$2:$N$191,'逐笔辅助'!$A$2:$A$191,"流水",'逐笔辅助'!$D$2:$D$191,A13,'逐笔辅助'!$E$2:$E$191,B13))/(D13+E13)),"")</f>
        <v/>
      </c>
      <c r="I13">
        <f>IF((D13+E13)&gt;0,(SUMIFS('期初批次'!$E$2:$E$41,'期初批次'!$B$2:$B$41,B13,'期初批次'!$I$2:$I$41,A13)+SUMIFS('逐笔辅助'!$N$2:$N$191,'逐笔辅助'!$A$2:$A$191,"流水",'逐笔辅助'!$D$2:$D$191,A13,'逐笔辅助'!$E$2:$E$191,B13))/(D13+E13),"")</f>
        <v/>
      </c>
      <c r="J13">
        <f>IFERROR(INDEX('期初批次'!$J$2:$J$41,MATCH(TRUE,('期初批次'!$B$2:$B$41=B13)*('期初批次'!$I$2:$I$41=A13),0)),IF(A13="深港",TEXT(--B13,"0000")&amp;".HK",IF(--B13&gt;=600000,TEXT(--B13,"000000")&amp;".SH",TEXT(--B13,"000000")&amp;".SZ")))</f>
        <v/>
      </c>
      <c r="K13">
        <f>IF(J13="","",IFERROR(INDEX('估值日行情'!$C$3:$C$61,MATCH(J13,'估值日行情'!$A$3:$A$61,0)),""))</f>
        <v/>
      </c>
      <c r="L13">
        <f>IF(A13="深港",IFERROR('FX_RATES_TO_CNY_HIST'!$B$3,""),1)</f>
        <v/>
      </c>
      <c r="M13">
        <f>IF(K13&lt;&gt;"",K13*L13,"")</f>
        <v/>
      </c>
      <c r="N13">
        <f>IF(G13&gt;0,G13*H13,0)</f>
        <v/>
      </c>
      <c r="O13">
        <f>IF(G13&gt;0,G13*I13,0)</f>
        <v/>
      </c>
      <c r="P13">
        <f>IF(G13&gt;0,G13*K13,0)</f>
        <v/>
      </c>
      <c r="Q13">
        <f>IF(G13&gt;0,G13*M13,0)</f>
        <v/>
      </c>
      <c r="R13">
        <f>IF(G13&gt;0,P13-N13,0)</f>
        <v/>
      </c>
      <c r="S13">
        <f>IF(G13&gt;0,Q13-T13,0)</f>
        <v/>
      </c>
      <c r="T13">
        <f>SUMIFS('期初批次'!$E$2:$E$41,'期初批次'!$B$2:$B$41,B13,'期初批次'!$I$2:$I$41,A13)+SUMIFS('逐笔辅助'!$N$2:$N$191,'逐笔辅助'!$A$2:$A$191,"流水",'逐笔辅助'!$D$2:$D$191,A13,'逐笔辅助'!$E$2:$E$191,B13)-SUMIFS('逐笔辅助'!$P$2:$P$191,'逐笔辅助'!$A$2:$A$191,"流水",'逐笔辅助'!$D$2:$D$191,A13,'逐笔辅助'!$E$2:$E$191,B13)+SUMIFS('逐笔辅助'!$U$2:$U$191,'逐笔辅助'!$A$2:$A$191,"流水",'逐笔辅助'!$D$2:$D$191,A13,'逐笔辅助'!$E$2:$E$191,B13)</f>
        <v/>
      </c>
      <c r="U13">
        <f>E13-F13</f>
        <v/>
      </c>
      <c r="V13">
        <f>IF(E13&gt;0,SUMIFS('逐笔辅助'!$N$2:$N$191,'逐笔辅助'!$A$2:$A$191,"流水",'逐笔辅助'!$D$2:$D$191,A13,'逐笔辅助'!$E$2:$E$191,B13)/E13,"")</f>
        <v/>
      </c>
      <c r="W13">
        <f>IF(AND(U13&gt;0,M13&lt;&gt;""),U13*(M13-V13),0)</f>
        <v/>
      </c>
    </row>
    <row r="14">
      <c r="A14" t="inlineStr">
        <is>
          <t>场内</t>
        </is>
      </c>
      <c r="B14" t="inlineStr">
        <is>
          <t>601009</t>
        </is>
      </c>
      <c r="C14" t="inlineStr">
        <is>
          <t>南京银行</t>
        </is>
      </c>
      <c r="D14">
        <f>SUMIFS('期初批次'!$D$2:$D$41,'期初批次'!$B$2:$B$41,B14,'期初批次'!$I$2:$I$41,A14)</f>
        <v/>
      </c>
      <c r="E14">
        <f>SUMIFS('逐笔辅助'!$M$2:$M$191,'逐笔辅助'!$A$2:$A$191,"流水",'逐笔辅助'!$D$2:$D$191,A14,'逐笔辅助'!$E$2:$E$191,B14)</f>
        <v/>
      </c>
      <c r="F14">
        <f>SUMIFS('逐笔辅助'!$O$2:$O$191,'逐笔辅助'!$A$2:$A$191,"流水",'逐笔辅助'!$D$2:$D$191,A14,'逐笔辅助'!$E$2:$E$191,B14)</f>
        <v/>
      </c>
      <c r="G14">
        <f>D14+E14-F14</f>
        <v/>
      </c>
      <c r="H14">
        <f>IF((D14+E14)&gt;0,IF(A14="深港",(SUMIFS('期初批次'!$M$2:$M$41,'期初批次'!$B$2:$B$41,B14,'期初批次'!$I$2:$I$41,A14)+SUMIFS('逐笔辅助'!$J$2:$J$191,'逐笔辅助'!$A$2:$A$191,"流水",'逐笔辅助'!$D$2:$D$191,A14,'逐笔辅助'!$G$2:$G$191,"买入",'逐笔辅助'!$E$2:$E$191,B14))/(D14+E14),(SUMIFS('期初批次'!$E$2:$E$41,'期初批次'!$B$2:$B$41,B14,'期初批次'!$I$2:$I$41,A14)+SUMIFS('逐笔辅助'!$N$2:$N$191,'逐笔辅助'!$A$2:$A$191,"流水",'逐笔辅助'!$D$2:$D$191,A14,'逐笔辅助'!$E$2:$E$191,B14))/(D14+E14)),"")</f>
        <v/>
      </c>
      <c r="I14">
        <f>IF((D14+E14)&gt;0,(SUMIFS('期初批次'!$E$2:$E$41,'期初批次'!$B$2:$B$41,B14,'期初批次'!$I$2:$I$41,A14)+SUMIFS('逐笔辅助'!$N$2:$N$191,'逐笔辅助'!$A$2:$A$191,"流水",'逐笔辅助'!$D$2:$D$191,A14,'逐笔辅助'!$E$2:$E$191,B14))/(D14+E14),"")</f>
        <v/>
      </c>
      <c r="J14">
        <f>IFERROR(INDEX('期初批次'!$J$2:$J$41,MATCH(TRUE,('期初批次'!$B$2:$B$41=B14)*('期初批次'!$I$2:$I$41=A14),0)),IF(A14="深港",TEXT(--B14,"0000")&amp;".HK",IF(--B14&gt;=600000,TEXT(--B14,"000000")&amp;".SH",TEXT(--B14,"000000")&amp;".SZ")))</f>
        <v/>
      </c>
      <c r="K14">
        <f>IF(J14="","",IFERROR(INDEX('估值日行情'!$C$3:$C$61,MATCH(J14,'估值日行情'!$A$3:$A$61,0)),""))</f>
        <v/>
      </c>
      <c r="L14">
        <f>IF(A14="深港",IFERROR('FX_RATES_TO_CNY_HIST'!$B$3,""),1)</f>
        <v/>
      </c>
      <c r="M14">
        <f>IF(K14&lt;&gt;"",K14*L14,"")</f>
        <v/>
      </c>
      <c r="N14">
        <f>IF(G14&gt;0,G14*H14,0)</f>
        <v/>
      </c>
      <c r="O14">
        <f>IF(G14&gt;0,G14*I14,0)</f>
        <v/>
      </c>
      <c r="P14">
        <f>IF(G14&gt;0,G14*K14,0)</f>
        <v/>
      </c>
      <c r="Q14">
        <f>IF(G14&gt;0,G14*M14,0)</f>
        <v/>
      </c>
      <c r="R14">
        <f>IF(G14&gt;0,P14-N14,0)</f>
        <v/>
      </c>
      <c r="S14">
        <f>IF(G14&gt;0,Q14-T14,0)</f>
        <v/>
      </c>
      <c r="T14">
        <f>SUMIFS('期初批次'!$E$2:$E$41,'期初批次'!$B$2:$B$41,B14,'期初批次'!$I$2:$I$41,A14)+SUMIFS('逐笔辅助'!$N$2:$N$191,'逐笔辅助'!$A$2:$A$191,"流水",'逐笔辅助'!$D$2:$D$191,A14,'逐笔辅助'!$E$2:$E$191,B14)-SUMIFS('逐笔辅助'!$P$2:$P$191,'逐笔辅助'!$A$2:$A$191,"流水",'逐笔辅助'!$D$2:$D$191,A14,'逐笔辅助'!$E$2:$E$191,B14)+SUMIFS('逐笔辅助'!$U$2:$U$191,'逐笔辅助'!$A$2:$A$191,"流水",'逐笔辅助'!$D$2:$D$191,A14,'逐笔辅助'!$E$2:$E$191,B14)</f>
        <v/>
      </c>
      <c r="U14">
        <f>E14-F14</f>
        <v/>
      </c>
      <c r="V14">
        <f>IF(E14&gt;0,SUMIFS('逐笔辅助'!$N$2:$N$191,'逐笔辅助'!$A$2:$A$191,"流水",'逐笔辅助'!$D$2:$D$191,A14,'逐笔辅助'!$E$2:$E$191,B14)/E14,"")</f>
        <v/>
      </c>
      <c r="W14">
        <f>IF(AND(U14&gt;0,M14&lt;&gt;""),U14*(M14-V14),0)</f>
        <v/>
      </c>
    </row>
    <row r="15">
      <c r="A15" t="inlineStr">
        <is>
          <t>场内</t>
        </is>
      </c>
      <c r="B15" t="inlineStr">
        <is>
          <t>601098</t>
        </is>
      </c>
      <c r="C15" t="inlineStr">
        <is>
          <t>中南传媒</t>
        </is>
      </c>
      <c r="D15">
        <f>SUMIFS('期初批次'!$D$2:$D$41,'期初批次'!$B$2:$B$41,B15,'期初批次'!$I$2:$I$41,A15)</f>
        <v/>
      </c>
      <c r="E15">
        <f>SUMIFS('逐笔辅助'!$M$2:$M$191,'逐笔辅助'!$A$2:$A$191,"流水",'逐笔辅助'!$D$2:$D$191,A15,'逐笔辅助'!$E$2:$E$191,B15)</f>
        <v/>
      </c>
      <c r="F15">
        <f>SUMIFS('逐笔辅助'!$O$2:$O$191,'逐笔辅助'!$A$2:$A$191,"流水",'逐笔辅助'!$D$2:$D$191,A15,'逐笔辅助'!$E$2:$E$191,B15)</f>
        <v/>
      </c>
      <c r="G15">
        <f>D15+E15-F15</f>
        <v/>
      </c>
      <c r="H15">
        <f>IF((D15+E15)&gt;0,IF(A15="深港",(SUMIFS('期初批次'!$M$2:$M$41,'期初批次'!$B$2:$B$41,B15,'期初批次'!$I$2:$I$41,A15)+SUMIFS('逐笔辅助'!$J$2:$J$191,'逐笔辅助'!$A$2:$A$191,"流水",'逐笔辅助'!$D$2:$D$191,A15,'逐笔辅助'!$G$2:$G$191,"买入",'逐笔辅助'!$E$2:$E$191,B15))/(D15+E15),(SUMIFS('期初批次'!$E$2:$E$41,'期初批次'!$B$2:$B$41,B15,'期初批次'!$I$2:$I$41,A15)+SUMIFS('逐笔辅助'!$N$2:$N$191,'逐笔辅助'!$A$2:$A$191,"流水",'逐笔辅助'!$D$2:$D$191,A15,'逐笔辅助'!$E$2:$E$191,B15))/(D15+E15)),"")</f>
        <v/>
      </c>
      <c r="I15">
        <f>IF((D15+E15)&gt;0,(SUMIFS('期初批次'!$E$2:$E$41,'期初批次'!$B$2:$B$41,B15,'期初批次'!$I$2:$I$41,A15)+SUMIFS('逐笔辅助'!$N$2:$N$191,'逐笔辅助'!$A$2:$A$191,"流水",'逐笔辅助'!$D$2:$D$191,A15,'逐笔辅助'!$E$2:$E$191,B15))/(D15+E15),"")</f>
        <v/>
      </c>
      <c r="J15">
        <f>IFERROR(INDEX('期初批次'!$J$2:$J$41,MATCH(TRUE,('期初批次'!$B$2:$B$41=B15)*('期初批次'!$I$2:$I$41=A15),0)),IF(A15="深港",TEXT(--B15,"0000")&amp;".HK",IF(--B15&gt;=600000,TEXT(--B15,"000000")&amp;".SH",TEXT(--B15,"000000")&amp;".SZ")))</f>
        <v/>
      </c>
      <c r="K15">
        <f>IF(J15="","",IFERROR(INDEX('估值日行情'!$C$3:$C$61,MATCH(J15,'估值日行情'!$A$3:$A$61,0)),""))</f>
        <v/>
      </c>
      <c r="L15">
        <f>IF(A15="深港",IFERROR('FX_RATES_TO_CNY_HIST'!$B$3,""),1)</f>
        <v/>
      </c>
      <c r="M15">
        <f>IF(K15&lt;&gt;"",K15*L15,"")</f>
        <v/>
      </c>
      <c r="N15">
        <f>IF(G15&gt;0,G15*H15,0)</f>
        <v/>
      </c>
      <c r="O15">
        <f>IF(G15&gt;0,G15*I15,0)</f>
        <v/>
      </c>
      <c r="P15">
        <f>IF(G15&gt;0,G15*K15,0)</f>
        <v/>
      </c>
      <c r="Q15">
        <f>IF(G15&gt;0,G15*M15,0)</f>
        <v/>
      </c>
      <c r="R15">
        <f>IF(G15&gt;0,P15-N15,0)</f>
        <v/>
      </c>
      <c r="S15">
        <f>IF(G15&gt;0,Q15-T15,0)</f>
        <v/>
      </c>
      <c r="T15">
        <f>SUMIFS('期初批次'!$E$2:$E$41,'期初批次'!$B$2:$B$41,B15,'期初批次'!$I$2:$I$41,A15)+SUMIFS('逐笔辅助'!$N$2:$N$191,'逐笔辅助'!$A$2:$A$191,"流水",'逐笔辅助'!$D$2:$D$191,A15,'逐笔辅助'!$E$2:$E$191,B15)-SUMIFS('逐笔辅助'!$P$2:$P$191,'逐笔辅助'!$A$2:$A$191,"流水",'逐笔辅助'!$D$2:$D$191,A15,'逐笔辅助'!$E$2:$E$191,B15)+SUMIFS('逐笔辅助'!$U$2:$U$191,'逐笔辅助'!$A$2:$A$191,"流水",'逐笔辅助'!$D$2:$D$191,A15,'逐笔辅助'!$E$2:$E$191,B15)</f>
        <v/>
      </c>
      <c r="U15">
        <f>E15-F15</f>
        <v/>
      </c>
      <c r="V15">
        <f>IF(E15&gt;0,SUMIFS('逐笔辅助'!$N$2:$N$191,'逐笔辅助'!$A$2:$A$191,"流水",'逐笔辅助'!$D$2:$D$191,A15,'逐笔辅助'!$E$2:$E$191,B15)/E15,"")</f>
        <v/>
      </c>
      <c r="W15">
        <f>IF(AND(U15&gt;0,M15&lt;&gt;""),U15*(M15-V15),0)</f>
        <v/>
      </c>
    </row>
    <row r="16">
      <c r="A16" t="inlineStr">
        <is>
          <t>场内</t>
        </is>
      </c>
      <c r="B16" t="inlineStr">
        <is>
          <t>601166</t>
        </is>
      </c>
      <c r="C16" t="inlineStr">
        <is>
          <t>兴业银行</t>
        </is>
      </c>
      <c r="D16">
        <f>SUMIFS('期初批次'!$D$2:$D$41,'期初批次'!$B$2:$B$41,B16,'期初批次'!$I$2:$I$41,A16)</f>
        <v/>
      </c>
      <c r="E16">
        <f>SUMIFS('逐笔辅助'!$M$2:$M$191,'逐笔辅助'!$A$2:$A$191,"流水",'逐笔辅助'!$D$2:$D$191,A16,'逐笔辅助'!$E$2:$E$191,B16)</f>
        <v/>
      </c>
      <c r="F16">
        <f>SUMIFS('逐笔辅助'!$O$2:$O$191,'逐笔辅助'!$A$2:$A$191,"流水",'逐笔辅助'!$D$2:$D$191,A16,'逐笔辅助'!$E$2:$E$191,B16)</f>
        <v/>
      </c>
      <c r="G16">
        <f>D16+E16-F16</f>
        <v/>
      </c>
      <c r="H16">
        <f>IF((D16+E16)&gt;0,IF(A16="深港",(SUMIFS('期初批次'!$M$2:$M$41,'期初批次'!$B$2:$B$41,B16,'期初批次'!$I$2:$I$41,A16)+SUMIFS('逐笔辅助'!$J$2:$J$191,'逐笔辅助'!$A$2:$A$191,"流水",'逐笔辅助'!$D$2:$D$191,A16,'逐笔辅助'!$G$2:$G$191,"买入",'逐笔辅助'!$E$2:$E$191,B16))/(D16+E16),(SUMIFS('期初批次'!$E$2:$E$41,'期初批次'!$B$2:$B$41,B16,'期初批次'!$I$2:$I$41,A16)+SUMIFS('逐笔辅助'!$N$2:$N$191,'逐笔辅助'!$A$2:$A$191,"流水",'逐笔辅助'!$D$2:$D$191,A16,'逐笔辅助'!$E$2:$E$191,B16))/(D16+E16)),"")</f>
        <v/>
      </c>
      <c r="I16">
        <f>IF((D16+E16)&gt;0,(SUMIFS('期初批次'!$E$2:$E$41,'期初批次'!$B$2:$B$41,B16,'期初批次'!$I$2:$I$41,A16)+SUMIFS('逐笔辅助'!$N$2:$N$191,'逐笔辅助'!$A$2:$A$191,"流水",'逐笔辅助'!$D$2:$D$191,A16,'逐笔辅助'!$E$2:$E$191,B16))/(D16+E16),"")</f>
        <v/>
      </c>
      <c r="J16">
        <f>IFERROR(INDEX('期初批次'!$J$2:$J$41,MATCH(TRUE,('期初批次'!$B$2:$B$41=B16)*('期初批次'!$I$2:$I$41=A16),0)),IF(A16="深港",TEXT(--B16,"0000")&amp;".HK",IF(--B16&gt;=600000,TEXT(--B16,"000000")&amp;".SH",TEXT(--B16,"000000")&amp;".SZ")))</f>
        <v/>
      </c>
      <c r="K16">
        <f>IF(J16="","",IFERROR(INDEX('估值日行情'!$C$3:$C$61,MATCH(J16,'估值日行情'!$A$3:$A$61,0)),""))</f>
        <v/>
      </c>
      <c r="L16">
        <f>IF(A16="深港",IFERROR('FX_RATES_TO_CNY_HIST'!$B$3,""),1)</f>
        <v/>
      </c>
      <c r="M16">
        <f>IF(K16&lt;&gt;"",K16*L16,"")</f>
        <v/>
      </c>
      <c r="N16">
        <f>IF(G16&gt;0,G16*H16,0)</f>
        <v/>
      </c>
      <c r="O16">
        <f>IF(G16&gt;0,G16*I16,0)</f>
        <v/>
      </c>
      <c r="P16">
        <f>IF(G16&gt;0,G16*K16,0)</f>
        <v/>
      </c>
      <c r="Q16">
        <f>IF(G16&gt;0,G16*M16,0)</f>
        <v/>
      </c>
      <c r="R16">
        <f>IF(G16&gt;0,P16-N16,0)</f>
        <v/>
      </c>
      <c r="S16">
        <f>IF(G16&gt;0,Q16-T16,0)</f>
        <v/>
      </c>
      <c r="T16">
        <f>SUMIFS('期初批次'!$E$2:$E$41,'期初批次'!$B$2:$B$41,B16,'期初批次'!$I$2:$I$41,A16)+SUMIFS('逐笔辅助'!$N$2:$N$191,'逐笔辅助'!$A$2:$A$191,"流水",'逐笔辅助'!$D$2:$D$191,A16,'逐笔辅助'!$E$2:$E$191,B16)-SUMIFS('逐笔辅助'!$P$2:$P$191,'逐笔辅助'!$A$2:$A$191,"流水",'逐笔辅助'!$D$2:$D$191,A16,'逐笔辅助'!$E$2:$E$191,B16)+SUMIFS('逐笔辅助'!$U$2:$U$191,'逐笔辅助'!$A$2:$A$191,"流水",'逐笔辅助'!$D$2:$D$191,A16,'逐笔辅助'!$E$2:$E$191,B16)</f>
        <v/>
      </c>
      <c r="U16">
        <f>E16-F16</f>
        <v/>
      </c>
      <c r="V16">
        <f>IF(E16&gt;0,SUMIFS('逐笔辅助'!$N$2:$N$191,'逐笔辅助'!$A$2:$A$191,"流水",'逐笔辅助'!$D$2:$D$191,A16,'逐笔辅助'!$E$2:$E$191,B16)/E16,"")</f>
        <v/>
      </c>
      <c r="W16">
        <f>IF(AND(U16&gt;0,M16&lt;&gt;""),U16*(M16-V16),0)</f>
        <v/>
      </c>
    </row>
    <row r="17">
      <c r="A17" t="inlineStr">
        <is>
          <t>场内</t>
        </is>
      </c>
      <c r="B17" t="inlineStr">
        <is>
          <t>601169</t>
        </is>
      </c>
      <c r="C17" t="inlineStr">
        <is>
          <t>北京银行</t>
        </is>
      </c>
      <c r="D17">
        <f>SUMIFS('期初批次'!$D$2:$D$41,'期初批次'!$B$2:$B$41,B17,'期初批次'!$I$2:$I$41,A17)</f>
        <v/>
      </c>
      <c r="E17">
        <f>SUMIFS('逐笔辅助'!$M$2:$M$191,'逐笔辅助'!$A$2:$A$191,"流水",'逐笔辅助'!$D$2:$D$191,A17,'逐笔辅助'!$E$2:$E$191,B17)</f>
        <v/>
      </c>
      <c r="F17">
        <f>SUMIFS('逐笔辅助'!$O$2:$O$191,'逐笔辅助'!$A$2:$A$191,"流水",'逐笔辅助'!$D$2:$D$191,A17,'逐笔辅助'!$E$2:$E$191,B17)</f>
        <v/>
      </c>
      <c r="G17">
        <f>D17+E17-F17</f>
        <v/>
      </c>
      <c r="H17">
        <f>IF((D17+E17)&gt;0,IF(A17="深港",(SUMIFS('期初批次'!$M$2:$M$41,'期初批次'!$B$2:$B$41,B17,'期初批次'!$I$2:$I$41,A17)+SUMIFS('逐笔辅助'!$J$2:$J$191,'逐笔辅助'!$A$2:$A$191,"流水",'逐笔辅助'!$D$2:$D$191,A17,'逐笔辅助'!$G$2:$G$191,"买入",'逐笔辅助'!$E$2:$E$191,B17))/(D17+E17),(SUMIFS('期初批次'!$E$2:$E$41,'期初批次'!$B$2:$B$41,B17,'期初批次'!$I$2:$I$41,A17)+SUMIFS('逐笔辅助'!$N$2:$N$191,'逐笔辅助'!$A$2:$A$191,"流水",'逐笔辅助'!$D$2:$D$191,A17,'逐笔辅助'!$E$2:$E$191,B17))/(D17+E17)),"")</f>
        <v/>
      </c>
      <c r="I17">
        <f>IF((D17+E17)&gt;0,(SUMIFS('期初批次'!$E$2:$E$41,'期初批次'!$B$2:$B$41,B17,'期初批次'!$I$2:$I$41,A17)+SUMIFS('逐笔辅助'!$N$2:$N$191,'逐笔辅助'!$A$2:$A$191,"流水",'逐笔辅助'!$D$2:$D$191,A17,'逐笔辅助'!$E$2:$E$191,B17))/(D17+E17),"")</f>
        <v/>
      </c>
      <c r="J17">
        <f>IFERROR(INDEX('期初批次'!$J$2:$J$41,MATCH(TRUE,('期初批次'!$B$2:$B$41=B17)*('期初批次'!$I$2:$I$41=A17),0)),IF(A17="深港",TEXT(--B17,"0000")&amp;".HK",IF(--B17&gt;=600000,TEXT(--B17,"000000")&amp;".SH",TEXT(--B17,"000000")&amp;".SZ")))</f>
        <v/>
      </c>
      <c r="K17">
        <f>IF(J17="","",IFERROR(INDEX('估值日行情'!$C$3:$C$61,MATCH(J17,'估值日行情'!$A$3:$A$61,0)),""))</f>
        <v/>
      </c>
      <c r="L17">
        <f>IF(A17="深港",IFERROR('FX_RATES_TO_CNY_HIST'!$B$3,""),1)</f>
        <v/>
      </c>
      <c r="M17">
        <f>IF(K17&lt;&gt;"",K17*L17,"")</f>
        <v/>
      </c>
      <c r="N17">
        <f>IF(G17&gt;0,G17*H17,0)</f>
        <v/>
      </c>
      <c r="O17">
        <f>IF(G17&gt;0,G17*I17,0)</f>
        <v/>
      </c>
      <c r="P17">
        <f>IF(G17&gt;0,G17*K17,0)</f>
        <v/>
      </c>
      <c r="Q17">
        <f>IF(G17&gt;0,G17*M17,0)</f>
        <v/>
      </c>
      <c r="R17">
        <f>IF(G17&gt;0,P17-N17,0)</f>
        <v/>
      </c>
      <c r="S17">
        <f>IF(G17&gt;0,Q17-T17,0)</f>
        <v/>
      </c>
      <c r="T17">
        <f>SUMIFS('期初批次'!$E$2:$E$41,'期初批次'!$B$2:$B$41,B17,'期初批次'!$I$2:$I$41,A17)+SUMIFS('逐笔辅助'!$N$2:$N$191,'逐笔辅助'!$A$2:$A$191,"流水",'逐笔辅助'!$D$2:$D$191,A17,'逐笔辅助'!$E$2:$E$191,B17)-SUMIFS('逐笔辅助'!$P$2:$P$191,'逐笔辅助'!$A$2:$A$191,"流水",'逐笔辅助'!$D$2:$D$191,A17,'逐笔辅助'!$E$2:$E$191,B17)+SUMIFS('逐笔辅助'!$U$2:$U$191,'逐笔辅助'!$A$2:$A$191,"流水",'逐笔辅助'!$D$2:$D$191,A17,'逐笔辅助'!$E$2:$E$191,B17)</f>
        <v/>
      </c>
      <c r="U17">
        <f>E17-F17</f>
        <v/>
      </c>
      <c r="V17">
        <f>IF(E17&gt;0,SUMIFS('逐笔辅助'!$N$2:$N$191,'逐笔辅助'!$A$2:$A$191,"流水",'逐笔辅助'!$D$2:$D$191,A17,'逐笔辅助'!$E$2:$E$191,B17)/E17,"")</f>
        <v/>
      </c>
      <c r="W17">
        <f>IF(AND(U17&gt;0,M17&lt;&gt;""),U17*(M17-V17),0)</f>
        <v/>
      </c>
    </row>
    <row r="18">
      <c r="A18" t="inlineStr">
        <is>
          <t>场内</t>
        </is>
      </c>
      <c r="B18" t="inlineStr">
        <is>
          <t>601577</t>
        </is>
      </c>
      <c r="C18" t="inlineStr">
        <is>
          <t>长沙银行</t>
        </is>
      </c>
      <c r="D18">
        <f>SUMIFS('期初批次'!$D$2:$D$41,'期初批次'!$B$2:$B$41,B18,'期初批次'!$I$2:$I$41,A18)</f>
        <v/>
      </c>
      <c r="E18">
        <f>SUMIFS('逐笔辅助'!$M$2:$M$191,'逐笔辅助'!$A$2:$A$191,"流水",'逐笔辅助'!$D$2:$D$191,A18,'逐笔辅助'!$E$2:$E$191,B18)</f>
        <v/>
      </c>
      <c r="F18">
        <f>SUMIFS('逐笔辅助'!$O$2:$O$191,'逐笔辅助'!$A$2:$A$191,"流水",'逐笔辅助'!$D$2:$D$191,A18,'逐笔辅助'!$E$2:$E$191,B18)</f>
        <v/>
      </c>
      <c r="G18">
        <f>D18+E18-F18</f>
        <v/>
      </c>
      <c r="H18">
        <f>IF((D18+E18)&gt;0,IF(A18="深港",(SUMIFS('期初批次'!$M$2:$M$41,'期初批次'!$B$2:$B$41,B18,'期初批次'!$I$2:$I$41,A18)+SUMIFS('逐笔辅助'!$J$2:$J$191,'逐笔辅助'!$A$2:$A$191,"流水",'逐笔辅助'!$D$2:$D$191,A18,'逐笔辅助'!$G$2:$G$191,"买入",'逐笔辅助'!$E$2:$E$191,B18))/(D18+E18),(SUMIFS('期初批次'!$E$2:$E$41,'期初批次'!$B$2:$B$41,B18,'期初批次'!$I$2:$I$41,A18)+SUMIFS('逐笔辅助'!$N$2:$N$191,'逐笔辅助'!$A$2:$A$191,"流水",'逐笔辅助'!$D$2:$D$191,A18,'逐笔辅助'!$E$2:$E$191,B18))/(D18+E18)),"")</f>
        <v/>
      </c>
      <c r="I18">
        <f>IF((D18+E18)&gt;0,(SUMIFS('期初批次'!$E$2:$E$41,'期初批次'!$B$2:$B$41,B18,'期初批次'!$I$2:$I$41,A18)+SUMIFS('逐笔辅助'!$N$2:$N$191,'逐笔辅助'!$A$2:$A$191,"流水",'逐笔辅助'!$D$2:$D$191,A18,'逐笔辅助'!$E$2:$E$191,B18))/(D18+E18),"")</f>
        <v/>
      </c>
      <c r="J18">
        <f>IFERROR(INDEX('期初批次'!$J$2:$J$41,MATCH(TRUE,('期初批次'!$B$2:$B$41=B18)*('期初批次'!$I$2:$I$41=A18),0)),IF(A18="深港",TEXT(--B18,"0000")&amp;".HK",IF(--B18&gt;=600000,TEXT(--B18,"000000")&amp;".SH",TEXT(--B18,"000000")&amp;".SZ")))</f>
        <v/>
      </c>
      <c r="K18">
        <f>IF(J18="","",IFERROR(INDEX('估值日行情'!$C$3:$C$61,MATCH(J18,'估值日行情'!$A$3:$A$61,0)),""))</f>
        <v/>
      </c>
      <c r="L18">
        <f>IF(A18="深港",IFERROR('FX_RATES_TO_CNY_HIST'!$B$3,""),1)</f>
        <v/>
      </c>
      <c r="M18">
        <f>IF(K18&lt;&gt;"",K18*L18,"")</f>
        <v/>
      </c>
      <c r="N18">
        <f>IF(G18&gt;0,G18*H18,0)</f>
        <v/>
      </c>
      <c r="O18">
        <f>IF(G18&gt;0,G18*I18,0)</f>
        <v/>
      </c>
      <c r="P18">
        <f>IF(G18&gt;0,G18*K18,0)</f>
        <v/>
      </c>
      <c r="Q18">
        <f>IF(G18&gt;0,G18*M18,0)</f>
        <v/>
      </c>
      <c r="R18">
        <f>IF(G18&gt;0,P18-N18,0)</f>
        <v/>
      </c>
      <c r="S18">
        <f>IF(G18&gt;0,Q18-T18,0)</f>
        <v/>
      </c>
      <c r="T18">
        <f>SUMIFS('期初批次'!$E$2:$E$41,'期初批次'!$B$2:$B$41,B18,'期初批次'!$I$2:$I$41,A18)+SUMIFS('逐笔辅助'!$N$2:$N$191,'逐笔辅助'!$A$2:$A$191,"流水",'逐笔辅助'!$D$2:$D$191,A18,'逐笔辅助'!$E$2:$E$191,B18)-SUMIFS('逐笔辅助'!$P$2:$P$191,'逐笔辅助'!$A$2:$A$191,"流水",'逐笔辅助'!$D$2:$D$191,A18,'逐笔辅助'!$E$2:$E$191,B18)+SUMIFS('逐笔辅助'!$U$2:$U$191,'逐笔辅助'!$A$2:$A$191,"流水",'逐笔辅助'!$D$2:$D$191,A18,'逐笔辅助'!$E$2:$E$191,B18)</f>
        <v/>
      </c>
      <c r="U18">
        <f>E18-F18</f>
        <v/>
      </c>
      <c r="V18">
        <f>IF(E18&gt;0,SUMIFS('逐笔辅助'!$N$2:$N$191,'逐笔辅助'!$A$2:$A$191,"流水",'逐笔辅助'!$D$2:$D$191,A18,'逐笔辅助'!$E$2:$E$191,B18)/E18,"")</f>
        <v/>
      </c>
      <c r="W18">
        <f>IF(AND(U18&gt;0,M18&lt;&gt;""),U18*(M18-V18),0)</f>
        <v/>
      </c>
    </row>
    <row r="19">
      <c r="A19" t="inlineStr">
        <is>
          <t>场内</t>
        </is>
      </c>
      <c r="B19" t="inlineStr">
        <is>
          <t>601818</t>
        </is>
      </c>
      <c r="C19" t="inlineStr">
        <is>
          <t>光大银行</t>
        </is>
      </c>
      <c r="D19">
        <f>SUMIFS('期初批次'!$D$2:$D$41,'期初批次'!$B$2:$B$41,B19,'期初批次'!$I$2:$I$41,A19)</f>
        <v/>
      </c>
      <c r="E19">
        <f>SUMIFS('逐笔辅助'!$M$2:$M$191,'逐笔辅助'!$A$2:$A$191,"流水",'逐笔辅助'!$D$2:$D$191,A19,'逐笔辅助'!$E$2:$E$191,B19)</f>
        <v/>
      </c>
      <c r="F19">
        <f>SUMIFS('逐笔辅助'!$O$2:$O$191,'逐笔辅助'!$A$2:$A$191,"流水",'逐笔辅助'!$D$2:$D$191,A19,'逐笔辅助'!$E$2:$E$191,B19)</f>
        <v/>
      </c>
      <c r="G19">
        <f>D19+E19-F19</f>
        <v/>
      </c>
      <c r="H19">
        <f>IF((D19+E19)&gt;0,IF(A19="深港",(SUMIFS('期初批次'!$M$2:$M$41,'期初批次'!$B$2:$B$41,B19,'期初批次'!$I$2:$I$41,A19)+SUMIFS('逐笔辅助'!$J$2:$J$191,'逐笔辅助'!$A$2:$A$191,"流水",'逐笔辅助'!$D$2:$D$191,A19,'逐笔辅助'!$G$2:$G$191,"买入",'逐笔辅助'!$E$2:$E$191,B19))/(D19+E19),(SUMIFS('期初批次'!$E$2:$E$41,'期初批次'!$B$2:$B$41,B19,'期初批次'!$I$2:$I$41,A19)+SUMIFS('逐笔辅助'!$N$2:$N$191,'逐笔辅助'!$A$2:$A$191,"流水",'逐笔辅助'!$D$2:$D$191,A19,'逐笔辅助'!$E$2:$E$191,B19))/(D19+E19)),"")</f>
        <v/>
      </c>
      <c r="I19">
        <f>IF((D19+E19)&gt;0,(SUMIFS('期初批次'!$E$2:$E$41,'期初批次'!$B$2:$B$41,B19,'期初批次'!$I$2:$I$41,A19)+SUMIFS('逐笔辅助'!$N$2:$N$191,'逐笔辅助'!$A$2:$A$191,"流水",'逐笔辅助'!$D$2:$D$191,A19,'逐笔辅助'!$E$2:$E$191,B19))/(D19+E19),"")</f>
        <v/>
      </c>
      <c r="J19">
        <f>IFERROR(INDEX('期初批次'!$J$2:$J$41,MATCH(TRUE,('期初批次'!$B$2:$B$41=B19)*('期初批次'!$I$2:$I$41=A19),0)),IF(A19="深港",TEXT(--B19,"0000")&amp;".HK",IF(--B19&gt;=600000,TEXT(--B19,"000000")&amp;".SH",TEXT(--B19,"000000")&amp;".SZ")))</f>
        <v/>
      </c>
      <c r="K19">
        <f>IF(J19="","",IFERROR(INDEX('估值日行情'!$C$3:$C$61,MATCH(J19,'估值日行情'!$A$3:$A$61,0)),""))</f>
        <v/>
      </c>
      <c r="L19">
        <f>IF(A19="深港",IFERROR('FX_RATES_TO_CNY_HIST'!$B$3,""),1)</f>
        <v/>
      </c>
      <c r="M19">
        <f>IF(K19&lt;&gt;"",K19*L19,"")</f>
        <v/>
      </c>
      <c r="N19">
        <f>IF(G19&gt;0,G19*H19,0)</f>
        <v/>
      </c>
      <c r="O19">
        <f>IF(G19&gt;0,G19*I19,0)</f>
        <v/>
      </c>
      <c r="P19">
        <f>IF(G19&gt;0,G19*K19,0)</f>
        <v/>
      </c>
      <c r="Q19">
        <f>IF(G19&gt;0,G19*M19,0)</f>
        <v/>
      </c>
      <c r="R19">
        <f>IF(G19&gt;0,P19-N19,0)</f>
        <v/>
      </c>
      <c r="S19">
        <f>IF(G19&gt;0,Q19-T19,0)</f>
        <v/>
      </c>
      <c r="T19">
        <f>SUMIFS('期初批次'!$E$2:$E$41,'期初批次'!$B$2:$B$41,B19,'期初批次'!$I$2:$I$41,A19)+SUMIFS('逐笔辅助'!$N$2:$N$191,'逐笔辅助'!$A$2:$A$191,"流水",'逐笔辅助'!$D$2:$D$191,A19,'逐笔辅助'!$E$2:$E$191,B19)-SUMIFS('逐笔辅助'!$P$2:$P$191,'逐笔辅助'!$A$2:$A$191,"流水",'逐笔辅助'!$D$2:$D$191,A19,'逐笔辅助'!$E$2:$E$191,B19)+SUMIFS('逐笔辅助'!$U$2:$U$191,'逐笔辅助'!$A$2:$A$191,"流水",'逐笔辅助'!$D$2:$D$191,A19,'逐笔辅助'!$E$2:$E$191,B19)</f>
        <v/>
      </c>
      <c r="U19">
        <f>E19-F19</f>
        <v/>
      </c>
      <c r="V19">
        <f>IF(E19&gt;0,SUMIFS('逐笔辅助'!$N$2:$N$191,'逐笔辅助'!$A$2:$A$191,"流水",'逐笔辅助'!$D$2:$D$191,A19,'逐笔辅助'!$E$2:$E$191,B19)/E19,"")</f>
        <v/>
      </c>
      <c r="W19">
        <f>IF(AND(U19&gt;0,M19&lt;&gt;""),U19*(M19-V19),0)</f>
        <v/>
      </c>
    </row>
    <row r="20">
      <c r="A20" t="inlineStr">
        <is>
          <t>场内</t>
        </is>
      </c>
      <c r="B20" t="inlineStr">
        <is>
          <t>601825</t>
        </is>
      </c>
      <c r="C20" t="inlineStr">
        <is>
          <t>沪农商行</t>
        </is>
      </c>
      <c r="D20">
        <f>SUMIFS('期初批次'!$D$2:$D$41,'期初批次'!$B$2:$B$41,B20,'期初批次'!$I$2:$I$41,A20)</f>
        <v/>
      </c>
      <c r="E20">
        <f>SUMIFS('逐笔辅助'!$M$2:$M$191,'逐笔辅助'!$A$2:$A$191,"流水",'逐笔辅助'!$D$2:$D$191,A20,'逐笔辅助'!$E$2:$E$191,B20)</f>
        <v/>
      </c>
      <c r="F20">
        <f>SUMIFS('逐笔辅助'!$O$2:$O$191,'逐笔辅助'!$A$2:$A$191,"流水",'逐笔辅助'!$D$2:$D$191,A20,'逐笔辅助'!$E$2:$E$191,B20)</f>
        <v/>
      </c>
      <c r="G20">
        <f>D20+E20-F20</f>
        <v/>
      </c>
      <c r="H20">
        <f>IF((D20+E20)&gt;0,IF(A20="深港",(SUMIFS('期初批次'!$M$2:$M$41,'期初批次'!$B$2:$B$41,B20,'期初批次'!$I$2:$I$41,A20)+SUMIFS('逐笔辅助'!$J$2:$J$191,'逐笔辅助'!$A$2:$A$191,"流水",'逐笔辅助'!$D$2:$D$191,A20,'逐笔辅助'!$G$2:$G$191,"买入",'逐笔辅助'!$E$2:$E$191,B20))/(D20+E20),(SUMIFS('期初批次'!$E$2:$E$41,'期初批次'!$B$2:$B$41,B20,'期初批次'!$I$2:$I$41,A20)+SUMIFS('逐笔辅助'!$N$2:$N$191,'逐笔辅助'!$A$2:$A$191,"流水",'逐笔辅助'!$D$2:$D$191,A20,'逐笔辅助'!$E$2:$E$191,B20))/(D20+E20)),"")</f>
        <v/>
      </c>
      <c r="I20">
        <f>IF((D20+E20)&gt;0,(SUMIFS('期初批次'!$E$2:$E$41,'期初批次'!$B$2:$B$41,B20,'期初批次'!$I$2:$I$41,A20)+SUMIFS('逐笔辅助'!$N$2:$N$191,'逐笔辅助'!$A$2:$A$191,"流水",'逐笔辅助'!$D$2:$D$191,A20,'逐笔辅助'!$E$2:$E$191,B20))/(D20+E20),"")</f>
        <v/>
      </c>
      <c r="J20">
        <f>IFERROR(INDEX('期初批次'!$J$2:$J$41,MATCH(TRUE,('期初批次'!$B$2:$B$41=B20)*('期初批次'!$I$2:$I$41=A20),0)),IF(A20="深港",TEXT(--B20,"0000")&amp;".HK",IF(--B20&gt;=600000,TEXT(--B20,"000000")&amp;".SH",TEXT(--B20,"000000")&amp;".SZ")))</f>
        <v/>
      </c>
      <c r="K20">
        <f>IF(J20="","",IFERROR(INDEX('估值日行情'!$C$3:$C$61,MATCH(J20,'估值日行情'!$A$3:$A$61,0)),""))</f>
        <v/>
      </c>
      <c r="L20">
        <f>IF(A20="深港",IFERROR('FX_RATES_TO_CNY_HIST'!$B$3,""),1)</f>
        <v/>
      </c>
      <c r="M20">
        <f>IF(K20&lt;&gt;"",K20*L20,"")</f>
        <v/>
      </c>
      <c r="N20">
        <f>IF(G20&gt;0,G20*H20,0)</f>
        <v/>
      </c>
      <c r="O20">
        <f>IF(G20&gt;0,G20*I20,0)</f>
        <v/>
      </c>
      <c r="P20">
        <f>IF(G20&gt;0,G20*K20,0)</f>
        <v/>
      </c>
      <c r="Q20">
        <f>IF(G20&gt;0,G20*M20,0)</f>
        <v/>
      </c>
      <c r="R20">
        <f>IF(G20&gt;0,P20-N20,0)</f>
        <v/>
      </c>
      <c r="S20">
        <f>IF(G20&gt;0,Q20-T20,0)</f>
        <v/>
      </c>
      <c r="T20">
        <f>SUMIFS('期初批次'!$E$2:$E$41,'期初批次'!$B$2:$B$41,B20,'期初批次'!$I$2:$I$41,A20)+SUMIFS('逐笔辅助'!$N$2:$N$191,'逐笔辅助'!$A$2:$A$191,"流水",'逐笔辅助'!$D$2:$D$191,A20,'逐笔辅助'!$E$2:$E$191,B20)-SUMIFS('逐笔辅助'!$P$2:$P$191,'逐笔辅助'!$A$2:$A$191,"流水",'逐笔辅助'!$D$2:$D$191,A20,'逐笔辅助'!$E$2:$E$191,B20)+SUMIFS('逐笔辅助'!$U$2:$U$191,'逐笔辅助'!$A$2:$A$191,"流水",'逐笔辅助'!$D$2:$D$191,A20,'逐笔辅助'!$E$2:$E$191,B20)</f>
        <v/>
      </c>
      <c r="U20">
        <f>E20-F20</f>
        <v/>
      </c>
      <c r="V20">
        <f>IF(E20&gt;0,SUMIFS('逐笔辅助'!$N$2:$N$191,'逐笔辅助'!$A$2:$A$191,"流水",'逐笔辅助'!$D$2:$D$191,A20,'逐笔辅助'!$E$2:$E$191,B20)/E20,"")</f>
        <v/>
      </c>
      <c r="W20">
        <f>IF(AND(U20&gt;0,M20&lt;&gt;""),U20*(M20-V20),0)</f>
        <v/>
      </c>
    </row>
    <row r="21">
      <c r="A21" t="inlineStr">
        <is>
          <t>场内</t>
        </is>
      </c>
      <c r="B21" t="inlineStr">
        <is>
          <t>601900</t>
        </is>
      </c>
      <c r="C21" t="inlineStr">
        <is>
          <t>南方传媒</t>
        </is>
      </c>
      <c r="D21">
        <f>SUMIFS('期初批次'!$D$2:$D$41,'期初批次'!$B$2:$B$41,B21,'期初批次'!$I$2:$I$41,A21)</f>
        <v/>
      </c>
      <c r="E21">
        <f>SUMIFS('逐笔辅助'!$M$2:$M$191,'逐笔辅助'!$A$2:$A$191,"流水",'逐笔辅助'!$D$2:$D$191,A21,'逐笔辅助'!$E$2:$E$191,B21)</f>
        <v/>
      </c>
      <c r="F21">
        <f>SUMIFS('逐笔辅助'!$O$2:$O$191,'逐笔辅助'!$A$2:$A$191,"流水",'逐笔辅助'!$D$2:$D$191,A21,'逐笔辅助'!$E$2:$E$191,B21)</f>
        <v/>
      </c>
      <c r="G21">
        <f>D21+E21-F21</f>
        <v/>
      </c>
      <c r="H21">
        <f>IF((D21+E21)&gt;0,IF(A21="深港",(SUMIFS('期初批次'!$M$2:$M$41,'期初批次'!$B$2:$B$41,B21,'期初批次'!$I$2:$I$41,A21)+SUMIFS('逐笔辅助'!$J$2:$J$191,'逐笔辅助'!$A$2:$A$191,"流水",'逐笔辅助'!$D$2:$D$191,A21,'逐笔辅助'!$G$2:$G$191,"买入",'逐笔辅助'!$E$2:$E$191,B21))/(D21+E21),(SUMIFS('期初批次'!$E$2:$E$41,'期初批次'!$B$2:$B$41,B21,'期初批次'!$I$2:$I$41,A21)+SUMIFS('逐笔辅助'!$N$2:$N$191,'逐笔辅助'!$A$2:$A$191,"流水",'逐笔辅助'!$D$2:$D$191,A21,'逐笔辅助'!$E$2:$E$191,B21))/(D21+E21)),"")</f>
        <v/>
      </c>
      <c r="I21">
        <f>IF((D21+E21)&gt;0,(SUMIFS('期初批次'!$E$2:$E$41,'期初批次'!$B$2:$B$41,B21,'期初批次'!$I$2:$I$41,A21)+SUMIFS('逐笔辅助'!$N$2:$N$191,'逐笔辅助'!$A$2:$A$191,"流水",'逐笔辅助'!$D$2:$D$191,A21,'逐笔辅助'!$E$2:$E$191,B21))/(D21+E21),"")</f>
        <v/>
      </c>
      <c r="J21">
        <f>IFERROR(INDEX('期初批次'!$J$2:$J$41,MATCH(TRUE,('期初批次'!$B$2:$B$41=B21)*('期初批次'!$I$2:$I$41=A21),0)),IF(A21="深港",TEXT(--B21,"0000")&amp;".HK",IF(--B21&gt;=600000,TEXT(--B21,"000000")&amp;".SH",TEXT(--B21,"000000")&amp;".SZ")))</f>
        <v/>
      </c>
      <c r="K21">
        <f>IF(J21="","",IFERROR(INDEX('估值日行情'!$C$3:$C$61,MATCH(J21,'估值日行情'!$A$3:$A$61,0)),""))</f>
        <v/>
      </c>
      <c r="L21">
        <f>IF(A21="深港",IFERROR('FX_RATES_TO_CNY_HIST'!$B$3,""),1)</f>
        <v/>
      </c>
      <c r="M21">
        <f>IF(K21&lt;&gt;"",K21*L21,"")</f>
        <v/>
      </c>
      <c r="N21">
        <f>IF(G21&gt;0,G21*H21,0)</f>
        <v/>
      </c>
      <c r="O21">
        <f>IF(G21&gt;0,G21*I21,0)</f>
        <v/>
      </c>
      <c r="P21">
        <f>IF(G21&gt;0,G21*K21,0)</f>
        <v/>
      </c>
      <c r="Q21">
        <f>IF(G21&gt;0,G21*M21,0)</f>
        <v/>
      </c>
      <c r="R21">
        <f>IF(G21&gt;0,P21-N21,0)</f>
        <v/>
      </c>
      <c r="S21">
        <f>IF(G21&gt;0,Q21-T21,0)</f>
        <v/>
      </c>
      <c r="T21">
        <f>SUMIFS('期初批次'!$E$2:$E$41,'期初批次'!$B$2:$B$41,B21,'期初批次'!$I$2:$I$41,A21)+SUMIFS('逐笔辅助'!$N$2:$N$191,'逐笔辅助'!$A$2:$A$191,"流水",'逐笔辅助'!$D$2:$D$191,A21,'逐笔辅助'!$E$2:$E$191,B21)-SUMIFS('逐笔辅助'!$P$2:$P$191,'逐笔辅助'!$A$2:$A$191,"流水",'逐笔辅助'!$D$2:$D$191,A21,'逐笔辅助'!$E$2:$E$191,B21)+SUMIFS('逐笔辅助'!$U$2:$U$191,'逐笔辅助'!$A$2:$A$191,"流水",'逐笔辅助'!$D$2:$D$191,A21,'逐笔辅助'!$E$2:$E$191,B21)</f>
        <v/>
      </c>
      <c r="U21">
        <f>E21-F21</f>
        <v/>
      </c>
      <c r="V21">
        <f>IF(E21&gt;0,SUMIFS('逐笔辅助'!$N$2:$N$191,'逐笔辅助'!$A$2:$A$191,"流水",'逐笔辅助'!$D$2:$D$191,A21,'逐笔辅助'!$E$2:$E$191,B21)/E21,"")</f>
        <v/>
      </c>
      <c r="W21">
        <f>IF(AND(U21&gt;0,M21&lt;&gt;""),U21*(M21-V21),0)</f>
        <v/>
      </c>
    </row>
    <row r="22">
      <c r="A22" t="inlineStr">
        <is>
          <t>场内</t>
        </is>
      </c>
      <c r="B22" t="inlineStr">
        <is>
          <t>603198</t>
        </is>
      </c>
      <c r="C22" t="inlineStr">
        <is>
          <t>迎驾贡酒</t>
        </is>
      </c>
      <c r="D22">
        <f>SUMIFS('期初批次'!$D$2:$D$41,'期初批次'!$B$2:$B$41,B22,'期初批次'!$I$2:$I$41,A22)</f>
        <v/>
      </c>
      <c r="E22">
        <f>SUMIFS('逐笔辅助'!$M$2:$M$191,'逐笔辅助'!$A$2:$A$191,"流水",'逐笔辅助'!$D$2:$D$191,A22,'逐笔辅助'!$E$2:$E$191,B22)</f>
        <v/>
      </c>
      <c r="F22">
        <f>SUMIFS('逐笔辅助'!$O$2:$O$191,'逐笔辅助'!$A$2:$A$191,"流水",'逐笔辅助'!$D$2:$D$191,A22,'逐笔辅助'!$E$2:$E$191,B22)</f>
        <v/>
      </c>
      <c r="G22">
        <f>D22+E22-F22</f>
        <v/>
      </c>
      <c r="H22">
        <f>IF((D22+E22)&gt;0,IF(A22="深港",(SUMIFS('期初批次'!$M$2:$M$41,'期初批次'!$B$2:$B$41,B22,'期初批次'!$I$2:$I$41,A22)+SUMIFS('逐笔辅助'!$J$2:$J$191,'逐笔辅助'!$A$2:$A$191,"流水",'逐笔辅助'!$D$2:$D$191,A22,'逐笔辅助'!$G$2:$G$191,"买入",'逐笔辅助'!$E$2:$E$191,B22))/(D22+E22),(SUMIFS('期初批次'!$E$2:$E$41,'期初批次'!$B$2:$B$41,B22,'期初批次'!$I$2:$I$41,A22)+SUMIFS('逐笔辅助'!$N$2:$N$191,'逐笔辅助'!$A$2:$A$191,"流水",'逐笔辅助'!$D$2:$D$191,A22,'逐笔辅助'!$E$2:$E$191,B22))/(D22+E22)),"")</f>
        <v/>
      </c>
      <c r="I22">
        <f>IF((D22+E22)&gt;0,(SUMIFS('期初批次'!$E$2:$E$41,'期初批次'!$B$2:$B$41,B22,'期初批次'!$I$2:$I$41,A22)+SUMIFS('逐笔辅助'!$N$2:$N$191,'逐笔辅助'!$A$2:$A$191,"流水",'逐笔辅助'!$D$2:$D$191,A22,'逐笔辅助'!$E$2:$E$191,B22))/(D22+E22),"")</f>
        <v/>
      </c>
      <c r="J22">
        <f>IFERROR(INDEX('期初批次'!$J$2:$J$41,MATCH(TRUE,('期初批次'!$B$2:$B$41=B22)*('期初批次'!$I$2:$I$41=A22),0)),IF(A22="深港",TEXT(--B22,"0000")&amp;".HK",IF(--B22&gt;=600000,TEXT(--B22,"000000")&amp;".SH",TEXT(--B22,"000000")&amp;".SZ")))</f>
        <v/>
      </c>
      <c r="K22">
        <f>IF(J22="","",IFERROR(INDEX('估值日行情'!$C$3:$C$61,MATCH(J22,'估值日行情'!$A$3:$A$61,0)),""))</f>
        <v/>
      </c>
      <c r="L22">
        <f>IF(A22="深港",IFERROR('FX_RATES_TO_CNY_HIST'!$B$3,""),1)</f>
        <v/>
      </c>
      <c r="M22">
        <f>IF(K22&lt;&gt;"",K22*L22,"")</f>
        <v/>
      </c>
      <c r="N22">
        <f>IF(G22&gt;0,G22*H22,0)</f>
        <v/>
      </c>
      <c r="O22">
        <f>IF(G22&gt;0,G22*I22,0)</f>
        <v/>
      </c>
      <c r="P22">
        <f>IF(G22&gt;0,G22*K22,0)</f>
        <v/>
      </c>
      <c r="Q22">
        <f>IF(G22&gt;0,G22*M22,0)</f>
        <v/>
      </c>
      <c r="R22">
        <f>IF(G22&gt;0,P22-N22,0)</f>
        <v/>
      </c>
      <c r="S22">
        <f>IF(G22&gt;0,Q22-T22,0)</f>
        <v/>
      </c>
      <c r="T22">
        <f>SUMIFS('期初批次'!$E$2:$E$41,'期初批次'!$B$2:$B$41,B22,'期初批次'!$I$2:$I$41,A22)+SUMIFS('逐笔辅助'!$N$2:$N$191,'逐笔辅助'!$A$2:$A$191,"流水",'逐笔辅助'!$D$2:$D$191,A22,'逐笔辅助'!$E$2:$E$191,B22)-SUMIFS('逐笔辅助'!$P$2:$P$191,'逐笔辅助'!$A$2:$A$191,"流水",'逐笔辅助'!$D$2:$D$191,A22,'逐笔辅助'!$E$2:$E$191,B22)+SUMIFS('逐笔辅助'!$U$2:$U$191,'逐笔辅助'!$A$2:$A$191,"流水",'逐笔辅助'!$D$2:$D$191,A22,'逐笔辅助'!$E$2:$E$191,B22)</f>
        <v/>
      </c>
      <c r="U22">
        <f>E22-F22</f>
        <v/>
      </c>
      <c r="V22">
        <f>IF(E22&gt;0,SUMIFS('逐笔辅助'!$N$2:$N$191,'逐笔辅助'!$A$2:$A$191,"流水",'逐笔辅助'!$D$2:$D$191,A22,'逐笔辅助'!$E$2:$E$191,B22)/E22,"")</f>
        <v/>
      </c>
      <c r="W22">
        <f>IF(AND(U22&gt;0,M22&lt;&gt;""),U22*(M22-V22),0)</f>
        <v/>
      </c>
    </row>
    <row r="23">
      <c r="A23" t="inlineStr">
        <is>
          <t>场内</t>
        </is>
      </c>
      <c r="B23" t="inlineStr">
        <is>
          <t>603369</t>
        </is>
      </c>
      <c r="C23" t="inlineStr">
        <is>
          <t>今世缘</t>
        </is>
      </c>
      <c r="D23">
        <f>SUMIFS('期初批次'!$D$2:$D$41,'期初批次'!$B$2:$B$41,B23,'期初批次'!$I$2:$I$41,A23)</f>
        <v/>
      </c>
      <c r="E23">
        <f>SUMIFS('逐笔辅助'!$M$2:$M$191,'逐笔辅助'!$A$2:$A$191,"流水",'逐笔辅助'!$D$2:$D$191,A23,'逐笔辅助'!$E$2:$E$191,B23)</f>
        <v/>
      </c>
      <c r="F23">
        <f>SUMIFS('逐笔辅助'!$O$2:$O$191,'逐笔辅助'!$A$2:$A$191,"流水",'逐笔辅助'!$D$2:$D$191,A23,'逐笔辅助'!$E$2:$E$191,B23)</f>
        <v/>
      </c>
      <c r="G23">
        <f>D23+E23-F23</f>
        <v/>
      </c>
      <c r="H23">
        <f>IF((D23+E23)&gt;0,IF(A23="深港",(SUMIFS('期初批次'!$M$2:$M$41,'期初批次'!$B$2:$B$41,B23,'期初批次'!$I$2:$I$41,A23)+SUMIFS('逐笔辅助'!$J$2:$J$191,'逐笔辅助'!$A$2:$A$191,"流水",'逐笔辅助'!$D$2:$D$191,A23,'逐笔辅助'!$G$2:$G$191,"买入",'逐笔辅助'!$E$2:$E$191,B23))/(D23+E23),(SUMIFS('期初批次'!$E$2:$E$41,'期初批次'!$B$2:$B$41,B23,'期初批次'!$I$2:$I$41,A23)+SUMIFS('逐笔辅助'!$N$2:$N$191,'逐笔辅助'!$A$2:$A$191,"流水",'逐笔辅助'!$D$2:$D$191,A23,'逐笔辅助'!$E$2:$E$191,B23))/(D23+E23)),"")</f>
        <v/>
      </c>
      <c r="I23">
        <f>IF((D23+E23)&gt;0,(SUMIFS('期初批次'!$E$2:$E$41,'期初批次'!$B$2:$B$41,B23,'期初批次'!$I$2:$I$41,A23)+SUMIFS('逐笔辅助'!$N$2:$N$191,'逐笔辅助'!$A$2:$A$191,"流水",'逐笔辅助'!$D$2:$D$191,A23,'逐笔辅助'!$E$2:$E$191,B23))/(D23+E23),"")</f>
        <v/>
      </c>
      <c r="J23">
        <f>IFERROR(INDEX('期初批次'!$J$2:$J$41,MATCH(TRUE,('期初批次'!$B$2:$B$41=B23)*('期初批次'!$I$2:$I$41=A23),0)),IF(A23="深港",TEXT(--B23,"0000")&amp;".HK",IF(--B23&gt;=600000,TEXT(--B23,"000000")&amp;".SH",TEXT(--B23,"000000")&amp;".SZ")))</f>
        <v/>
      </c>
      <c r="K23">
        <f>IF(J23="","",IFERROR(INDEX('估值日行情'!$C$3:$C$61,MATCH(J23,'估值日行情'!$A$3:$A$61,0)),""))</f>
        <v/>
      </c>
      <c r="L23">
        <f>IF(A23="深港",IFERROR('FX_RATES_TO_CNY_HIST'!$B$3,""),1)</f>
        <v/>
      </c>
      <c r="M23">
        <f>IF(K23&lt;&gt;"",K23*L23,"")</f>
        <v/>
      </c>
      <c r="N23">
        <f>IF(G23&gt;0,G23*H23,0)</f>
        <v/>
      </c>
      <c r="O23">
        <f>IF(G23&gt;0,G23*I23,0)</f>
        <v/>
      </c>
      <c r="P23">
        <f>IF(G23&gt;0,G23*K23,0)</f>
        <v/>
      </c>
      <c r="Q23">
        <f>IF(G23&gt;0,G23*M23,0)</f>
        <v/>
      </c>
      <c r="R23">
        <f>IF(G23&gt;0,P23-N23,0)</f>
        <v/>
      </c>
      <c r="S23">
        <f>IF(G23&gt;0,Q23-T23,0)</f>
        <v/>
      </c>
      <c r="T23">
        <f>SUMIFS('期初批次'!$E$2:$E$41,'期初批次'!$B$2:$B$41,B23,'期初批次'!$I$2:$I$41,A23)+SUMIFS('逐笔辅助'!$N$2:$N$191,'逐笔辅助'!$A$2:$A$191,"流水",'逐笔辅助'!$D$2:$D$191,A23,'逐笔辅助'!$E$2:$E$191,B23)-SUMIFS('逐笔辅助'!$P$2:$P$191,'逐笔辅助'!$A$2:$A$191,"流水",'逐笔辅助'!$D$2:$D$191,A23,'逐笔辅助'!$E$2:$E$191,B23)+SUMIFS('逐笔辅助'!$U$2:$U$191,'逐笔辅助'!$A$2:$A$191,"流水",'逐笔辅助'!$D$2:$D$191,A23,'逐笔辅助'!$E$2:$E$191,B23)</f>
        <v/>
      </c>
      <c r="U23">
        <f>E23-F23</f>
        <v/>
      </c>
      <c r="V23">
        <f>IF(E23&gt;0,SUMIFS('逐笔辅助'!$N$2:$N$191,'逐笔辅助'!$A$2:$A$191,"流水",'逐笔辅助'!$D$2:$D$191,A23,'逐笔辅助'!$E$2:$E$191,B23)/E23,"")</f>
        <v/>
      </c>
      <c r="W23">
        <f>IF(AND(U23&gt;0,M23&lt;&gt;""),U23*(M23-V23),0)</f>
        <v/>
      </c>
    </row>
    <row r="24">
      <c r="A24" t="inlineStr">
        <is>
          <t>场内</t>
        </is>
      </c>
      <c r="B24" t="inlineStr">
        <is>
          <t>858</t>
        </is>
      </c>
      <c r="C24" t="inlineStr">
        <is>
          <t>五 粮 液</t>
        </is>
      </c>
      <c r="D24">
        <f>SUMIFS('期初批次'!$D$2:$D$41,'期初批次'!$B$2:$B$41,B24,'期初批次'!$I$2:$I$41,A24)</f>
        <v/>
      </c>
      <c r="E24">
        <f>SUMIFS('逐笔辅助'!$M$2:$M$191,'逐笔辅助'!$A$2:$A$191,"流水",'逐笔辅助'!$D$2:$D$191,A24,'逐笔辅助'!$E$2:$E$191,B24)</f>
        <v/>
      </c>
      <c r="F24">
        <f>SUMIFS('逐笔辅助'!$O$2:$O$191,'逐笔辅助'!$A$2:$A$191,"流水",'逐笔辅助'!$D$2:$D$191,A24,'逐笔辅助'!$E$2:$E$191,B24)</f>
        <v/>
      </c>
      <c r="G24">
        <f>D24+E24-F24</f>
        <v/>
      </c>
      <c r="H24">
        <f>IF((D24+E24)&gt;0,IF(A24="深港",(SUMIFS('期初批次'!$M$2:$M$41,'期初批次'!$B$2:$B$41,B24,'期初批次'!$I$2:$I$41,A24)+SUMIFS('逐笔辅助'!$J$2:$J$191,'逐笔辅助'!$A$2:$A$191,"流水",'逐笔辅助'!$D$2:$D$191,A24,'逐笔辅助'!$G$2:$G$191,"买入",'逐笔辅助'!$E$2:$E$191,B24))/(D24+E24),(SUMIFS('期初批次'!$E$2:$E$41,'期初批次'!$B$2:$B$41,B24,'期初批次'!$I$2:$I$41,A24)+SUMIFS('逐笔辅助'!$N$2:$N$191,'逐笔辅助'!$A$2:$A$191,"流水",'逐笔辅助'!$D$2:$D$191,A24,'逐笔辅助'!$E$2:$E$191,B24))/(D24+E24)),"")</f>
        <v/>
      </c>
      <c r="I24">
        <f>IF((D24+E24)&gt;0,(SUMIFS('期初批次'!$E$2:$E$41,'期初批次'!$B$2:$B$41,B24,'期初批次'!$I$2:$I$41,A24)+SUMIFS('逐笔辅助'!$N$2:$N$191,'逐笔辅助'!$A$2:$A$191,"流水",'逐笔辅助'!$D$2:$D$191,A24,'逐笔辅助'!$E$2:$E$191,B24))/(D24+E24),"")</f>
        <v/>
      </c>
      <c r="J24">
        <f>IFERROR(INDEX('期初批次'!$J$2:$J$41,MATCH(TRUE,('期初批次'!$B$2:$B$41=B24)*('期初批次'!$I$2:$I$41=A24),0)),IF(A24="深港",TEXT(--B24,"0000")&amp;".HK",IF(--B24&gt;=600000,TEXT(--B24,"000000")&amp;".SH",TEXT(--B24,"000000")&amp;".SZ")))</f>
        <v/>
      </c>
      <c r="K24">
        <f>IF(J24="","",IFERROR(INDEX('估值日行情'!$C$3:$C$61,MATCH(J24,'估值日行情'!$A$3:$A$61,0)),""))</f>
        <v/>
      </c>
      <c r="L24">
        <f>IF(A24="深港",IFERROR('FX_RATES_TO_CNY_HIST'!$B$3,""),1)</f>
        <v/>
      </c>
      <c r="M24">
        <f>IF(K24&lt;&gt;"",K24*L24,"")</f>
        <v/>
      </c>
      <c r="N24">
        <f>IF(G24&gt;0,G24*H24,0)</f>
        <v/>
      </c>
      <c r="O24">
        <f>IF(G24&gt;0,G24*I24,0)</f>
        <v/>
      </c>
      <c r="P24">
        <f>IF(G24&gt;0,G24*K24,0)</f>
        <v/>
      </c>
      <c r="Q24">
        <f>IF(G24&gt;0,G24*M24,0)</f>
        <v/>
      </c>
      <c r="R24">
        <f>IF(G24&gt;0,P24-N24,0)</f>
        <v/>
      </c>
      <c r="S24">
        <f>IF(G24&gt;0,Q24-T24,0)</f>
        <v/>
      </c>
      <c r="T24">
        <f>SUMIFS('期初批次'!$E$2:$E$41,'期初批次'!$B$2:$B$41,B24,'期初批次'!$I$2:$I$41,A24)+SUMIFS('逐笔辅助'!$N$2:$N$191,'逐笔辅助'!$A$2:$A$191,"流水",'逐笔辅助'!$D$2:$D$191,A24,'逐笔辅助'!$E$2:$E$191,B24)-SUMIFS('逐笔辅助'!$P$2:$P$191,'逐笔辅助'!$A$2:$A$191,"流水",'逐笔辅助'!$D$2:$D$191,A24,'逐笔辅助'!$E$2:$E$191,B24)+SUMIFS('逐笔辅助'!$U$2:$U$191,'逐笔辅助'!$A$2:$A$191,"流水",'逐笔辅助'!$D$2:$D$191,A24,'逐笔辅助'!$E$2:$E$191,B24)</f>
        <v/>
      </c>
      <c r="U24">
        <f>E24-F24</f>
        <v/>
      </c>
      <c r="V24">
        <f>IF(E24&gt;0,SUMIFS('逐笔辅助'!$N$2:$N$191,'逐笔辅助'!$A$2:$A$191,"流水",'逐笔辅助'!$D$2:$D$191,A24,'逐笔辅助'!$E$2:$E$191,B24)/E24,"")</f>
        <v/>
      </c>
      <c r="W24">
        <f>IF(AND(U24&gt;0,M24&lt;&gt;""),U24*(M24-V24),0)</f>
        <v/>
      </c>
    </row>
    <row r="25">
      <c r="A25" t="inlineStr">
        <is>
          <t>深港</t>
        </is>
      </c>
      <c r="B25" t="inlineStr">
        <is>
          <t>1071</t>
        </is>
      </c>
      <c r="C25" t="inlineStr">
        <is>
          <t>华电国际电力股份</t>
        </is>
      </c>
      <c r="D25">
        <f>SUMIFS('期初批次'!$D$2:$D$41,'期初批次'!$B$2:$B$41,B25,'期初批次'!$I$2:$I$41,A25)</f>
        <v/>
      </c>
      <c r="E25">
        <f>SUMIFS('逐笔辅助'!$M$2:$M$191,'逐笔辅助'!$A$2:$A$191,"流水",'逐笔辅助'!$D$2:$D$191,A25,'逐笔辅助'!$E$2:$E$191,B25)</f>
        <v/>
      </c>
      <c r="F25">
        <f>SUMIFS('逐笔辅助'!$O$2:$O$191,'逐笔辅助'!$A$2:$A$191,"流水",'逐笔辅助'!$D$2:$D$191,A25,'逐笔辅助'!$E$2:$E$191,B25)</f>
        <v/>
      </c>
      <c r="G25">
        <f>D25+E25-F25</f>
        <v/>
      </c>
      <c r="H25">
        <f>IF((D25+E25)&gt;0,IF(A25="深港",(SUMIFS('期初批次'!$M$2:$M$41,'期初批次'!$B$2:$B$41,B25,'期初批次'!$I$2:$I$41,A25)+SUMIFS('逐笔辅助'!$J$2:$J$191,'逐笔辅助'!$A$2:$A$191,"流水",'逐笔辅助'!$D$2:$D$191,A25,'逐笔辅助'!$G$2:$G$191,"买入",'逐笔辅助'!$E$2:$E$191,B25))/(D25+E25),(SUMIFS('期初批次'!$E$2:$E$41,'期初批次'!$B$2:$B$41,B25,'期初批次'!$I$2:$I$41,A25)+SUMIFS('逐笔辅助'!$N$2:$N$191,'逐笔辅助'!$A$2:$A$191,"流水",'逐笔辅助'!$D$2:$D$191,A25,'逐笔辅助'!$E$2:$E$191,B25))/(D25+E25)),"")</f>
        <v/>
      </c>
      <c r="I25">
        <f>IF((D25+E25)&gt;0,(SUMIFS('期初批次'!$E$2:$E$41,'期初批次'!$B$2:$B$41,B25,'期初批次'!$I$2:$I$41,A25)+SUMIFS('逐笔辅助'!$N$2:$N$191,'逐笔辅助'!$A$2:$A$191,"流水",'逐笔辅助'!$D$2:$D$191,A25,'逐笔辅助'!$E$2:$E$191,B25))/(D25+E25),"")</f>
        <v/>
      </c>
      <c r="J25">
        <f>IFERROR(INDEX('期初批次'!$J$2:$J$41,MATCH(TRUE,('期初批次'!$B$2:$B$41=B25)*('期初批次'!$I$2:$I$41=A25),0)),IF(A25="深港",TEXT(--B25,"0000")&amp;".HK",IF(--B25&gt;=600000,TEXT(--B25,"000000")&amp;".SH",TEXT(--B25,"000000")&amp;".SZ")))</f>
        <v/>
      </c>
      <c r="K25">
        <f>IF(J25="","",IFERROR(INDEX('估值日行情'!$C$3:$C$61,MATCH(J25,'估值日行情'!$A$3:$A$61,0)),""))</f>
        <v/>
      </c>
      <c r="L25">
        <f>IF(A25="深港",IFERROR('FX_RATES_TO_CNY_HIST'!$B$3,""),1)</f>
        <v/>
      </c>
      <c r="M25">
        <f>IF(K25&lt;&gt;"",K25*L25,"")</f>
        <v/>
      </c>
      <c r="N25">
        <f>IF(G25&gt;0,G25*H25,0)</f>
        <v/>
      </c>
      <c r="O25">
        <f>IF(G25&gt;0,G25*I25,0)</f>
        <v/>
      </c>
      <c r="P25">
        <f>IF(G25&gt;0,G25*K25,0)</f>
        <v/>
      </c>
      <c r="Q25">
        <f>IF(G25&gt;0,G25*M25,0)</f>
        <v/>
      </c>
      <c r="R25">
        <f>IF(G25&gt;0,P25-N25,0)</f>
        <v/>
      </c>
      <c r="S25">
        <f>IF(G25&gt;0,Q25-T25,0)</f>
        <v/>
      </c>
      <c r="T25">
        <f>SUMIFS('期初批次'!$E$2:$E$41,'期初批次'!$B$2:$B$41,B25,'期初批次'!$I$2:$I$41,A25)+SUMIFS('逐笔辅助'!$N$2:$N$191,'逐笔辅助'!$A$2:$A$191,"流水",'逐笔辅助'!$D$2:$D$191,A25,'逐笔辅助'!$E$2:$E$191,B25)-SUMIFS('逐笔辅助'!$P$2:$P$191,'逐笔辅助'!$A$2:$A$191,"流水",'逐笔辅助'!$D$2:$D$191,A25,'逐笔辅助'!$E$2:$E$191,B25)+SUMIFS('逐笔辅助'!$U$2:$U$191,'逐笔辅助'!$A$2:$A$191,"流水",'逐笔辅助'!$D$2:$D$191,A25,'逐笔辅助'!$E$2:$E$191,B25)</f>
        <v/>
      </c>
      <c r="U25">
        <f>E25-F25</f>
        <v/>
      </c>
      <c r="V25">
        <f>IF(E25&gt;0,SUMIFS('逐笔辅助'!$N$2:$N$191,'逐笔辅助'!$A$2:$A$191,"流水",'逐笔辅助'!$D$2:$D$191,A25,'逐笔辅助'!$E$2:$E$191,B25)/E25,"")</f>
        <v/>
      </c>
      <c r="W25">
        <f>IF(AND(U25&gt;0,M25&lt;&gt;""),U25*(M25-V25),0)</f>
        <v/>
      </c>
    </row>
    <row r="26">
      <c r="A26" t="inlineStr">
        <is>
          <t>深港</t>
        </is>
      </c>
      <c r="B26" t="inlineStr">
        <is>
          <t>1088</t>
        </is>
      </c>
      <c r="C26" t="inlineStr">
        <is>
          <t>中国神华</t>
        </is>
      </c>
      <c r="D26">
        <f>SUMIFS('期初批次'!$D$2:$D$41,'期初批次'!$B$2:$B$41,B26,'期初批次'!$I$2:$I$41,A26)</f>
        <v/>
      </c>
      <c r="E26">
        <f>SUMIFS('逐笔辅助'!$M$2:$M$191,'逐笔辅助'!$A$2:$A$191,"流水",'逐笔辅助'!$D$2:$D$191,A26,'逐笔辅助'!$E$2:$E$191,B26)</f>
        <v/>
      </c>
      <c r="F26">
        <f>SUMIFS('逐笔辅助'!$O$2:$O$191,'逐笔辅助'!$A$2:$A$191,"流水",'逐笔辅助'!$D$2:$D$191,A26,'逐笔辅助'!$E$2:$E$191,B26)</f>
        <v/>
      </c>
      <c r="G26">
        <f>D26+E26-F26</f>
        <v/>
      </c>
      <c r="H26">
        <f>IF((D26+E26)&gt;0,IF(A26="深港",(SUMIFS('期初批次'!$M$2:$M$41,'期初批次'!$B$2:$B$41,B26,'期初批次'!$I$2:$I$41,A26)+SUMIFS('逐笔辅助'!$J$2:$J$191,'逐笔辅助'!$A$2:$A$191,"流水",'逐笔辅助'!$D$2:$D$191,A26,'逐笔辅助'!$G$2:$G$191,"买入",'逐笔辅助'!$E$2:$E$191,B26))/(D26+E26),(SUMIFS('期初批次'!$E$2:$E$41,'期初批次'!$B$2:$B$41,B26,'期初批次'!$I$2:$I$41,A26)+SUMIFS('逐笔辅助'!$N$2:$N$191,'逐笔辅助'!$A$2:$A$191,"流水",'逐笔辅助'!$D$2:$D$191,A26,'逐笔辅助'!$E$2:$E$191,B26))/(D26+E26)),"")</f>
        <v/>
      </c>
      <c r="I26">
        <f>IF((D26+E26)&gt;0,(SUMIFS('期初批次'!$E$2:$E$41,'期初批次'!$B$2:$B$41,B26,'期初批次'!$I$2:$I$41,A26)+SUMIFS('逐笔辅助'!$N$2:$N$191,'逐笔辅助'!$A$2:$A$191,"流水",'逐笔辅助'!$D$2:$D$191,A26,'逐笔辅助'!$E$2:$E$191,B26))/(D26+E26),"")</f>
        <v/>
      </c>
      <c r="J26">
        <f>IFERROR(INDEX('期初批次'!$J$2:$J$41,MATCH(TRUE,('期初批次'!$B$2:$B$41=B26)*('期初批次'!$I$2:$I$41=A26),0)),IF(A26="深港",TEXT(--B26,"0000")&amp;".HK",IF(--B26&gt;=600000,TEXT(--B26,"000000")&amp;".SH",TEXT(--B26,"000000")&amp;".SZ")))</f>
        <v/>
      </c>
      <c r="K26">
        <f>IF(J26="","",IFERROR(INDEX('估值日行情'!$C$3:$C$61,MATCH(J26,'估值日行情'!$A$3:$A$61,0)),""))</f>
        <v/>
      </c>
      <c r="L26">
        <f>IF(A26="深港",IFERROR('FX_RATES_TO_CNY_HIST'!$B$3,""),1)</f>
        <v/>
      </c>
      <c r="M26">
        <f>IF(K26&lt;&gt;"",K26*L26,"")</f>
        <v/>
      </c>
      <c r="N26">
        <f>IF(G26&gt;0,G26*H26,0)</f>
        <v/>
      </c>
      <c r="O26">
        <f>IF(G26&gt;0,G26*I26,0)</f>
        <v/>
      </c>
      <c r="P26">
        <f>IF(G26&gt;0,G26*K26,0)</f>
        <v/>
      </c>
      <c r="Q26">
        <f>IF(G26&gt;0,G26*M26,0)</f>
        <v/>
      </c>
      <c r="R26">
        <f>IF(G26&gt;0,P26-N26,0)</f>
        <v/>
      </c>
      <c r="S26">
        <f>IF(G26&gt;0,Q26-T26,0)</f>
        <v/>
      </c>
      <c r="T26">
        <f>SUMIFS('期初批次'!$E$2:$E$41,'期初批次'!$B$2:$B$41,B26,'期初批次'!$I$2:$I$41,A26)+SUMIFS('逐笔辅助'!$N$2:$N$191,'逐笔辅助'!$A$2:$A$191,"流水",'逐笔辅助'!$D$2:$D$191,A26,'逐笔辅助'!$E$2:$E$191,B26)-SUMIFS('逐笔辅助'!$P$2:$P$191,'逐笔辅助'!$A$2:$A$191,"流水",'逐笔辅助'!$D$2:$D$191,A26,'逐笔辅助'!$E$2:$E$191,B26)+SUMIFS('逐笔辅助'!$U$2:$U$191,'逐笔辅助'!$A$2:$A$191,"流水",'逐笔辅助'!$D$2:$D$191,A26,'逐笔辅助'!$E$2:$E$191,B26)</f>
        <v/>
      </c>
      <c r="U26">
        <f>E26-F26</f>
        <v/>
      </c>
      <c r="V26">
        <f>IF(E26&gt;0,SUMIFS('逐笔辅助'!$N$2:$N$191,'逐笔辅助'!$A$2:$A$191,"流水",'逐笔辅助'!$D$2:$D$191,A26,'逐笔辅助'!$E$2:$E$191,B26)/E26,"")</f>
        <v/>
      </c>
      <c r="W26">
        <f>IF(AND(U26&gt;0,M26&lt;&gt;""),U26*(M26-V26),0)</f>
        <v/>
      </c>
    </row>
    <row r="27">
      <c r="A27" t="inlineStr">
        <is>
          <t>深港</t>
        </is>
      </c>
      <c r="B27" t="inlineStr">
        <is>
          <t>1368</t>
        </is>
      </c>
      <c r="C27" t="inlineStr">
        <is>
          <t>特步国际</t>
        </is>
      </c>
      <c r="D27">
        <f>SUMIFS('期初批次'!$D$2:$D$41,'期初批次'!$B$2:$B$41,B27,'期初批次'!$I$2:$I$41,A27)</f>
        <v/>
      </c>
      <c r="E27">
        <f>SUMIFS('逐笔辅助'!$M$2:$M$191,'逐笔辅助'!$A$2:$A$191,"流水",'逐笔辅助'!$D$2:$D$191,A27,'逐笔辅助'!$E$2:$E$191,B27)</f>
        <v/>
      </c>
      <c r="F27">
        <f>SUMIFS('逐笔辅助'!$O$2:$O$191,'逐笔辅助'!$A$2:$A$191,"流水",'逐笔辅助'!$D$2:$D$191,A27,'逐笔辅助'!$E$2:$E$191,B27)</f>
        <v/>
      </c>
      <c r="G27">
        <f>D27+E27-F27</f>
        <v/>
      </c>
      <c r="H27">
        <f>IF((D27+E27)&gt;0,IF(A27="深港",(SUMIFS('期初批次'!$M$2:$M$41,'期初批次'!$B$2:$B$41,B27,'期初批次'!$I$2:$I$41,A27)+SUMIFS('逐笔辅助'!$J$2:$J$191,'逐笔辅助'!$A$2:$A$191,"流水",'逐笔辅助'!$D$2:$D$191,A27,'逐笔辅助'!$G$2:$G$191,"买入",'逐笔辅助'!$E$2:$E$191,B27))/(D27+E27),(SUMIFS('期初批次'!$E$2:$E$41,'期初批次'!$B$2:$B$41,B27,'期初批次'!$I$2:$I$41,A27)+SUMIFS('逐笔辅助'!$N$2:$N$191,'逐笔辅助'!$A$2:$A$191,"流水",'逐笔辅助'!$D$2:$D$191,A27,'逐笔辅助'!$E$2:$E$191,B27))/(D27+E27)),"")</f>
        <v/>
      </c>
      <c r="I27">
        <f>IF((D27+E27)&gt;0,(SUMIFS('期初批次'!$E$2:$E$41,'期初批次'!$B$2:$B$41,B27,'期初批次'!$I$2:$I$41,A27)+SUMIFS('逐笔辅助'!$N$2:$N$191,'逐笔辅助'!$A$2:$A$191,"流水",'逐笔辅助'!$D$2:$D$191,A27,'逐笔辅助'!$E$2:$E$191,B27))/(D27+E27),"")</f>
        <v/>
      </c>
      <c r="J27">
        <f>IFERROR(INDEX('期初批次'!$J$2:$J$41,MATCH(TRUE,('期初批次'!$B$2:$B$41=B27)*('期初批次'!$I$2:$I$41=A27),0)),IF(A27="深港",TEXT(--B27,"0000")&amp;".HK",IF(--B27&gt;=600000,TEXT(--B27,"000000")&amp;".SH",TEXT(--B27,"000000")&amp;".SZ")))</f>
        <v/>
      </c>
      <c r="K27">
        <f>IF(J27="","",IFERROR(INDEX('估值日行情'!$C$3:$C$61,MATCH(J27,'估值日行情'!$A$3:$A$61,0)),""))</f>
        <v/>
      </c>
      <c r="L27">
        <f>IF(A27="深港",IFERROR('FX_RATES_TO_CNY_HIST'!$B$3,""),1)</f>
        <v/>
      </c>
      <c r="M27">
        <f>IF(K27&lt;&gt;"",K27*L27,"")</f>
        <v/>
      </c>
      <c r="N27">
        <f>IF(G27&gt;0,G27*H27,0)</f>
        <v/>
      </c>
      <c r="O27">
        <f>IF(G27&gt;0,G27*I27,0)</f>
        <v/>
      </c>
      <c r="P27">
        <f>IF(G27&gt;0,G27*K27,0)</f>
        <v/>
      </c>
      <c r="Q27">
        <f>IF(G27&gt;0,G27*M27,0)</f>
        <v/>
      </c>
      <c r="R27">
        <f>IF(G27&gt;0,P27-N27,0)</f>
        <v/>
      </c>
      <c r="S27">
        <f>IF(G27&gt;0,Q27-T27,0)</f>
        <v/>
      </c>
      <c r="T27">
        <f>SUMIFS('期初批次'!$E$2:$E$41,'期初批次'!$B$2:$B$41,B27,'期初批次'!$I$2:$I$41,A27)+SUMIFS('逐笔辅助'!$N$2:$N$191,'逐笔辅助'!$A$2:$A$191,"流水",'逐笔辅助'!$D$2:$D$191,A27,'逐笔辅助'!$E$2:$E$191,B27)-SUMIFS('逐笔辅助'!$P$2:$P$191,'逐笔辅助'!$A$2:$A$191,"流水",'逐笔辅助'!$D$2:$D$191,A27,'逐笔辅助'!$E$2:$E$191,B27)+SUMIFS('逐笔辅助'!$U$2:$U$191,'逐笔辅助'!$A$2:$A$191,"流水",'逐笔辅助'!$D$2:$D$191,A27,'逐笔辅助'!$E$2:$E$191,B27)</f>
        <v/>
      </c>
      <c r="U27">
        <f>E27-F27</f>
        <v/>
      </c>
      <c r="V27">
        <f>IF(E27&gt;0,SUMIFS('逐笔辅助'!$N$2:$N$191,'逐笔辅助'!$A$2:$A$191,"流水",'逐笔辅助'!$D$2:$D$191,A27,'逐笔辅助'!$E$2:$E$191,B27)/E27,"")</f>
        <v/>
      </c>
      <c r="W27">
        <f>IF(AND(U27&gt;0,M27&lt;&gt;""),U27*(M27-V27),0)</f>
        <v/>
      </c>
    </row>
    <row r="28">
      <c r="A28" t="inlineStr">
        <is>
          <t>深港</t>
        </is>
      </c>
      <c r="B28" t="inlineStr">
        <is>
          <t>1398</t>
        </is>
      </c>
      <c r="C28" t="inlineStr">
        <is>
          <t>工商银行</t>
        </is>
      </c>
      <c r="D28">
        <f>SUMIFS('期初批次'!$D$2:$D$41,'期初批次'!$B$2:$B$41,B28,'期初批次'!$I$2:$I$41,A28)</f>
        <v/>
      </c>
      <c r="E28">
        <f>SUMIFS('逐笔辅助'!$M$2:$M$191,'逐笔辅助'!$A$2:$A$191,"流水",'逐笔辅助'!$D$2:$D$191,A28,'逐笔辅助'!$E$2:$E$191,B28)</f>
        <v/>
      </c>
      <c r="F28">
        <f>SUMIFS('逐笔辅助'!$O$2:$O$191,'逐笔辅助'!$A$2:$A$191,"流水",'逐笔辅助'!$D$2:$D$191,A28,'逐笔辅助'!$E$2:$E$191,B28)</f>
        <v/>
      </c>
      <c r="G28">
        <f>D28+E28-F28</f>
        <v/>
      </c>
      <c r="H28">
        <f>IF((D28+E28)&gt;0,IF(A28="深港",(SUMIFS('期初批次'!$M$2:$M$41,'期初批次'!$B$2:$B$41,B28,'期初批次'!$I$2:$I$41,A28)+SUMIFS('逐笔辅助'!$J$2:$J$191,'逐笔辅助'!$A$2:$A$191,"流水",'逐笔辅助'!$D$2:$D$191,A28,'逐笔辅助'!$G$2:$G$191,"买入",'逐笔辅助'!$E$2:$E$191,B28))/(D28+E28),(SUMIFS('期初批次'!$E$2:$E$41,'期初批次'!$B$2:$B$41,B28,'期初批次'!$I$2:$I$41,A28)+SUMIFS('逐笔辅助'!$N$2:$N$191,'逐笔辅助'!$A$2:$A$191,"流水",'逐笔辅助'!$D$2:$D$191,A28,'逐笔辅助'!$E$2:$E$191,B28))/(D28+E28)),"")</f>
        <v/>
      </c>
      <c r="I28">
        <f>IF((D28+E28)&gt;0,(SUMIFS('期初批次'!$E$2:$E$41,'期初批次'!$B$2:$B$41,B28,'期初批次'!$I$2:$I$41,A28)+SUMIFS('逐笔辅助'!$N$2:$N$191,'逐笔辅助'!$A$2:$A$191,"流水",'逐笔辅助'!$D$2:$D$191,A28,'逐笔辅助'!$E$2:$E$191,B28))/(D28+E28),"")</f>
        <v/>
      </c>
      <c r="J28">
        <f>IFERROR(INDEX('期初批次'!$J$2:$J$41,MATCH(TRUE,('期初批次'!$B$2:$B$41=B28)*('期初批次'!$I$2:$I$41=A28),0)),IF(A28="深港",TEXT(--B28,"0000")&amp;".HK",IF(--B28&gt;=600000,TEXT(--B28,"000000")&amp;".SH",TEXT(--B28,"000000")&amp;".SZ")))</f>
        <v/>
      </c>
      <c r="K28">
        <f>IF(J28="","",IFERROR(INDEX('估值日行情'!$C$3:$C$61,MATCH(J28,'估值日行情'!$A$3:$A$61,0)),""))</f>
        <v/>
      </c>
      <c r="L28">
        <f>IF(A28="深港",IFERROR('FX_RATES_TO_CNY_HIST'!$B$3,""),1)</f>
        <v/>
      </c>
      <c r="M28">
        <f>IF(K28&lt;&gt;"",K28*L28,"")</f>
        <v/>
      </c>
      <c r="N28">
        <f>IF(G28&gt;0,G28*H28,0)</f>
        <v/>
      </c>
      <c r="O28">
        <f>IF(G28&gt;0,G28*I28,0)</f>
        <v/>
      </c>
      <c r="P28">
        <f>IF(G28&gt;0,G28*K28,0)</f>
        <v/>
      </c>
      <c r="Q28">
        <f>IF(G28&gt;0,G28*M28,0)</f>
        <v/>
      </c>
      <c r="R28">
        <f>IF(G28&gt;0,P28-N28,0)</f>
        <v/>
      </c>
      <c r="S28">
        <f>IF(G28&gt;0,Q28-T28,0)</f>
        <v/>
      </c>
      <c r="T28">
        <f>SUMIFS('期初批次'!$E$2:$E$41,'期初批次'!$B$2:$B$41,B28,'期初批次'!$I$2:$I$41,A28)+SUMIFS('逐笔辅助'!$N$2:$N$191,'逐笔辅助'!$A$2:$A$191,"流水",'逐笔辅助'!$D$2:$D$191,A28,'逐笔辅助'!$E$2:$E$191,B28)-SUMIFS('逐笔辅助'!$P$2:$P$191,'逐笔辅助'!$A$2:$A$191,"流水",'逐笔辅助'!$D$2:$D$191,A28,'逐笔辅助'!$E$2:$E$191,B28)+SUMIFS('逐笔辅助'!$U$2:$U$191,'逐笔辅助'!$A$2:$A$191,"流水",'逐笔辅助'!$D$2:$D$191,A28,'逐笔辅助'!$E$2:$E$191,B28)</f>
        <v/>
      </c>
      <c r="U28">
        <f>E28-F28</f>
        <v/>
      </c>
      <c r="V28">
        <f>IF(E28&gt;0,SUMIFS('逐笔辅助'!$N$2:$N$191,'逐笔辅助'!$A$2:$A$191,"流水",'逐笔辅助'!$D$2:$D$191,A28,'逐笔辅助'!$E$2:$E$191,B28)/E28,"")</f>
        <v/>
      </c>
      <c r="W28">
        <f>IF(AND(U28&gt;0,M28&lt;&gt;""),U28*(M28-V28),0)</f>
        <v/>
      </c>
    </row>
    <row r="29">
      <c r="A29" t="inlineStr">
        <is>
          <t>深港</t>
        </is>
      </c>
      <c r="B29" t="inlineStr">
        <is>
          <t>177</t>
        </is>
      </c>
      <c r="C29" t="inlineStr">
        <is>
          <t>江苏宁沪高速公路</t>
        </is>
      </c>
      <c r="D29">
        <f>SUMIFS('期初批次'!$D$2:$D$41,'期初批次'!$B$2:$B$41,B29,'期初批次'!$I$2:$I$41,A29)</f>
        <v/>
      </c>
      <c r="E29">
        <f>SUMIFS('逐笔辅助'!$M$2:$M$191,'逐笔辅助'!$A$2:$A$191,"流水",'逐笔辅助'!$D$2:$D$191,A29,'逐笔辅助'!$E$2:$E$191,B29)</f>
        <v/>
      </c>
      <c r="F29">
        <f>SUMIFS('逐笔辅助'!$O$2:$O$191,'逐笔辅助'!$A$2:$A$191,"流水",'逐笔辅助'!$D$2:$D$191,A29,'逐笔辅助'!$E$2:$E$191,B29)</f>
        <v/>
      </c>
      <c r="G29">
        <f>D29+E29-F29</f>
        <v/>
      </c>
      <c r="H29">
        <f>IF((D29+E29)&gt;0,IF(A29="深港",(SUMIFS('期初批次'!$M$2:$M$41,'期初批次'!$B$2:$B$41,B29,'期初批次'!$I$2:$I$41,A29)+SUMIFS('逐笔辅助'!$J$2:$J$191,'逐笔辅助'!$A$2:$A$191,"流水",'逐笔辅助'!$D$2:$D$191,A29,'逐笔辅助'!$G$2:$G$191,"买入",'逐笔辅助'!$E$2:$E$191,B29))/(D29+E29),(SUMIFS('期初批次'!$E$2:$E$41,'期初批次'!$B$2:$B$41,B29,'期初批次'!$I$2:$I$41,A29)+SUMIFS('逐笔辅助'!$N$2:$N$191,'逐笔辅助'!$A$2:$A$191,"流水",'逐笔辅助'!$D$2:$D$191,A29,'逐笔辅助'!$E$2:$E$191,B29))/(D29+E29)),"")</f>
        <v/>
      </c>
      <c r="I29">
        <f>IF((D29+E29)&gt;0,(SUMIFS('期初批次'!$E$2:$E$41,'期初批次'!$B$2:$B$41,B29,'期初批次'!$I$2:$I$41,A29)+SUMIFS('逐笔辅助'!$N$2:$N$191,'逐笔辅助'!$A$2:$A$191,"流水",'逐笔辅助'!$D$2:$D$191,A29,'逐笔辅助'!$E$2:$E$191,B29))/(D29+E29),"")</f>
        <v/>
      </c>
      <c r="J29">
        <f>IFERROR(INDEX('期初批次'!$J$2:$J$41,MATCH(TRUE,('期初批次'!$B$2:$B$41=B29)*('期初批次'!$I$2:$I$41=A29),0)),IF(A29="深港",TEXT(--B29,"0000")&amp;".HK",IF(--B29&gt;=600000,TEXT(--B29,"000000")&amp;".SH",TEXT(--B29,"000000")&amp;".SZ")))</f>
        <v/>
      </c>
      <c r="K29">
        <f>IF(J29="","",IFERROR(INDEX('估值日行情'!$C$3:$C$61,MATCH(J29,'估值日行情'!$A$3:$A$61,0)),""))</f>
        <v/>
      </c>
      <c r="L29">
        <f>IF(A29="深港",IFERROR('FX_RATES_TO_CNY_HIST'!$B$3,""),1)</f>
        <v/>
      </c>
      <c r="M29">
        <f>IF(K29&lt;&gt;"",K29*L29,"")</f>
        <v/>
      </c>
      <c r="N29">
        <f>IF(G29&gt;0,G29*H29,0)</f>
        <v/>
      </c>
      <c r="O29">
        <f>IF(G29&gt;0,G29*I29,0)</f>
        <v/>
      </c>
      <c r="P29">
        <f>IF(G29&gt;0,G29*K29,0)</f>
        <v/>
      </c>
      <c r="Q29">
        <f>IF(G29&gt;0,G29*M29,0)</f>
        <v/>
      </c>
      <c r="R29">
        <f>IF(G29&gt;0,P29-N29,0)</f>
        <v/>
      </c>
      <c r="S29">
        <f>IF(G29&gt;0,Q29-T29,0)</f>
        <v/>
      </c>
      <c r="T29">
        <f>SUMIFS('期初批次'!$E$2:$E$41,'期初批次'!$B$2:$B$41,B29,'期初批次'!$I$2:$I$41,A29)+SUMIFS('逐笔辅助'!$N$2:$N$191,'逐笔辅助'!$A$2:$A$191,"流水",'逐笔辅助'!$D$2:$D$191,A29,'逐笔辅助'!$E$2:$E$191,B29)-SUMIFS('逐笔辅助'!$P$2:$P$191,'逐笔辅助'!$A$2:$A$191,"流水",'逐笔辅助'!$D$2:$D$191,A29,'逐笔辅助'!$E$2:$E$191,B29)+SUMIFS('逐笔辅助'!$U$2:$U$191,'逐笔辅助'!$A$2:$A$191,"流水",'逐笔辅助'!$D$2:$D$191,A29,'逐笔辅助'!$E$2:$E$191,B29)</f>
        <v/>
      </c>
      <c r="U29">
        <f>E29-F29</f>
        <v/>
      </c>
      <c r="V29">
        <f>IF(E29&gt;0,SUMIFS('逐笔辅助'!$N$2:$N$191,'逐笔辅助'!$A$2:$A$191,"流水",'逐笔辅助'!$D$2:$D$191,A29,'逐笔辅助'!$E$2:$E$191,B29)/E29,"")</f>
        <v/>
      </c>
      <c r="W29">
        <f>IF(AND(U29&gt;0,M29&lt;&gt;""),U29*(M29-V29),0)</f>
        <v/>
      </c>
    </row>
    <row r="30">
      <c r="A30" t="inlineStr">
        <is>
          <t>深港</t>
        </is>
      </c>
      <c r="B30" t="inlineStr">
        <is>
          <t>2016</t>
        </is>
      </c>
      <c r="C30" t="inlineStr">
        <is>
          <t>浙商银行</t>
        </is>
      </c>
      <c r="D30">
        <f>SUMIFS('期初批次'!$D$2:$D$41,'期初批次'!$B$2:$B$41,B30,'期初批次'!$I$2:$I$41,A30)</f>
        <v/>
      </c>
      <c r="E30">
        <f>SUMIFS('逐笔辅助'!$M$2:$M$191,'逐笔辅助'!$A$2:$A$191,"流水",'逐笔辅助'!$D$2:$D$191,A30,'逐笔辅助'!$E$2:$E$191,B30)</f>
        <v/>
      </c>
      <c r="F30">
        <f>SUMIFS('逐笔辅助'!$O$2:$O$191,'逐笔辅助'!$A$2:$A$191,"流水",'逐笔辅助'!$D$2:$D$191,A30,'逐笔辅助'!$E$2:$E$191,B30)</f>
        <v/>
      </c>
      <c r="G30">
        <f>D30+E30-F30</f>
        <v/>
      </c>
      <c r="H30">
        <f>IF((D30+E30)&gt;0,IF(A30="深港",(SUMIFS('期初批次'!$M$2:$M$41,'期初批次'!$B$2:$B$41,B30,'期初批次'!$I$2:$I$41,A30)+SUMIFS('逐笔辅助'!$J$2:$J$191,'逐笔辅助'!$A$2:$A$191,"流水",'逐笔辅助'!$D$2:$D$191,A30,'逐笔辅助'!$G$2:$G$191,"买入",'逐笔辅助'!$E$2:$E$191,B30))/(D30+E30),(SUMIFS('期初批次'!$E$2:$E$41,'期初批次'!$B$2:$B$41,B30,'期初批次'!$I$2:$I$41,A30)+SUMIFS('逐笔辅助'!$N$2:$N$191,'逐笔辅助'!$A$2:$A$191,"流水",'逐笔辅助'!$D$2:$D$191,A30,'逐笔辅助'!$E$2:$E$191,B30))/(D30+E30)),"")</f>
        <v/>
      </c>
      <c r="I30">
        <f>IF((D30+E30)&gt;0,(SUMIFS('期初批次'!$E$2:$E$41,'期初批次'!$B$2:$B$41,B30,'期初批次'!$I$2:$I$41,A30)+SUMIFS('逐笔辅助'!$N$2:$N$191,'逐笔辅助'!$A$2:$A$191,"流水",'逐笔辅助'!$D$2:$D$191,A30,'逐笔辅助'!$E$2:$E$191,B30))/(D30+E30),"")</f>
        <v/>
      </c>
      <c r="J30">
        <f>IFERROR(INDEX('期初批次'!$J$2:$J$41,MATCH(TRUE,('期初批次'!$B$2:$B$41=B30)*('期初批次'!$I$2:$I$41=A30),0)),IF(A30="深港",TEXT(--B30,"0000")&amp;".HK",IF(--B30&gt;=600000,TEXT(--B30,"000000")&amp;".SH",TEXT(--B30,"000000")&amp;".SZ")))</f>
        <v/>
      </c>
      <c r="K30">
        <f>IF(J30="","",IFERROR(INDEX('估值日行情'!$C$3:$C$61,MATCH(J30,'估值日行情'!$A$3:$A$61,0)),""))</f>
        <v/>
      </c>
      <c r="L30">
        <f>IF(A30="深港",IFERROR('FX_RATES_TO_CNY_HIST'!$B$3,""),1)</f>
        <v/>
      </c>
      <c r="M30">
        <f>IF(K30&lt;&gt;"",K30*L30,"")</f>
        <v/>
      </c>
      <c r="N30">
        <f>IF(G30&gt;0,G30*H30,0)</f>
        <v/>
      </c>
      <c r="O30">
        <f>IF(G30&gt;0,G30*I30,0)</f>
        <v/>
      </c>
      <c r="P30">
        <f>IF(G30&gt;0,G30*K30,0)</f>
        <v/>
      </c>
      <c r="Q30">
        <f>IF(G30&gt;0,G30*M30,0)</f>
        <v/>
      </c>
      <c r="R30">
        <f>IF(G30&gt;0,P30-N30,0)</f>
        <v/>
      </c>
      <c r="S30">
        <f>IF(G30&gt;0,Q30-T30,0)</f>
        <v/>
      </c>
      <c r="T30">
        <f>SUMIFS('期初批次'!$E$2:$E$41,'期初批次'!$B$2:$B$41,B30,'期初批次'!$I$2:$I$41,A30)+SUMIFS('逐笔辅助'!$N$2:$N$191,'逐笔辅助'!$A$2:$A$191,"流水",'逐笔辅助'!$D$2:$D$191,A30,'逐笔辅助'!$E$2:$E$191,B30)-SUMIFS('逐笔辅助'!$P$2:$P$191,'逐笔辅助'!$A$2:$A$191,"流水",'逐笔辅助'!$D$2:$D$191,A30,'逐笔辅助'!$E$2:$E$191,B30)+SUMIFS('逐笔辅助'!$U$2:$U$191,'逐笔辅助'!$A$2:$A$191,"流水",'逐笔辅助'!$D$2:$D$191,A30,'逐笔辅助'!$E$2:$E$191,B30)</f>
        <v/>
      </c>
      <c r="U30">
        <f>E30-F30</f>
        <v/>
      </c>
      <c r="V30">
        <f>IF(E30&gt;0,SUMIFS('逐笔辅助'!$N$2:$N$191,'逐笔辅助'!$A$2:$A$191,"流水",'逐笔辅助'!$D$2:$D$191,A30,'逐笔辅助'!$E$2:$E$191,B30)/E30,"")</f>
        <v/>
      </c>
      <c r="W30">
        <f>IF(AND(U30&gt;0,M30&lt;&gt;""),U30*(M30-V30),0)</f>
        <v/>
      </c>
    </row>
    <row r="31">
      <c r="A31" t="inlineStr">
        <is>
          <t>深港</t>
        </is>
      </c>
      <c r="B31" t="inlineStr">
        <is>
          <t>2020</t>
        </is>
      </c>
      <c r="C31" t="inlineStr">
        <is>
          <t>安踏体育</t>
        </is>
      </c>
      <c r="D31">
        <f>SUMIFS('期初批次'!$D$2:$D$41,'期初批次'!$B$2:$B$41,B31,'期初批次'!$I$2:$I$41,A31)</f>
        <v/>
      </c>
      <c r="E31">
        <f>SUMIFS('逐笔辅助'!$M$2:$M$191,'逐笔辅助'!$A$2:$A$191,"流水",'逐笔辅助'!$D$2:$D$191,A31,'逐笔辅助'!$E$2:$E$191,B31)</f>
        <v/>
      </c>
      <c r="F31">
        <f>SUMIFS('逐笔辅助'!$O$2:$O$191,'逐笔辅助'!$A$2:$A$191,"流水",'逐笔辅助'!$D$2:$D$191,A31,'逐笔辅助'!$E$2:$E$191,B31)</f>
        <v/>
      </c>
      <c r="G31">
        <f>D31+E31-F31</f>
        <v/>
      </c>
      <c r="H31">
        <f>IF((D31+E31)&gt;0,IF(A31="深港",(SUMIFS('期初批次'!$M$2:$M$41,'期初批次'!$B$2:$B$41,B31,'期初批次'!$I$2:$I$41,A31)+SUMIFS('逐笔辅助'!$J$2:$J$191,'逐笔辅助'!$A$2:$A$191,"流水",'逐笔辅助'!$D$2:$D$191,A31,'逐笔辅助'!$G$2:$G$191,"买入",'逐笔辅助'!$E$2:$E$191,B31))/(D31+E31),(SUMIFS('期初批次'!$E$2:$E$41,'期初批次'!$B$2:$B$41,B31,'期初批次'!$I$2:$I$41,A31)+SUMIFS('逐笔辅助'!$N$2:$N$191,'逐笔辅助'!$A$2:$A$191,"流水",'逐笔辅助'!$D$2:$D$191,A31,'逐笔辅助'!$E$2:$E$191,B31))/(D31+E31)),"")</f>
        <v/>
      </c>
      <c r="I31">
        <f>IF((D31+E31)&gt;0,(SUMIFS('期初批次'!$E$2:$E$41,'期初批次'!$B$2:$B$41,B31,'期初批次'!$I$2:$I$41,A31)+SUMIFS('逐笔辅助'!$N$2:$N$191,'逐笔辅助'!$A$2:$A$191,"流水",'逐笔辅助'!$D$2:$D$191,A31,'逐笔辅助'!$E$2:$E$191,B31))/(D31+E31),"")</f>
        <v/>
      </c>
      <c r="J31">
        <f>IFERROR(INDEX('期初批次'!$J$2:$J$41,MATCH(TRUE,('期初批次'!$B$2:$B$41=B31)*('期初批次'!$I$2:$I$41=A31),0)),IF(A31="深港",TEXT(--B31,"0000")&amp;".HK",IF(--B31&gt;=600000,TEXT(--B31,"000000")&amp;".SH",TEXT(--B31,"000000")&amp;".SZ")))</f>
        <v/>
      </c>
      <c r="K31">
        <f>IF(J31="","",IFERROR(INDEX('估值日行情'!$C$3:$C$61,MATCH(J31,'估值日行情'!$A$3:$A$61,0)),""))</f>
        <v/>
      </c>
      <c r="L31">
        <f>IF(A31="深港",IFERROR('FX_RATES_TO_CNY_HIST'!$B$3,""),1)</f>
        <v/>
      </c>
      <c r="M31">
        <f>IF(K31&lt;&gt;"",K31*L31,"")</f>
        <v/>
      </c>
      <c r="N31">
        <f>IF(G31&gt;0,G31*H31,0)</f>
        <v/>
      </c>
      <c r="O31">
        <f>IF(G31&gt;0,G31*I31,0)</f>
        <v/>
      </c>
      <c r="P31">
        <f>IF(G31&gt;0,G31*K31,0)</f>
        <v/>
      </c>
      <c r="Q31">
        <f>IF(G31&gt;0,G31*M31,0)</f>
        <v/>
      </c>
      <c r="R31">
        <f>IF(G31&gt;0,P31-N31,0)</f>
        <v/>
      </c>
      <c r="S31">
        <f>IF(G31&gt;0,Q31-T31,0)</f>
        <v/>
      </c>
      <c r="T31">
        <f>SUMIFS('期初批次'!$E$2:$E$41,'期初批次'!$B$2:$B$41,B31,'期初批次'!$I$2:$I$41,A31)+SUMIFS('逐笔辅助'!$N$2:$N$191,'逐笔辅助'!$A$2:$A$191,"流水",'逐笔辅助'!$D$2:$D$191,A31,'逐笔辅助'!$E$2:$E$191,B31)-SUMIFS('逐笔辅助'!$P$2:$P$191,'逐笔辅助'!$A$2:$A$191,"流水",'逐笔辅助'!$D$2:$D$191,A31,'逐笔辅助'!$E$2:$E$191,B31)+SUMIFS('逐笔辅助'!$U$2:$U$191,'逐笔辅助'!$A$2:$A$191,"流水",'逐笔辅助'!$D$2:$D$191,A31,'逐笔辅助'!$E$2:$E$191,B31)</f>
        <v/>
      </c>
      <c r="U31">
        <f>E31-F31</f>
        <v/>
      </c>
      <c r="V31">
        <f>IF(E31&gt;0,SUMIFS('逐笔辅助'!$N$2:$N$191,'逐笔辅助'!$A$2:$A$191,"流水",'逐笔辅助'!$D$2:$D$191,A31,'逐笔辅助'!$E$2:$E$191,B31)/E31,"")</f>
        <v/>
      </c>
      <c r="W31">
        <f>IF(AND(U31&gt;0,M31&lt;&gt;""),U31*(M31-V31),0)</f>
        <v/>
      </c>
    </row>
    <row r="32">
      <c r="A32" t="inlineStr">
        <is>
          <t>深港</t>
        </is>
      </c>
      <c r="B32" t="inlineStr">
        <is>
          <t>2318</t>
        </is>
      </c>
      <c r="C32" t="inlineStr">
        <is>
          <t>中国平安</t>
        </is>
      </c>
      <c r="D32">
        <f>SUMIFS('期初批次'!$D$2:$D$41,'期初批次'!$B$2:$B$41,B32,'期初批次'!$I$2:$I$41,A32)</f>
        <v/>
      </c>
      <c r="E32">
        <f>SUMIFS('逐笔辅助'!$M$2:$M$191,'逐笔辅助'!$A$2:$A$191,"流水",'逐笔辅助'!$D$2:$D$191,A32,'逐笔辅助'!$E$2:$E$191,B32)</f>
        <v/>
      </c>
      <c r="F32">
        <f>SUMIFS('逐笔辅助'!$O$2:$O$191,'逐笔辅助'!$A$2:$A$191,"流水",'逐笔辅助'!$D$2:$D$191,A32,'逐笔辅助'!$E$2:$E$191,B32)</f>
        <v/>
      </c>
      <c r="G32">
        <f>D32+E32-F32</f>
        <v/>
      </c>
      <c r="H32">
        <f>IF((D32+E32)&gt;0,IF(A32="深港",(SUMIFS('期初批次'!$M$2:$M$41,'期初批次'!$B$2:$B$41,B32,'期初批次'!$I$2:$I$41,A32)+SUMIFS('逐笔辅助'!$J$2:$J$191,'逐笔辅助'!$A$2:$A$191,"流水",'逐笔辅助'!$D$2:$D$191,A32,'逐笔辅助'!$G$2:$G$191,"买入",'逐笔辅助'!$E$2:$E$191,B32))/(D32+E32),(SUMIFS('期初批次'!$E$2:$E$41,'期初批次'!$B$2:$B$41,B32,'期初批次'!$I$2:$I$41,A32)+SUMIFS('逐笔辅助'!$N$2:$N$191,'逐笔辅助'!$A$2:$A$191,"流水",'逐笔辅助'!$D$2:$D$191,A32,'逐笔辅助'!$E$2:$E$191,B32))/(D32+E32)),"")</f>
        <v/>
      </c>
      <c r="I32">
        <f>IF((D32+E32)&gt;0,(SUMIFS('期初批次'!$E$2:$E$41,'期初批次'!$B$2:$B$41,B32,'期初批次'!$I$2:$I$41,A32)+SUMIFS('逐笔辅助'!$N$2:$N$191,'逐笔辅助'!$A$2:$A$191,"流水",'逐笔辅助'!$D$2:$D$191,A32,'逐笔辅助'!$E$2:$E$191,B32))/(D32+E32),"")</f>
        <v/>
      </c>
      <c r="J32">
        <f>IFERROR(INDEX('期初批次'!$J$2:$J$41,MATCH(TRUE,('期初批次'!$B$2:$B$41=B32)*('期初批次'!$I$2:$I$41=A32),0)),IF(A32="深港",TEXT(--B32,"0000")&amp;".HK",IF(--B32&gt;=600000,TEXT(--B32,"000000")&amp;".SH",TEXT(--B32,"000000")&amp;".SZ")))</f>
        <v/>
      </c>
      <c r="K32">
        <f>IF(J32="","",IFERROR(INDEX('估值日行情'!$C$3:$C$61,MATCH(J32,'估值日行情'!$A$3:$A$61,0)),""))</f>
        <v/>
      </c>
      <c r="L32">
        <f>IF(A32="深港",IFERROR('FX_RATES_TO_CNY_HIST'!$B$3,""),1)</f>
        <v/>
      </c>
      <c r="M32">
        <f>IF(K32&lt;&gt;"",K32*L32,"")</f>
        <v/>
      </c>
      <c r="N32">
        <f>IF(G32&gt;0,G32*H32,0)</f>
        <v/>
      </c>
      <c r="O32">
        <f>IF(G32&gt;0,G32*I32,0)</f>
        <v/>
      </c>
      <c r="P32">
        <f>IF(G32&gt;0,G32*K32,0)</f>
        <v/>
      </c>
      <c r="Q32">
        <f>IF(G32&gt;0,G32*M32,0)</f>
        <v/>
      </c>
      <c r="R32">
        <f>IF(G32&gt;0,P32-N32,0)</f>
        <v/>
      </c>
      <c r="S32">
        <f>IF(G32&gt;0,Q32-T32,0)</f>
        <v/>
      </c>
      <c r="T32">
        <f>SUMIFS('期初批次'!$E$2:$E$41,'期初批次'!$B$2:$B$41,B32,'期初批次'!$I$2:$I$41,A32)+SUMIFS('逐笔辅助'!$N$2:$N$191,'逐笔辅助'!$A$2:$A$191,"流水",'逐笔辅助'!$D$2:$D$191,A32,'逐笔辅助'!$E$2:$E$191,B32)-SUMIFS('逐笔辅助'!$P$2:$P$191,'逐笔辅助'!$A$2:$A$191,"流水",'逐笔辅助'!$D$2:$D$191,A32,'逐笔辅助'!$E$2:$E$191,B32)+SUMIFS('逐笔辅助'!$U$2:$U$191,'逐笔辅助'!$A$2:$A$191,"流水",'逐笔辅助'!$D$2:$D$191,A32,'逐笔辅助'!$E$2:$E$191,B32)</f>
        <v/>
      </c>
      <c r="U32">
        <f>E32-F32</f>
        <v/>
      </c>
      <c r="V32">
        <f>IF(E32&gt;0,SUMIFS('逐笔辅助'!$N$2:$N$191,'逐笔辅助'!$A$2:$A$191,"流水",'逐笔辅助'!$D$2:$D$191,A32,'逐笔辅助'!$E$2:$E$191,B32)/E32,"")</f>
        <v/>
      </c>
      <c r="W32">
        <f>IF(AND(U32&gt;0,M32&lt;&gt;""),U32*(M32-V32),0)</f>
        <v/>
      </c>
    </row>
    <row r="33">
      <c r="A33" t="inlineStr">
        <is>
          <t>深港</t>
        </is>
      </c>
      <c r="B33" t="inlineStr">
        <is>
          <t>2319</t>
        </is>
      </c>
      <c r="C33" t="inlineStr">
        <is>
          <t>蒙牛乳业</t>
        </is>
      </c>
      <c r="D33">
        <f>SUMIFS('期初批次'!$D$2:$D$41,'期初批次'!$B$2:$B$41,B33,'期初批次'!$I$2:$I$41,A33)</f>
        <v/>
      </c>
      <c r="E33">
        <f>SUMIFS('逐笔辅助'!$M$2:$M$191,'逐笔辅助'!$A$2:$A$191,"流水",'逐笔辅助'!$D$2:$D$191,A33,'逐笔辅助'!$E$2:$E$191,B33)</f>
        <v/>
      </c>
      <c r="F33">
        <f>SUMIFS('逐笔辅助'!$O$2:$O$191,'逐笔辅助'!$A$2:$A$191,"流水",'逐笔辅助'!$D$2:$D$191,A33,'逐笔辅助'!$E$2:$E$191,B33)</f>
        <v/>
      </c>
      <c r="G33">
        <f>D33+E33-F33</f>
        <v/>
      </c>
      <c r="H33">
        <f>IF((D33+E33)&gt;0,IF(A33="深港",(SUMIFS('期初批次'!$M$2:$M$41,'期初批次'!$B$2:$B$41,B33,'期初批次'!$I$2:$I$41,A33)+SUMIFS('逐笔辅助'!$J$2:$J$191,'逐笔辅助'!$A$2:$A$191,"流水",'逐笔辅助'!$D$2:$D$191,A33,'逐笔辅助'!$G$2:$G$191,"买入",'逐笔辅助'!$E$2:$E$191,B33))/(D33+E33),(SUMIFS('期初批次'!$E$2:$E$41,'期初批次'!$B$2:$B$41,B33,'期初批次'!$I$2:$I$41,A33)+SUMIFS('逐笔辅助'!$N$2:$N$191,'逐笔辅助'!$A$2:$A$191,"流水",'逐笔辅助'!$D$2:$D$191,A33,'逐笔辅助'!$E$2:$E$191,B33))/(D33+E33)),"")</f>
        <v/>
      </c>
      <c r="I33">
        <f>IF((D33+E33)&gt;0,(SUMIFS('期初批次'!$E$2:$E$41,'期初批次'!$B$2:$B$41,B33,'期初批次'!$I$2:$I$41,A33)+SUMIFS('逐笔辅助'!$N$2:$N$191,'逐笔辅助'!$A$2:$A$191,"流水",'逐笔辅助'!$D$2:$D$191,A33,'逐笔辅助'!$E$2:$E$191,B33))/(D33+E33),"")</f>
        <v/>
      </c>
      <c r="J33">
        <f>IFERROR(INDEX('期初批次'!$J$2:$J$41,MATCH(TRUE,('期初批次'!$B$2:$B$41=B33)*('期初批次'!$I$2:$I$41=A33),0)),IF(A33="深港",TEXT(--B33,"0000")&amp;".HK",IF(--B33&gt;=600000,TEXT(--B33,"000000")&amp;".SH",TEXT(--B33,"000000")&amp;".SZ")))</f>
        <v/>
      </c>
      <c r="K33">
        <f>IF(J33="","",IFERROR(INDEX('估值日行情'!$C$3:$C$61,MATCH(J33,'估值日行情'!$A$3:$A$61,0)),""))</f>
        <v/>
      </c>
      <c r="L33">
        <f>IF(A33="深港",IFERROR('FX_RATES_TO_CNY_HIST'!$B$3,""),1)</f>
        <v/>
      </c>
      <c r="M33">
        <f>IF(K33&lt;&gt;"",K33*L33,"")</f>
        <v/>
      </c>
      <c r="N33">
        <f>IF(G33&gt;0,G33*H33,0)</f>
        <v/>
      </c>
      <c r="O33">
        <f>IF(G33&gt;0,G33*I33,0)</f>
        <v/>
      </c>
      <c r="P33">
        <f>IF(G33&gt;0,G33*K33,0)</f>
        <v/>
      </c>
      <c r="Q33">
        <f>IF(G33&gt;0,G33*M33,0)</f>
        <v/>
      </c>
      <c r="R33">
        <f>IF(G33&gt;0,P33-N33,0)</f>
        <v/>
      </c>
      <c r="S33">
        <f>IF(G33&gt;0,Q33-T33,0)</f>
        <v/>
      </c>
      <c r="T33">
        <f>SUMIFS('期初批次'!$E$2:$E$41,'期初批次'!$B$2:$B$41,B33,'期初批次'!$I$2:$I$41,A33)+SUMIFS('逐笔辅助'!$N$2:$N$191,'逐笔辅助'!$A$2:$A$191,"流水",'逐笔辅助'!$D$2:$D$191,A33,'逐笔辅助'!$E$2:$E$191,B33)-SUMIFS('逐笔辅助'!$P$2:$P$191,'逐笔辅助'!$A$2:$A$191,"流水",'逐笔辅助'!$D$2:$D$191,A33,'逐笔辅助'!$E$2:$E$191,B33)+SUMIFS('逐笔辅助'!$U$2:$U$191,'逐笔辅助'!$A$2:$A$191,"流水",'逐笔辅助'!$D$2:$D$191,A33,'逐笔辅助'!$E$2:$E$191,B33)</f>
        <v/>
      </c>
      <c r="U33">
        <f>E33-F33</f>
        <v/>
      </c>
      <c r="V33">
        <f>IF(E33&gt;0,SUMIFS('逐笔辅助'!$N$2:$N$191,'逐笔辅助'!$A$2:$A$191,"流水",'逐笔辅助'!$D$2:$D$191,A33,'逐笔辅助'!$E$2:$E$191,B33)/E33,"")</f>
        <v/>
      </c>
      <c r="W33">
        <f>IF(AND(U33&gt;0,M33&lt;&gt;""),U33*(M33-V33),0)</f>
        <v/>
      </c>
    </row>
    <row r="34">
      <c r="A34" t="inlineStr">
        <is>
          <t>深港</t>
        </is>
      </c>
      <c r="B34" t="inlineStr">
        <is>
          <t>2607</t>
        </is>
      </c>
      <c r="C34" t="inlineStr">
        <is>
          <t>上海医药</t>
        </is>
      </c>
      <c r="D34">
        <f>SUMIFS('期初批次'!$D$2:$D$41,'期初批次'!$B$2:$B$41,B34,'期初批次'!$I$2:$I$41,A34)</f>
        <v/>
      </c>
      <c r="E34">
        <f>SUMIFS('逐笔辅助'!$M$2:$M$191,'逐笔辅助'!$A$2:$A$191,"流水",'逐笔辅助'!$D$2:$D$191,A34,'逐笔辅助'!$E$2:$E$191,B34)</f>
        <v/>
      </c>
      <c r="F34">
        <f>SUMIFS('逐笔辅助'!$O$2:$O$191,'逐笔辅助'!$A$2:$A$191,"流水",'逐笔辅助'!$D$2:$D$191,A34,'逐笔辅助'!$E$2:$E$191,B34)</f>
        <v/>
      </c>
      <c r="G34">
        <f>D34+E34-F34</f>
        <v/>
      </c>
      <c r="H34">
        <f>IF((D34+E34)&gt;0,IF(A34="深港",(SUMIFS('期初批次'!$M$2:$M$41,'期初批次'!$B$2:$B$41,B34,'期初批次'!$I$2:$I$41,A34)+SUMIFS('逐笔辅助'!$J$2:$J$191,'逐笔辅助'!$A$2:$A$191,"流水",'逐笔辅助'!$D$2:$D$191,A34,'逐笔辅助'!$G$2:$G$191,"买入",'逐笔辅助'!$E$2:$E$191,B34))/(D34+E34),(SUMIFS('期初批次'!$E$2:$E$41,'期初批次'!$B$2:$B$41,B34,'期初批次'!$I$2:$I$41,A34)+SUMIFS('逐笔辅助'!$N$2:$N$191,'逐笔辅助'!$A$2:$A$191,"流水",'逐笔辅助'!$D$2:$D$191,A34,'逐笔辅助'!$E$2:$E$191,B34))/(D34+E34)),"")</f>
        <v/>
      </c>
      <c r="I34">
        <f>IF((D34+E34)&gt;0,(SUMIFS('期初批次'!$E$2:$E$41,'期初批次'!$B$2:$B$41,B34,'期初批次'!$I$2:$I$41,A34)+SUMIFS('逐笔辅助'!$N$2:$N$191,'逐笔辅助'!$A$2:$A$191,"流水",'逐笔辅助'!$D$2:$D$191,A34,'逐笔辅助'!$E$2:$E$191,B34))/(D34+E34),"")</f>
        <v/>
      </c>
      <c r="J34">
        <f>IFERROR(INDEX('期初批次'!$J$2:$J$41,MATCH(TRUE,('期初批次'!$B$2:$B$41=B34)*('期初批次'!$I$2:$I$41=A34),0)),IF(A34="深港",TEXT(--B34,"0000")&amp;".HK",IF(--B34&gt;=600000,TEXT(--B34,"000000")&amp;".SH",TEXT(--B34,"000000")&amp;".SZ")))</f>
        <v/>
      </c>
      <c r="K34">
        <f>IF(J34="","",IFERROR(INDEX('估值日行情'!$C$3:$C$61,MATCH(J34,'估值日行情'!$A$3:$A$61,0)),""))</f>
        <v/>
      </c>
      <c r="L34">
        <f>IF(A34="深港",IFERROR('FX_RATES_TO_CNY_HIST'!$B$3,""),1)</f>
        <v/>
      </c>
      <c r="M34">
        <f>IF(K34&lt;&gt;"",K34*L34,"")</f>
        <v/>
      </c>
      <c r="N34">
        <f>IF(G34&gt;0,G34*H34,0)</f>
        <v/>
      </c>
      <c r="O34">
        <f>IF(G34&gt;0,G34*I34,0)</f>
        <v/>
      </c>
      <c r="P34">
        <f>IF(G34&gt;0,G34*K34,0)</f>
        <v/>
      </c>
      <c r="Q34">
        <f>IF(G34&gt;0,G34*M34,0)</f>
        <v/>
      </c>
      <c r="R34">
        <f>IF(G34&gt;0,P34-N34,0)</f>
        <v/>
      </c>
      <c r="S34">
        <f>IF(G34&gt;0,Q34-T34,0)</f>
        <v/>
      </c>
      <c r="T34">
        <f>SUMIFS('期初批次'!$E$2:$E$41,'期初批次'!$B$2:$B$41,B34,'期初批次'!$I$2:$I$41,A34)+SUMIFS('逐笔辅助'!$N$2:$N$191,'逐笔辅助'!$A$2:$A$191,"流水",'逐笔辅助'!$D$2:$D$191,A34,'逐笔辅助'!$E$2:$E$191,B34)-SUMIFS('逐笔辅助'!$P$2:$P$191,'逐笔辅助'!$A$2:$A$191,"流水",'逐笔辅助'!$D$2:$D$191,A34,'逐笔辅助'!$E$2:$E$191,B34)+SUMIFS('逐笔辅助'!$U$2:$U$191,'逐笔辅助'!$A$2:$A$191,"流水",'逐笔辅助'!$D$2:$D$191,A34,'逐笔辅助'!$E$2:$E$191,B34)</f>
        <v/>
      </c>
      <c r="U34">
        <f>E34-F34</f>
        <v/>
      </c>
      <c r="V34">
        <f>IF(E34&gt;0,SUMIFS('逐笔辅助'!$N$2:$N$191,'逐笔辅助'!$A$2:$A$191,"流水",'逐笔辅助'!$D$2:$D$191,A34,'逐笔辅助'!$E$2:$E$191,B34)/E34,"")</f>
        <v/>
      </c>
      <c r="W34">
        <f>IF(AND(U34&gt;0,M34&lt;&gt;""),U34*(M34-V34),0)</f>
        <v/>
      </c>
    </row>
    <row r="35">
      <c r="A35" t="inlineStr">
        <is>
          <t>深港</t>
        </is>
      </c>
      <c r="B35" t="inlineStr">
        <is>
          <t>300</t>
        </is>
      </c>
      <c r="C35" t="inlineStr">
        <is>
          <t>美的集团</t>
        </is>
      </c>
      <c r="D35">
        <f>SUMIFS('期初批次'!$D$2:$D$41,'期初批次'!$B$2:$B$41,B35,'期初批次'!$I$2:$I$41,A35)</f>
        <v/>
      </c>
      <c r="E35">
        <f>SUMIFS('逐笔辅助'!$M$2:$M$191,'逐笔辅助'!$A$2:$A$191,"流水",'逐笔辅助'!$D$2:$D$191,A35,'逐笔辅助'!$E$2:$E$191,B35)</f>
        <v/>
      </c>
      <c r="F35">
        <f>SUMIFS('逐笔辅助'!$O$2:$O$191,'逐笔辅助'!$A$2:$A$191,"流水",'逐笔辅助'!$D$2:$D$191,A35,'逐笔辅助'!$E$2:$E$191,B35)</f>
        <v/>
      </c>
      <c r="G35">
        <f>D35+E35-F35</f>
        <v/>
      </c>
      <c r="H35">
        <f>IF((D35+E35)&gt;0,IF(A35="深港",(SUMIFS('期初批次'!$M$2:$M$41,'期初批次'!$B$2:$B$41,B35,'期初批次'!$I$2:$I$41,A35)+SUMIFS('逐笔辅助'!$J$2:$J$191,'逐笔辅助'!$A$2:$A$191,"流水",'逐笔辅助'!$D$2:$D$191,A35,'逐笔辅助'!$G$2:$G$191,"买入",'逐笔辅助'!$E$2:$E$191,B35))/(D35+E35),(SUMIFS('期初批次'!$E$2:$E$41,'期初批次'!$B$2:$B$41,B35,'期初批次'!$I$2:$I$41,A35)+SUMIFS('逐笔辅助'!$N$2:$N$191,'逐笔辅助'!$A$2:$A$191,"流水",'逐笔辅助'!$D$2:$D$191,A35,'逐笔辅助'!$E$2:$E$191,B35))/(D35+E35)),"")</f>
        <v/>
      </c>
      <c r="I35">
        <f>IF((D35+E35)&gt;0,(SUMIFS('期初批次'!$E$2:$E$41,'期初批次'!$B$2:$B$41,B35,'期初批次'!$I$2:$I$41,A35)+SUMIFS('逐笔辅助'!$N$2:$N$191,'逐笔辅助'!$A$2:$A$191,"流水",'逐笔辅助'!$D$2:$D$191,A35,'逐笔辅助'!$E$2:$E$191,B35))/(D35+E35),"")</f>
        <v/>
      </c>
      <c r="J35">
        <f>IFERROR(INDEX('期初批次'!$J$2:$J$41,MATCH(TRUE,('期初批次'!$B$2:$B$41=B35)*('期初批次'!$I$2:$I$41=A35),0)),IF(A35="深港",TEXT(--B35,"0000")&amp;".HK",IF(--B35&gt;=600000,TEXT(--B35,"000000")&amp;".SH",TEXT(--B35,"000000")&amp;".SZ")))</f>
        <v/>
      </c>
      <c r="K35">
        <f>IF(J35="","",IFERROR(INDEX('估值日行情'!$C$3:$C$61,MATCH(J35,'估值日行情'!$A$3:$A$61,0)),""))</f>
        <v/>
      </c>
      <c r="L35">
        <f>IF(A35="深港",IFERROR('FX_RATES_TO_CNY_HIST'!$B$3,""),1)</f>
        <v/>
      </c>
      <c r="M35">
        <f>IF(K35&lt;&gt;"",K35*L35,"")</f>
        <v/>
      </c>
      <c r="N35">
        <f>IF(G35&gt;0,G35*H35,0)</f>
        <v/>
      </c>
      <c r="O35">
        <f>IF(G35&gt;0,G35*I35,0)</f>
        <v/>
      </c>
      <c r="P35">
        <f>IF(G35&gt;0,G35*K35,0)</f>
        <v/>
      </c>
      <c r="Q35">
        <f>IF(G35&gt;0,G35*M35,0)</f>
        <v/>
      </c>
      <c r="R35">
        <f>IF(G35&gt;0,P35-N35,0)</f>
        <v/>
      </c>
      <c r="S35">
        <f>IF(G35&gt;0,Q35-T35,0)</f>
        <v/>
      </c>
      <c r="T35">
        <f>SUMIFS('期初批次'!$E$2:$E$41,'期初批次'!$B$2:$B$41,B35,'期初批次'!$I$2:$I$41,A35)+SUMIFS('逐笔辅助'!$N$2:$N$191,'逐笔辅助'!$A$2:$A$191,"流水",'逐笔辅助'!$D$2:$D$191,A35,'逐笔辅助'!$E$2:$E$191,B35)-SUMIFS('逐笔辅助'!$P$2:$P$191,'逐笔辅助'!$A$2:$A$191,"流水",'逐笔辅助'!$D$2:$D$191,A35,'逐笔辅助'!$E$2:$E$191,B35)+SUMIFS('逐笔辅助'!$U$2:$U$191,'逐笔辅助'!$A$2:$A$191,"流水",'逐笔辅助'!$D$2:$D$191,A35,'逐笔辅助'!$E$2:$E$191,B35)</f>
        <v/>
      </c>
      <c r="U35">
        <f>E35-F35</f>
        <v/>
      </c>
      <c r="V35">
        <f>IF(E35&gt;0,SUMIFS('逐笔辅助'!$N$2:$N$191,'逐笔辅助'!$A$2:$A$191,"流水",'逐笔辅助'!$D$2:$D$191,A35,'逐笔辅助'!$E$2:$E$191,B35)/E35,"")</f>
        <v/>
      </c>
      <c r="W35">
        <f>IF(AND(U35&gt;0,M35&lt;&gt;""),U35*(M35-V35),0)</f>
        <v/>
      </c>
    </row>
    <row r="36">
      <c r="A36" t="inlineStr">
        <is>
          <t>深港</t>
        </is>
      </c>
      <c r="B36" t="inlineStr">
        <is>
          <t>322</t>
        </is>
      </c>
      <c r="C36" t="inlineStr">
        <is>
          <t>康师傅控股</t>
        </is>
      </c>
      <c r="D36">
        <f>SUMIFS('期初批次'!$D$2:$D$41,'期初批次'!$B$2:$B$41,B36,'期初批次'!$I$2:$I$41,A36)</f>
        <v/>
      </c>
      <c r="E36">
        <f>SUMIFS('逐笔辅助'!$M$2:$M$191,'逐笔辅助'!$A$2:$A$191,"流水",'逐笔辅助'!$D$2:$D$191,A36,'逐笔辅助'!$E$2:$E$191,B36)</f>
        <v/>
      </c>
      <c r="F36">
        <f>SUMIFS('逐笔辅助'!$O$2:$O$191,'逐笔辅助'!$A$2:$A$191,"流水",'逐笔辅助'!$D$2:$D$191,A36,'逐笔辅助'!$E$2:$E$191,B36)</f>
        <v/>
      </c>
      <c r="G36">
        <f>D36+E36-F36</f>
        <v/>
      </c>
      <c r="H36">
        <f>IF((D36+E36)&gt;0,IF(A36="深港",(SUMIFS('期初批次'!$M$2:$M$41,'期初批次'!$B$2:$B$41,B36,'期初批次'!$I$2:$I$41,A36)+SUMIFS('逐笔辅助'!$J$2:$J$191,'逐笔辅助'!$A$2:$A$191,"流水",'逐笔辅助'!$D$2:$D$191,A36,'逐笔辅助'!$G$2:$G$191,"买入",'逐笔辅助'!$E$2:$E$191,B36))/(D36+E36),(SUMIFS('期初批次'!$E$2:$E$41,'期初批次'!$B$2:$B$41,B36,'期初批次'!$I$2:$I$41,A36)+SUMIFS('逐笔辅助'!$N$2:$N$191,'逐笔辅助'!$A$2:$A$191,"流水",'逐笔辅助'!$D$2:$D$191,A36,'逐笔辅助'!$E$2:$E$191,B36))/(D36+E36)),"")</f>
        <v/>
      </c>
      <c r="I36">
        <f>IF((D36+E36)&gt;0,(SUMIFS('期初批次'!$E$2:$E$41,'期初批次'!$B$2:$B$41,B36,'期初批次'!$I$2:$I$41,A36)+SUMIFS('逐笔辅助'!$N$2:$N$191,'逐笔辅助'!$A$2:$A$191,"流水",'逐笔辅助'!$D$2:$D$191,A36,'逐笔辅助'!$E$2:$E$191,B36))/(D36+E36),"")</f>
        <v/>
      </c>
      <c r="J36">
        <f>IFERROR(INDEX('期初批次'!$J$2:$J$41,MATCH(TRUE,('期初批次'!$B$2:$B$41=B36)*('期初批次'!$I$2:$I$41=A36),0)),IF(A36="深港",TEXT(--B36,"0000")&amp;".HK",IF(--B36&gt;=600000,TEXT(--B36,"000000")&amp;".SH",TEXT(--B36,"000000")&amp;".SZ")))</f>
        <v/>
      </c>
      <c r="K36">
        <f>IF(J36="","",IFERROR(INDEX('估值日行情'!$C$3:$C$61,MATCH(J36,'估值日行情'!$A$3:$A$61,0)),""))</f>
        <v/>
      </c>
      <c r="L36">
        <f>IF(A36="深港",IFERROR('FX_RATES_TO_CNY_HIST'!$B$3,""),1)</f>
        <v/>
      </c>
      <c r="M36">
        <f>IF(K36&lt;&gt;"",K36*L36,"")</f>
        <v/>
      </c>
      <c r="N36">
        <f>IF(G36&gt;0,G36*H36,0)</f>
        <v/>
      </c>
      <c r="O36">
        <f>IF(G36&gt;0,G36*I36,0)</f>
        <v/>
      </c>
      <c r="P36">
        <f>IF(G36&gt;0,G36*K36,0)</f>
        <v/>
      </c>
      <c r="Q36">
        <f>IF(G36&gt;0,G36*M36,0)</f>
        <v/>
      </c>
      <c r="R36">
        <f>IF(G36&gt;0,P36-N36,0)</f>
        <v/>
      </c>
      <c r="S36">
        <f>IF(G36&gt;0,Q36-T36,0)</f>
        <v/>
      </c>
      <c r="T36">
        <f>SUMIFS('期初批次'!$E$2:$E$41,'期初批次'!$B$2:$B$41,B36,'期初批次'!$I$2:$I$41,A36)+SUMIFS('逐笔辅助'!$N$2:$N$191,'逐笔辅助'!$A$2:$A$191,"流水",'逐笔辅助'!$D$2:$D$191,A36,'逐笔辅助'!$E$2:$E$191,B36)-SUMIFS('逐笔辅助'!$P$2:$P$191,'逐笔辅助'!$A$2:$A$191,"流水",'逐笔辅助'!$D$2:$D$191,A36,'逐笔辅助'!$E$2:$E$191,B36)+SUMIFS('逐笔辅助'!$U$2:$U$191,'逐笔辅助'!$A$2:$A$191,"流水",'逐笔辅助'!$D$2:$D$191,A36,'逐笔辅助'!$E$2:$E$191,B36)</f>
        <v/>
      </c>
      <c r="U36">
        <f>E36-F36</f>
        <v/>
      </c>
      <c r="V36">
        <f>IF(E36&gt;0,SUMIFS('逐笔辅助'!$N$2:$N$191,'逐笔辅助'!$A$2:$A$191,"流水",'逐笔辅助'!$D$2:$D$191,A36,'逐笔辅助'!$E$2:$E$191,B36)/E36,"")</f>
        <v/>
      </c>
      <c r="W36">
        <f>IF(AND(U36&gt;0,M36&lt;&gt;""),U36*(M36-V36),0)</f>
        <v/>
      </c>
    </row>
    <row r="37">
      <c r="A37" t="inlineStr">
        <is>
          <t>深港</t>
        </is>
      </c>
      <c r="B37" t="inlineStr">
        <is>
          <t>3328</t>
        </is>
      </c>
      <c r="C37" t="inlineStr">
        <is>
          <t>交通银行</t>
        </is>
      </c>
      <c r="D37">
        <f>SUMIFS('期初批次'!$D$2:$D$41,'期初批次'!$B$2:$B$41,B37,'期初批次'!$I$2:$I$41,A37)</f>
        <v/>
      </c>
      <c r="E37">
        <f>SUMIFS('逐笔辅助'!$M$2:$M$191,'逐笔辅助'!$A$2:$A$191,"流水",'逐笔辅助'!$D$2:$D$191,A37,'逐笔辅助'!$E$2:$E$191,B37)</f>
        <v/>
      </c>
      <c r="F37">
        <f>SUMIFS('逐笔辅助'!$O$2:$O$191,'逐笔辅助'!$A$2:$A$191,"流水",'逐笔辅助'!$D$2:$D$191,A37,'逐笔辅助'!$E$2:$E$191,B37)</f>
        <v/>
      </c>
      <c r="G37">
        <f>D37+E37-F37</f>
        <v/>
      </c>
      <c r="H37">
        <f>IF((D37+E37)&gt;0,IF(A37="深港",(SUMIFS('期初批次'!$M$2:$M$41,'期初批次'!$B$2:$B$41,B37,'期初批次'!$I$2:$I$41,A37)+SUMIFS('逐笔辅助'!$J$2:$J$191,'逐笔辅助'!$A$2:$A$191,"流水",'逐笔辅助'!$D$2:$D$191,A37,'逐笔辅助'!$G$2:$G$191,"买入",'逐笔辅助'!$E$2:$E$191,B37))/(D37+E37),(SUMIFS('期初批次'!$E$2:$E$41,'期初批次'!$B$2:$B$41,B37,'期初批次'!$I$2:$I$41,A37)+SUMIFS('逐笔辅助'!$N$2:$N$191,'逐笔辅助'!$A$2:$A$191,"流水",'逐笔辅助'!$D$2:$D$191,A37,'逐笔辅助'!$E$2:$E$191,B37))/(D37+E37)),"")</f>
        <v/>
      </c>
      <c r="I37">
        <f>IF((D37+E37)&gt;0,(SUMIFS('期初批次'!$E$2:$E$41,'期初批次'!$B$2:$B$41,B37,'期初批次'!$I$2:$I$41,A37)+SUMIFS('逐笔辅助'!$N$2:$N$191,'逐笔辅助'!$A$2:$A$191,"流水",'逐笔辅助'!$D$2:$D$191,A37,'逐笔辅助'!$E$2:$E$191,B37))/(D37+E37),"")</f>
        <v/>
      </c>
      <c r="J37">
        <f>IFERROR(INDEX('期初批次'!$J$2:$J$41,MATCH(TRUE,('期初批次'!$B$2:$B$41=B37)*('期初批次'!$I$2:$I$41=A37),0)),IF(A37="深港",TEXT(--B37,"0000")&amp;".HK",IF(--B37&gt;=600000,TEXT(--B37,"000000")&amp;".SH",TEXT(--B37,"000000")&amp;".SZ")))</f>
        <v/>
      </c>
      <c r="K37">
        <f>IF(J37="","",IFERROR(INDEX('估值日行情'!$C$3:$C$61,MATCH(J37,'估值日行情'!$A$3:$A$61,0)),""))</f>
        <v/>
      </c>
      <c r="L37">
        <f>IF(A37="深港",IFERROR('FX_RATES_TO_CNY_HIST'!$B$3,""),1)</f>
        <v/>
      </c>
      <c r="M37">
        <f>IF(K37&lt;&gt;"",K37*L37,"")</f>
        <v/>
      </c>
      <c r="N37">
        <f>IF(G37&gt;0,G37*H37,0)</f>
        <v/>
      </c>
      <c r="O37">
        <f>IF(G37&gt;0,G37*I37,0)</f>
        <v/>
      </c>
      <c r="P37">
        <f>IF(G37&gt;0,G37*K37,0)</f>
        <v/>
      </c>
      <c r="Q37">
        <f>IF(G37&gt;0,G37*M37,0)</f>
        <v/>
      </c>
      <c r="R37">
        <f>IF(G37&gt;0,P37-N37,0)</f>
        <v/>
      </c>
      <c r="S37">
        <f>IF(G37&gt;0,Q37-T37,0)</f>
        <v/>
      </c>
      <c r="T37">
        <f>SUMIFS('期初批次'!$E$2:$E$41,'期初批次'!$B$2:$B$41,B37,'期初批次'!$I$2:$I$41,A37)+SUMIFS('逐笔辅助'!$N$2:$N$191,'逐笔辅助'!$A$2:$A$191,"流水",'逐笔辅助'!$D$2:$D$191,A37,'逐笔辅助'!$E$2:$E$191,B37)-SUMIFS('逐笔辅助'!$P$2:$P$191,'逐笔辅助'!$A$2:$A$191,"流水",'逐笔辅助'!$D$2:$D$191,A37,'逐笔辅助'!$E$2:$E$191,B37)+SUMIFS('逐笔辅助'!$U$2:$U$191,'逐笔辅助'!$A$2:$A$191,"流水",'逐笔辅助'!$D$2:$D$191,A37,'逐笔辅助'!$E$2:$E$191,B37)</f>
        <v/>
      </c>
      <c r="U37">
        <f>E37-F37</f>
        <v/>
      </c>
      <c r="V37">
        <f>IF(E37&gt;0,SUMIFS('逐笔辅助'!$N$2:$N$191,'逐笔辅助'!$A$2:$A$191,"流水",'逐笔辅助'!$D$2:$D$191,A37,'逐笔辅助'!$E$2:$E$191,B37)/E37,"")</f>
        <v/>
      </c>
      <c r="W37">
        <f>IF(AND(U37&gt;0,M37&lt;&gt;""),U37*(M37-V37),0)</f>
        <v/>
      </c>
    </row>
    <row r="38">
      <c r="A38" t="inlineStr">
        <is>
          <t>深港</t>
        </is>
      </c>
      <c r="B38" t="inlineStr">
        <is>
          <t>371</t>
        </is>
      </c>
      <c r="C38" t="inlineStr">
        <is>
          <t>北控水务集团</t>
        </is>
      </c>
      <c r="D38">
        <f>SUMIFS('期初批次'!$D$2:$D$41,'期初批次'!$B$2:$B$41,B38,'期初批次'!$I$2:$I$41,A38)</f>
        <v/>
      </c>
      <c r="E38">
        <f>SUMIFS('逐笔辅助'!$M$2:$M$191,'逐笔辅助'!$A$2:$A$191,"流水",'逐笔辅助'!$D$2:$D$191,A38,'逐笔辅助'!$E$2:$E$191,B38)</f>
        <v/>
      </c>
      <c r="F38">
        <f>SUMIFS('逐笔辅助'!$O$2:$O$191,'逐笔辅助'!$A$2:$A$191,"流水",'逐笔辅助'!$D$2:$D$191,A38,'逐笔辅助'!$E$2:$E$191,B38)</f>
        <v/>
      </c>
      <c r="G38">
        <f>D38+E38-F38</f>
        <v/>
      </c>
      <c r="H38">
        <f>IF((D38+E38)&gt;0,IF(A38="深港",(SUMIFS('期初批次'!$M$2:$M$41,'期初批次'!$B$2:$B$41,B38,'期初批次'!$I$2:$I$41,A38)+SUMIFS('逐笔辅助'!$J$2:$J$191,'逐笔辅助'!$A$2:$A$191,"流水",'逐笔辅助'!$D$2:$D$191,A38,'逐笔辅助'!$G$2:$G$191,"买入",'逐笔辅助'!$E$2:$E$191,B38))/(D38+E38),(SUMIFS('期初批次'!$E$2:$E$41,'期初批次'!$B$2:$B$41,B38,'期初批次'!$I$2:$I$41,A38)+SUMIFS('逐笔辅助'!$N$2:$N$191,'逐笔辅助'!$A$2:$A$191,"流水",'逐笔辅助'!$D$2:$D$191,A38,'逐笔辅助'!$E$2:$E$191,B38))/(D38+E38)),"")</f>
        <v/>
      </c>
      <c r="I38">
        <f>IF((D38+E38)&gt;0,(SUMIFS('期初批次'!$E$2:$E$41,'期初批次'!$B$2:$B$41,B38,'期初批次'!$I$2:$I$41,A38)+SUMIFS('逐笔辅助'!$N$2:$N$191,'逐笔辅助'!$A$2:$A$191,"流水",'逐笔辅助'!$D$2:$D$191,A38,'逐笔辅助'!$E$2:$E$191,B38))/(D38+E38),"")</f>
        <v/>
      </c>
      <c r="J38">
        <f>IFERROR(INDEX('期初批次'!$J$2:$J$41,MATCH(TRUE,('期初批次'!$B$2:$B$41=B38)*('期初批次'!$I$2:$I$41=A38),0)),IF(A38="深港",TEXT(--B38,"0000")&amp;".HK",IF(--B38&gt;=600000,TEXT(--B38,"000000")&amp;".SH",TEXT(--B38,"000000")&amp;".SZ")))</f>
        <v/>
      </c>
      <c r="K38">
        <f>IF(J38="","",IFERROR(INDEX('估值日行情'!$C$3:$C$61,MATCH(J38,'估值日行情'!$A$3:$A$61,0)),""))</f>
        <v/>
      </c>
      <c r="L38">
        <f>IF(A38="深港",IFERROR('FX_RATES_TO_CNY_HIST'!$B$3,""),1)</f>
        <v/>
      </c>
      <c r="M38">
        <f>IF(K38&lt;&gt;"",K38*L38,"")</f>
        <v/>
      </c>
      <c r="N38">
        <f>IF(G38&gt;0,G38*H38,0)</f>
        <v/>
      </c>
      <c r="O38">
        <f>IF(G38&gt;0,G38*I38,0)</f>
        <v/>
      </c>
      <c r="P38">
        <f>IF(G38&gt;0,G38*K38,0)</f>
        <v/>
      </c>
      <c r="Q38">
        <f>IF(G38&gt;0,G38*M38,0)</f>
        <v/>
      </c>
      <c r="R38">
        <f>IF(G38&gt;0,P38-N38,0)</f>
        <v/>
      </c>
      <c r="S38">
        <f>IF(G38&gt;0,Q38-T38,0)</f>
        <v/>
      </c>
      <c r="T38">
        <f>SUMIFS('期初批次'!$E$2:$E$41,'期初批次'!$B$2:$B$41,B38,'期初批次'!$I$2:$I$41,A38)+SUMIFS('逐笔辅助'!$N$2:$N$191,'逐笔辅助'!$A$2:$A$191,"流水",'逐笔辅助'!$D$2:$D$191,A38,'逐笔辅助'!$E$2:$E$191,B38)-SUMIFS('逐笔辅助'!$P$2:$P$191,'逐笔辅助'!$A$2:$A$191,"流水",'逐笔辅助'!$D$2:$D$191,A38,'逐笔辅助'!$E$2:$E$191,B38)+SUMIFS('逐笔辅助'!$U$2:$U$191,'逐笔辅助'!$A$2:$A$191,"流水",'逐笔辅助'!$D$2:$D$191,A38,'逐笔辅助'!$E$2:$E$191,B38)</f>
        <v/>
      </c>
      <c r="U38">
        <f>E38-F38</f>
        <v/>
      </c>
      <c r="V38">
        <f>IF(E38&gt;0,SUMIFS('逐笔辅助'!$N$2:$N$191,'逐笔辅助'!$A$2:$A$191,"流水",'逐笔辅助'!$D$2:$D$191,A38,'逐笔辅助'!$E$2:$E$191,B38)/E38,"")</f>
        <v/>
      </c>
      <c r="W38">
        <f>IF(AND(U38&gt;0,M38&lt;&gt;""),U38*(M38-V38),0)</f>
        <v/>
      </c>
    </row>
    <row r="39">
      <c r="A39" t="inlineStr">
        <is>
          <t>深港</t>
        </is>
      </c>
      <c r="B39" t="inlineStr">
        <is>
          <t>3933</t>
        </is>
      </c>
      <c r="C39" t="inlineStr">
        <is>
          <t>联邦制药</t>
        </is>
      </c>
      <c r="D39">
        <f>SUMIFS('期初批次'!$D$2:$D$41,'期初批次'!$B$2:$B$41,B39,'期初批次'!$I$2:$I$41,A39)</f>
        <v/>
      </c>
      <c r="E39">
        <f>SUMIFS('逐笔辅助'!$M$2:$M$191,'逐笔辅助'!$A$2:$A$191,"流水",'逐笔辅助'!$D$2:$D$191,A39,'逐笔辅助'!$E$2:$E$191,B39)</f>
        <v/>
      </c>
      <c r="F39">
        <f>SUMIFS('逐笔辅助'!$O$2:$O$191,'逐笔辅助'!$A$2:$A$191,"流水",'逐笔辅助'!$D$2:$D$191,A39,'逐笔辅助'!$E$2:$E$191,B39)</f>
        <v/>
      </c>
      <c r="G39">
        <f>D39+E39-F39</f>
        <v/>
      </c>
      <c r="H39">
        <f>IF((D39+E39)&gt;0,IF(A39="深港",(SUMIFS('期初批次'!$M$2:$M$41,'期初批次'!$B$2:$B$41,B39,'期初批次'!$I$2:$I$41,A39)+SUMIFS('逐笔辅助'!$J$2:$J$191,'逐笔辅助'!$A$2:$A$191,"流水",'逐笔辅助'!$D$2:$D$191,A39,'逐笔辅助'!$G$2:$G$191,"买入",'逐笔辅助'!$E$2:$E$191,B39))/(D39+E39),(SUMIFS('期初批次'!$E$2:$E$41,'期初批次'!$B$2:$B$41,B39,'期初批次'!$I$2:$I$41,A39)+SUMIFS('逐笔辅助'!$N$2:$N$191,'逐笔辅助'!$A$2:$A$191,"流水",'逐笔辅助'!$D$2:$D$191,A39,'逐笔辅助'!$E$2:$E$191,B39))/(D39+E39)),"")</f>
        <v/>
      </c>
      <c r="I39">
        <f>IF((D39+E39)&gt;0,(SUMIFS('期初批次'!$E$2:$E$41,'期初批次'!$B$2:$B$41,B39,'期初批次'!$I$2:$I$41,A39)+SUMIFS('逐笔辅助'!$N$2:$N$191,'逐笔辅助'!$A$2:$A$191,"流水",'逐笔辅助'!$D$2:$D$191,A39,'逐笔辅助'!$E$2:$E$191,B39))/(D39+E39),"")</f>
        <v/>
      </c>
      <c r="J39">
        <f>IFERROR(INDEX('期初批次'!$J$2:$J$41,MATCH(TRUE,('期初批次'!$B$2:$B$41=B39)*('期初批次'!$I$2:$I$41=A39),0)),IF(A39="深港",TEXT(--B39,"0000")&amp;".HK",IF(--B39&gt;=600000,TEXT(--B39,"000000")&amp;".SH",TEXT(--B39,"000000")&amp;".SZ")))</f>
        <v/>
      </c>
      <c r="K39">
        <f>IF(J39="","",IFERROR(INDEX('估值日行情'!$C$3:$C$61,MATCH(J39,'估值日行情'!$A$3:$A$61,0)),""))</f>
        <v/>
      </c>
      <c r="L39">
        <f>IF(A39="深港",IFERROR('FX_RATES_TO_CNY_HIST'!$B$3,""),1)</f>
        <v/>
      </c>
      <c r="M39">
        <f>IF(K39&lt;&gt;"",K39*L39,"")</f>
        <v/>
      </c>
      <c r="N39">
        <f>IF(G39&gt;0,G39*H39,0)</f>
        <v/>
      </c>
      <c r="O39">
        <f>IF(G39&gt;0,G39*I39,0)</f>
        <v/>
      </c>
      <c r="P39">
        <f>IF(G39&gt;0,G39*K39,0)</f>
        <v/>
      </c>
      <c r="Q39">
        <f>IF(G39&gt;0,G39*M39,0)</f>
        <v/>
      </c>
      <c r="R39">
        <f>IF(G39&gt;0,P39-N39,0)</f>
        <v/>
      </c>
      <c r="S39">
        <f>IF(G39&gt;0,Q39-T39,0)</f>
        <v/>
      </c>
      <c r="T39">
        <f>SUMIFS('期初批次'!$E$2:$E$41,'期初批次'!$B$2:$B$41,B39,'期初批次'!$I$2:$I$41,A39)+SUMIFS('逐笔辅助'!$N$2:$N$191,'逐笔辅助'!$A$2:$A$191,"流水",'逐笔辅助'!$D$2:$D$191,A39,'逐笔辅助'!$E$2:$E$191,B39)-SUMIFS('逐笔辅助'!$P$2:$P$191,'逐笔辅助'!$A$2:$A$191,"流水",'逐笔辅助'!$D$2:$D$191,A39,'逐笔辅助'!$E$2:$E$191,B39)+SUMIFS('逐笔辅助'!$U$2:$U$191,'逐笔辅助'!$A$2:$A$191,"流水",'逐笔辅助'!$D$2:$D$191,A39,'逐笔辅助'!$E$2:$E$191,B39)</f>
        <v/>
      </c>
      <c r="U39">
        <f>E39-F39</f>
        <v/>
      </c>
      <c r="V39">
        <f>IF(E39&gt;0,SUMIFS('逐笔辅助'!$N$2:$N$191,'逐笔辅助'!$A$2:$A$191,"流水",'逐笔辅助'!$D$2:$D$191,A39,'逐笔辅助'!$E$2:$E$191,B39)/E39,"")</f>
        <v/>
      </c>
      <c r="W39">
        <f>IF(AND(U39&gt;0,M39&lt;&gt;""),U39*(M39-V39),0)</f>
        <v/>
      </c>
    </row>
    <row r="40">
      <c r="A40" t="inlineStr">
        <is>
          <t>深港</t>
        </is>
      </c>
      <c r="B40" t="inlineStr">
        <is>
          <t>3988</t>
        </is>
      </c>
      <c r="C40" t="inlineStr">
        <is>
          <t>中国银行</t>
        </is>
      </c>
      <c r="D40">
        <f>SUMIFS('期初批次'!$D$2:$D$41,'期初批次'!$B$2:$B$41,B40,'期初批次'!$I$2:$I$41,A40)</f>
        <v/>
      </c>
      <c r="E40">
        <f>SUMIFS('逐笔辅助'!$M$2:$M$191,'逐笔辅助'!$A$2:$A$191,"流水",'逐笔辅助'!$D$2:$D$191,A40,'逐笔辅助'!$E$2:$E$191,B40)</f>
        <v/>
      </c>
      <c r="F40">
        <f>SUMIFS('逐笔辅助'!$O$2:$O$191,'逐笔辅助'!$A$2:$A$191,"流水",'逐笔辅助'!$D$2:$D$191,A40,'逐笔辅助'!$E$2:$E$191,B40)</f>
        <v/>
      </c>
      <c r="G40">
        <f>D40+E40-F40</f>
        <v/>
      </c>
      <c r="H40">
        <f>IF((D40+E40)&gt;0,IF(A40="深港",(SUMIFS('期初批次'!$M$2:$M$41,'期初批次'!$B$2:$B$41,B40,'期初批次'!$I$2:$I$41,A40)+SUMIFS('逐笔辅助'!$J$2:$J$191,'逐笔辅助'!$A$2:$A$191,"流水",'逐笔辅助'!$D$2:$D$191,A40,'逐笔辅助'!$G$2:$G$191,"买入",'逐笔辅助'!$E$2:$E$191,B40))/(D40+E40),(SUMIFS('期初批次'!$E$2:$E$41,'期初批次'!$B$2:$B$41,B40,'期初批次'!$I$2:$I$41,A40)+SUMIFS('逐笔辅助'!$N$2:$N$191,'逐笔辅助'!$A$2:$A$191,"流水",'逐笔辅助'!$D$2:$D$191,A40,'逐笔辅助'!$E$2:$E$191,B40))/(D40+E40)),"")</f>
        <v/>
      </c>
      <c r="I40">
        <f>IF((D40+E40)&gt;0,(SUMIFS('期初批次'!$E$2:$E$41,'期初批次'!$B$2:$B$41,B40,'期初批次'!$I$2:$I$41,A40)+SUMIFS('逐笔辅助'!$N$2:$N$191,'逐笔辅助'!$A$2:$A$191,"流水",'逐笔辅助'!$D$2:$D$191,A40,'逐笔辅助'!$E$2:$E$191,B40))/(D40+E40),"")</f>
        <v/>
      </c>
      <c r="J40">
        <f>IFERROR(INDEX('期初批次'!$J$2:$J$41,MATCH(TRUE,('期初批次'!$B$2:$B$41=B40)*('期初批次'!$I$2:$I$41=A40),0)),IF(A40="深港",TEXT(--B40,"0000")&amp;".HK",IF(--B40&gt;=600000,TEXT(--B40,"000000")&amp;".SH",TEXT(--B40,"000000")&amp;".SZ")))</f>
        <v/>
      </c>
      <c r="K40">
        <f>IF(J40="","",IFERROR(INDEX('估值日行情'!$C$3:$C$61,MATCH(J40,'估值日行情'!$A$3:$A$61,0)),""))</f>
        <v/>
      </c>
      <c r="L40">
        <f>IF(A40="深港",IFERROR('FX_RATES_TO_CNY_HIST'!$B$3,""),1)</f>
        <v/>
      </c>
      <c r="M40">
        <f>IF(K40&lt;&gt;"",K40*L40,"")</f>
        <v/>
      </c>
      <c r="N40">
        <f>IF(G40&gt;0,G40*H40,0)</f>
        <v/>
      </c>
      <c r="O40">
        <f>IF(G40&gt;0,G40*I40,0)</f>
        <v/>
      </c>
      <c r="P40">
        <f>IF(G40&gt;0,G40*K40,0)</f>
        <v/>
      </c>
      <c r="Q40">
        <f>IF(G40&gt;0,G40*M40,0)</f>
        <v/>
      </c>
      <c r="R40">
        <f>IF(G40&gt;0,P40-N40,0)</f>
        <v/>
      </c>
      <c r="S40">
        <f>IF(G40&gt;0,Q40-T40,0)</f>
        <v/>
      </c>
      <c r="T40">
        <f>SUMIFS('期初批次'!$E$2:$E$41,'期初批次'!$B$2:$B$41,B40,'期初批次'!$I$2:$I$41,A40)+SUMIFS('逐笔辅助'!$N$2:$N$191,'逐笔辅助'!$A$2:$A$191,"流水",'逐笔辅助'!$D$2:$D$191,A40,'逐笔辅助'!$E$2:$E$191,B40)-SUMIFS('逐笔辅助'!$P$2:$P$191,'逐笔辅助'!$A$2:$A$191,"流水",'逐笔辅助'!$D$2:$D$191,A40,'逐笔辅助'!$E$2:$E$191,B40)+SUMIFS('逐笔辅助'!$U$2:$U$191,'逐笔辅助'!$A$2:$A$191,"流水",'逐笔辅助'!$D$2:$D$191,A40,'逐笔辅助'!$E$2:$E$191,B40)</f>
        <v/>
      </c>
      <c r="U40">
        <f>E40-F40</f>
        <v/>
      </c>
      <c r="V40">
        <f>IF(E40&gt;0,SUMIFS('逐笔辅助'!$N$2:$N$191,'逐笔辅助'!$A$2:$A$191,"流水",'逐笔辅助'!$D$2:$D$191,A40,'逐笔辅助'!$E$2:$E$191,B40)/E40,"")</f>
        <v/>
      </c>
      <c r="W40">
        <f>IF(AND(U40&gt;0,M40&lt;&gt;""),U40*(M40-V40),0)</f>
        <v/>
      </c>
    </row>
    <row r="41">
      <c r="A41" t="inlineStr">
        <is>
          <t>深港</t>
        </is>
      </c>
      <c r="B41" t="inlineStr">
        <is>
          <t>3998</t>
        </is>
      </c>
      <c r="C41" t="inlineStr">
        <is>
          <t>波司登</t>
        </is>
      </c>
      <c r="D41">
        <f>SUMIFS('期初批次'!$D$2:$D$41,'期初批次'!$B$2:$B$41,B41,'期初批次'!$I$2:$I$41,A41)</f>
        <v/>
      </c>
      <c r="E41">
        <f>SUMIFS('逐笔辅助'!$M$2:$M$191,'逐笔辅助'!$A$2:$A$191,"流水",'逐笔辅助'!$D$2:$D$191,A41,'逐笔辅助'!$E$2:$E$191,B41)</f>
        <v/>
      </c>
      <c r="F41">
        <f>SUMIFS('逐笔辅助'!$O$2:$O$191,'逐笔辅助'!$A$2:$A$191,"流水",'逐笔辅助'!$D$2:$D$191,A41,'逐笔辅助'!$E$2:$E$191,B41)</f>
        <v/>
      </c>
      <c r="G41">
        <f>D41+E41-F41</f>
        <v/>
      </c>
      <c r="H41">
        <f>IF((D41+E41)&gt;0,IF(A41="深港",(SUMIFS('期初批次'!$M$2:$M$41,'期初批次'!$B$2:$B$41,B41,'期初批次'!$I$2:$I$41,A41)+SUMIFS('逐笔辅助'!$J$2:$J$191,'逐笔辅助'!$A$2:$A$191,"流水",'逐笔辅助'!$D$2:$D$191,A41,'逐笔辅助'!$G$2:$G$191,"买入",'逐笔辅助'!$E$2:$E$191,B41))/(D41+E41),(SUMIFS('期初批次'!$E$2:$E$41,'期初批次'!$B$2:$B$41,B41,'期初批次'!$I$2:$I$41,A41)+SUMIFS('逐笔辅助'!$N$2:$N$191,'逐笔辅助'!$A$2:$A$191,"流水",'逐笔辅助'!$D$2:$D$191,A41,'逐笔辅助'!$E$2:$E$191,B41))/(D41+E41)),"")</f>
        <v/>
      </c>
      <c r="I41">
        <f>IF((D41+E41)&gt;0,(SUMIFS('期初批次'!$E$2:$E$41,'期初批次'!$B$2:$B$41,B41,'期初批次'!$I$2:$I$41,A41)+SUMIFS('逐笔辅助'!$N$2:$N$191,'逐笔辅助'!$A$2:$A$191,"流水",'逐笔辅助'!$D$2:$D$191,A41,'逐笔辅助'!$E$2:$E$191,B41))/(D41+E41),"")</f>
        <v/>
      </c>
      <c r="J41">
        <f>IFERROR(INDEX('期初批次'!$J$2:$J$41,MATCH(TRUE,('期初批次'!$B$2:$B$41=B41)*('期初批次'!$I$2:$I$41=A41),0)),IF(A41="深港",TEXT(--B41,"0000")&amp;".HK",IF(--B41&gt;=600000,TEXT(--B41,"000000")&amp;".SH",TEXT(--B41,"000000")&amp;".SZ")))</f>
        <v/>
      </c>
      <c r="K41">
        <f>IF(J41="","",IFERROR(INDEX('估值日行情'!$C$3:$C$61,MATCH(J41,'估值日行情'!$A$3:$A$61,0)),""))</f>
        <v/>
      </c>
      <c r="L41">
        <f>IF(A41="深港",IFERROR('FX_RATES_TO_CNY_HIST'!$B$3,""),1)</f>
        <v/>
      </c>
      <c r="M41">
        <f>IF(K41&lt;&gt;"",K41*L41,"")</f>
        <v/>
      </c>
      <c r="N41">
        <f>IF(G41&gt;0,G41*H41,0)</f>
        <v/>
      </c>
      <c r="O41">
        <f>IF(G41&gt;0,G41*I41,0)</f>
        <v/>
      </c>
      <c r="P41">
        <f>IF(G41&gt;0,G41*K41,0)</f>
        <v/>
      </c>
      <c r="Q41">
        <f>IF(G41&gt;0,G41*M41,0)</f>
        <v/>
      </c>
      <c r="R41">
        <f>IF(G41&gt;0,P41-N41,0)</f>
        <v/>
      </c>
      <c r="S41">
        <f>IF(G41&gt;0,Q41-T41,0)</f>
        <v/>
      </c>
      <c r="T41">
        <f>SUMIFS('期初批次'!$E$2:$E$41,'期初批次'!$B$2:$B$41,B41,'期初批次'!$I$2:$I$41,A41)+SUMIFS('逐笔辅助'!$N$2:$N$191,'逐笔辅助'!$A$2:$A$191,"流水",'逐笔辅助'!$D$2:$D$191,A41,'逐笔辅助'!$E$2:$E$191,B41)-SUMIFS('逐笔辅助'!$P$2:$P$191,'逐笔辅助'!$A$2:$A$191,"流水",'逐笔辅助'!$D$2:$D$191,A41,'逐笔辅助'!$E$2:$E$191,B41)+SUMIFS('逐笔辅助'!$U$2:$U$191,'逐笔辅助'!$A$2:$A$191,"流水",'逐笔辅助'!$D$2:$D$191,A41,'逐笔辅助'!$E$2:$E$191,B41)</f>
        <v/>
      </c>
      <c r="U41">
        <f>E41-F41</f>
        <v/>
      </c>
      <c r="V41">
        <f>IF(E41&gt;0,SUMIFS('逐笔辅助'!$N$2:$N$191,'逐笔辅助'!$A$2:$A$191,"流水",'逐笔辅助'!$D$2:$D$191,A41,'逐笔辅助'!$E$2:$E$191,B41)/E41,"")</f>
        <v/>
      </c>
      <c r="W41">
        <f>IF(AND(U41&gt;0,M41&lt;&gt;""),U41*(M41-V41),0)</f>
        <v/>
      </c>
    </row>
    <row r="42">
      <c r="A42" t="inlineStr">
        <is>
          <t>深港</t>
        </is>
      </c>
      <c r="B42" t="inlineStr">
        <is>
          <t>576</t>
        </is>
      </c>
      <c r="C42" t="inlineStr">
        <is>
          <t>浙江沪杭甬</t>
        </is>
      </c>
      <c r="D42">
        <f>SUMIFS('期初批次'!$D$2:$D$41,'期初批次'!$B$2:$B$41,B42,'期初批次'!$I$2:$I$41,A42)</f>
        <v/>
      </c>
      <c r="E42">
        <f>SUMIFS('逐笔辅助'!$M$2:$M$191,'逐笔辅助'!$A$2:$A$191,"流水",'逐笔辅助'!$D$2:$D$191,A42,'逐笔辅助'!$E$2:$E$191,B42)</f>
        <v/>
      </c>
      <c r="F42">
        <f>SUMIFS('逐笔辅助'!$O$2:$O$191,'逐笔辅助'!$A$2:$A$191,"流水",'逐笔辅助'!$D$2:$D$191,A42,'逐笔辅助'!$E$2:$E$191,B42)</f>
        <v/>
      </c>
      <c r="G42">
        <f>D42+E42-F42</f>
        <v/>
      </c>
      <c r="H42">
        <f>IF((D42+E42)&gt;0,IF(A42="深港",(SUMIFS('期初批次'!$M$2:$M$41,'期初批次'!$B$2:$B$41,B42,'期初批次'!$I$2:$I$41,A42)+SUMIFS('逐笔辅助'!$J$2:$J$191,'逐笔辅助'!$A$2:$A$191,"流水",'逐笔辅助'!$D$2:$D$191,A42,'逐笔辅助'!$G$2:$G$191,"买入",'逐笔辅助'!$E$2:$E$191,B42))/(D42+E42),(SUMIFS('期初批次'!$E$2:$E$41,'期初批次'!$B$2:$B$41,B42,'期初批次'!$I$2:$I$41,A42)+SUMIFS('逐笔辅助'!$N$2:$N$191,'逐笔辅助'!$A$2:$A$191,"流水",'逐笔辅助'!$D$2:$D$191,A42,'逐笔辅助'!$E$2:$E$191,B42))/(D42+E42)),"")</f>
        <v/>
      </c>
      <c r="I42">
        <f>IF((D42+E42)&gt;0,(SUMIFS('期初批次'!$E$2:$E$41,'期初批次'!$B$2:$B$41,B42,'期初批次'!$I$2:$I$41,A42)+SUMIFS('逐笔辅助'!$N$2:$N$191,'逐笔辅助'!$A$2:$A$191,"流水",'逐笔辅助'!$D$2:$D$191,A42,'逐笔辅助'!$E$2:$E$191,B42))/(D42+E42),"")</f>
        <v/>
      </c>
      <c r="J42">
        <f>IFERROR(INDEX('期初批次'!$J$2:$J$41,MATCH(TRUE,('期初批次'!$B$2:$B$41=B42)*('期初批次'!$I$2:$I$41=A42),0)),IF(A42="深港",TEXT(--B42,"0000")&amp;".HK",IF(--B42&gt;=600000,TEXT(--B42,"000000")&amp;".SH",TEXT(--B42,"000000")&amp;".SZ")))</f>
        <v/>
      </c>
      <c r="K42">
        <f>IF(J42="","",IFERROR(INDEX('估值日行情'!$C$3:$C$61,MATCH(J42,'估值日行情'!$A$3:$A$61,0)),""))</f>
        <v/>
      </c>
      <c r="L42">
        <f>IF(A42="深港",IFERROR('FX_RATES_TO_CNY_HIST'!$B$3,""),1)</f>
        <v/>
      </c>
      <c r="M42">
        <f>IF(K42&lt;&gt;"",K42*L42,"")</f>
        <v/>
      </c>
      <c r="N42">
        <f>IF(G42&gt;0,G42*H42,0)</f>
        <v/>
      </c>
      <c r="O42">
        <f>IF(G42&gt;0,G42*I42,0)</f>
        <v/>
      </c>
      <c r="P42">
        <f>IF(G42&gt;0,G42*K42,0)</f>
        <v/>
      </c>
      <c r="Q42">
        <f>IF(G42&gt;0,G42*M42,0)</f>
        <v/>
      </c>
      <c r="R42">
        <f>IF(G42&gt;0,P42-N42,0)</f>
        <v/>
      </c>
      <c r="S42">
        <f>IF(G42&gt;0,Q42-T42,0)</f>
        <v/>
      </c>
      <c r="T42">
        <f>SUMIFS('期初批次'!$E$2:$E$41,'期初批次'!$B$2:$B$41,B42,'期初批次'!$I$2:$I$41,A42)+SUMIFS('逐笔辅助'!$N$2:$N$191,'逐笔辅助'!$A$2:$A$191,"流水",'逐笔辅助'!$D$2:$D$191,A42,'逐笔辅助'!$E$2:$E$191,B42)-SUMIFS('逐笔辅助'!$P$2:$P$191,'逐笔辅助'!$A$2:$A$191,"流水",'逐笔辅助'!$D$2:$D$191,A42,'逐笔辅助'!$E$2:$E$191,B42)+SUMIFS('逐笔辅助'!$U$2:$U$191,'逐笔辅助'!$A$2:$A$191,"流水",'逐笔辅助'!$D$2:$D$191,A42,'逐笔辅助'!$E$2:$E$191,B42)</f>
        <v/>
      </c>
      <c r="U42">
        <f>E42-F42</f>
        <v/>
      </c>
      <c r="V42">
        <f>IF(E42&gt;0,SUMIFS('逐笔辅助'!$N$2:$N$191,'逐笔辅助'!$A$2:$A$191,"流水",'逐笔辅助'!$D$2:$D$191,A42,'逐笔辅助'!$E$2:$E$191,B42)/E42,"")</f>
        <v/>
      </c>
      <c r="W42">
        <f>IF(AND(U42&gt;0,M42&lt;&gt;""),U42*(M42-V42),0)</f>
        <v/>
      </c>
    </row>
    <row r="43">
      <c r="A43" t="inlineStr">
        <is>
          <t>深港</t>
        </is>
      </c>
      <c r="B43" t="inlineStr">
        <is>
          <t>6690</t>
        </is>
      </c>
      <c r="C43" t="inlineStr">
        <is>
          <t>海尔智家</t>
        </is>
      </c>
      <c r="D43">
        <f>SUMIFS('期初批次'!$D$2:$D$41,'期初批次'!$B$2:$B$41,B43,'期初批次'!$I$2:$I$41,A43)</f>
        <v/>
      </c>
      <c r="E43">
        <f>SUMIFS('逐笔辅助'!$M$2:$M$191,'逐笔辅助'!$A$2:$A$191,"流水",'逐笔辅助'!$D$2:$D$191,A43,'逐笔辅助'!$E$2:$E$191,B43)</f>
        <v/>
      </c>
      <c r="F43">
        <f>SUMIFS('逐笔辅助'!$O$2:$O$191,'逐笔辅助'!$A$2:$A$191,"流水",'逐笔辅助'!$D$2:$D$191,A43,'逐笔辅助'!$E$2:$E$191,B43)</f>
        <v/>
      </c>
      <c r="G43">
        <f>D43+E43-F43</f>
        <v/>
      </c>
      <c r="H43">
        <f>IF((D43+E43)&gt;0,IF(A43="深港",(SUMIFS('期初批次'!$M$2:$M$41,'期初批次'!$B$2:$B$41,B43,'期初批次'!$I$2:$I$41,A43)+SUMIFS('逐笔辅助'!$J$2:$J$191,'逐笔辅助'!$A$2:$A$191,"流水",'逐笔辅助'!$D$2:$D$191,A43,'逐笔辅助'!$G$2:$G$191,"买入",'逐笔辅助'!$E$2:$E$191,B43))/(D43+E43),(SUMIFS('期初批次'!$E$2:$E$41,'期初批次'!$B$2:$B$41,B43,'期初批次'!$I$2:$I$41,A43)+SUMIFS('逐笔辅助'!$N$2:$N$191,'逐笔辅助'!$A$2:$A$191,"流水",'逐笔辅助'!$D$2:$D$191,A43,'逐笔辅助'!$E$2:$E$191,B43))/(D43+E43)),"")</f>
        <v/>
      </c>
      <c r="I43">
        <f>IF((D43+E43)&gt;0,(SUMIFS('期初批次'!$E$2:$E$41,'期初批次'!$B$2:$B$41,B43,'期初批次'!$I$2:$I$41,A43)+SUMIFS('逐笔辅助'!$N$2:$N$191,'逐笔辅助'!$A$2:$A$191,"流水",'逐笔辅助'!$D$2:$D$191,A43,'逐笔辅助'!$E$2:$E$191,B43))/(D43+E43),"")</f>
        <v/>
      </c>
      <c r="J43">
        <f>IFERROR(INDEX('期初批次'!$J$2:$J$41,MATCH(TRUE,('期初批次'!$B$2:$B$41=B43)*('期初批次'!$I$2:$I$41=A43),0)),IF(A43="深港",TEXT(--B43,"0000")&amp;".HK",IF(--B43&gt;=600000,TEXT(--B43,"000000")&amp;".SH",TEXT(--B43,"000000")&amp;".SZ")))</f>
        <v/>
      </c>
      <c r="K43">
        <f>IF(J43="","",IFERROR(INDEX('估值日行情'!$C$3:$C$61,MATCH(J43,'估值日行情'!$A$3:$A$61,0)),""))</f>
        <v/>
      </c>
      <c r="L43">
        <f>IF(A43="深港",IFERROR('FX_RATES_TO_CNY_HIST'!$B$3,""),1)</f>
        <v/>
      </c>
      <c r="M43">
        <f>IF(K43&lt;&gt;"",K43*L43,"")</f>
        <v/>
      </c>
      <c r="N43">
        <f>IF(G43&gt;0,G43*H43,0)</f>
        <v/>
      </c>
      <c r="O43">
        <f>IF(G43&gt;0,G43*I43,0)</f>
        <v/>
      </c>
      <c r="P43">
        <f>IF(G43&gt;0,G43*K43,0)</f>
        <v/>
      </c>
      <c r="Q43">
        <f>IF(G43&gt;0,G43*M43,0)</f>
        <v/>
      </c>
      <c r="R43">
        <f>IF(G43&gt;0,P43-N43,0)</f>
        <v/>
      </c>
      <c r="S43">
        <f>IF(G43&gt;0,Q43-T43,0)</f>
        <v/>
      </c>
      <c r="T43">
        <f>SUMIFS('期初批次'!$E$2:$E$41,'期初批次'!$B$2:$B$41,B43,'期初批次'!$I$2:$I$41,A43)+SUMIFS('逐笔辅助'!$N$2:$N$191,'逐笔辅助'!$A$2:$A$191,"流水",'逐笔辅助'!$D$2:$D$191,A43,'逐笔辅助'!$E$2:$E$191,B43)-SUMIFS('逐笔辅助'!$P$2:$P$191,'逐笔辅助'!$A$2:$A$191,"流水",'逐笔辅助'!$D$2:$D$191,A43,'逐笔辅助'!$E$2:$E$191,B43)+SUMIFS('逐笔辅助'!$U$2:$U$191,'逐笔辅助'!$A$2:$A$191,"流水",'逐笔辅助'!$D$2:$D$191,A43,'逐笔辅助'!$E$2:$E$191,B43)</f>
        <v/>
      </c>
      <c r="U43">
        <f>E43-F43</f>
        <v/>
      </c>
      <c r="V43">
        <f>IF(E43&gt;0,SUMIFS('逐笔辅助'!$N$2:$N$191,'逐笔辅助'!$A$2:$A$191,"流水",'逐笔辅助'!$D$2:$D$191,A43,'逐笔辅助'!$E$2:$E$191,B43)/E43,"")</f>
        <v/>
      </c>
      <c r="W43">
        <f>IF(AND(U43&gt;0,M43&lt;&gt;""),U43*(M43-V43),0)</f>
        <v/>
      </c>
    </row>
    <row r="44">
      <c r="A44" t="inlineStr">
        <is>
          <t>深港</t>
        </is>
      </c>
      <c r="B44" t="inlineStr">
        <is>
          <t>6818</t>
        </is>
      </c>
      <c r="C44" t="inlineStr">
        <is>
          <t>中国光大银行</t>
        </is>
      </c>
      <c r="D44">
        <f>SUMIFS('期初批次'!$D$2:$D$41,'期初批次'!$B$2:$B$41,B44,'期初批次'!$I$2:$I$41,A44)</f>
        <v/>
      </c>
      <c r="E44">
        <f>SUMIFS('逐笔辅助'!$M$2:$M$191,'逐笔辅助'!$A$2:$A$191,"流水",'逐笔辅助'!$D$2:$D$191,A44,'逐笔辅助'!$E$2:$E$191,B44)</f>
        <v/>
      </c>
      <c r="F44">
        <f>SUMIFS('逐笔辅助'!$O$2:$O$191,'逐笔辅助'!$A$2:$A$191,"流水",'逐笔辅助'!$D$2:$D$191,A44,'逐笔辅助'!$E$2:$E$191,B44)</f>
        <v/>
      </c>
      <c r="G44">
        <f>D44+E44-F44</f>
        <v/>
      </c>
      <c r="H44">
        <f>IF((D44+E44)&gt;0,IF(A44="深港",(SUMIFS('期初批次'!$M$2:$M$41,'期初批次'!$B$2:$B$41,B44,'期初批次'!$I$2:$I$41,A44)+SUMIFS('逐笔辅助'!$J$2:$J$191,'逐笔辅助'!$A$2:$A$191,"流水",'逐笔辅助'!$D$2:$D$191,A44,'逐笔辅助'!$G$2:$G$191,"买入",'逐笔辅助'!$E$2:$E$191,B44))/(D44+E44),(SUMIFS('期初批次'!$E$2:$E$41,'期初批次'!$B$2:$B$41,B44,'期初批次'!$I$2:$I$41,A44)+SUMIFS('逐笔辅助'!$N$2:$N$191,'逐笔辅助'!$A$2:$A$191,"流水",'逐笔辅助'!$D$2:$D$191,A44,'逐笔辅助'!$E$2:$E$191,B44))/(D44+E44)),"")</f>
        <v/>
      </c>
      <c r="I44">
        <f>IF((D44+E44)&gt;0,(SUMIFS('期初批次'!$E$2:$E$41,'期初批次'!$B$2:$B$41,B44,'期初批次'!$I$2:$I$41,A44)+SUMIFS('逐笔辅助'!$N$2:$N$191,'逐笔辅助'!$A$2:$A$191,"流水",'逐笔辅助'!$D$2:$D$191,A44,'逐笔辅助'!$E$2:$E$191,B44))/(D44+E44),"")</f>
        <v/>
      </c>
      <c r="J44">
        <f>IFERROR(INDEX('期初批次'!$J$2:$J$41,MATCH(TRUE,('期初批次'!$B$2:$B$41=B44)*('期初批次'!$I$2:$I$41=A44),0)),IF(A44="深港",TEXT(--B44,"0000")&amp;".HK",IF(--B44&gt;=600000,TEXT(--B44,"000000")&amp;".SH",TEXT(--B44,"000000")&amp;".SZ")))</f>
        <v/>
      </c>
      <c r="K44">
        <f>IF(J44="","",IFERROR(INDEX('估值日行情'!$C$3:$C$61,MATCH(J44,'估值日行情'!$A$3:$A$61,0)),""))</f>
        <v/>
      </c>
      <c r="L44">
        <f>IF(A44="深港",IFERROR('FX_RATES_TO_CNY_HIST'!$B$3,""),1)</f>
        <v/>
      </c>
      <c r="M44">
        <f>IF(K44&lt;&gt;"",K44*L44,"")</f>
        <v/>
      </c>
      <c r="N44">
        <f>IF(G44&gt;0,G44*H44,0)</f>
        <v/>
      </c>
      <c r="O44">
        <f>IF(G44&gt;0,G44*I44,0)</f>
        <v/>
      </c>
      <c r="P44">
        <f>IF(G44&gt;0,G44*K44,0)</f>
        <v/>
      </c>
      <c r="Q44">
        <f>IF(G44&gt;0,G44*M44,0)</f>
        <v/>
      </c>
      <c r="R44">
        <f>IF(G44&gt;0,P44-N44,0)</f>
        <v/>
      </c>
      <c r="S44">
        <f>IF(G44&gt;0,Q44-T44,0)</f>
        <v/>
      </c>
      <c r="T44">
        <f>SUMIFS('期初批次'!$E$2:$E$41,'期初批次'!$B$2:$B$41,B44,'期初批次'!$I$2:$I$41,A44)+SUMIFS('逐笔辅助'!$N$2:$N$191,'逐笔辅助'!$A$2:$A$191,"流水",'逐笔辅助'!$D$2:$D$191,A44,'逐笔辅助'!$E$2:$E$191,B44)-SUMIFS('逐笔辅助'!$P$2:$P$191,'逐笔辅助'!$A$2:$A$191,"流水",'逐笔辅助'!$D$2:$D$191,A44,'逐笔辅助'!$E$2:$E$191,B44)+SUMIFS('逐笔辅助'!$U$2:$U$191,'逐笔辅助'!$A$2:$A$191,"流水",'逐笔辅助'!$D$2:$D$191,A44,'逐笔辅助'!$E$2:$E$191,B44)</f>
        <v/>
      </c>
      <c r="U44">
        <f>E44-F44</f>
        <v/>
      </c>
      <c r="V44">
        <f>IF(E44&gt;0,SUMIFS('逐笔辅助'!$N$2:$N$191,'逐笔辅助'!$A$2:$A$191,"流水",'逐笔辅助'!$D$2:$D$191,A44,'逐笔辅助'!$E$2:$E$191,B44)/E44,"")</f>
        <v/>
      </c>
      <c r="W44">
        <f>IF(AND(U44&gt;0,M44&lt;&gt;""),U44*(M44-V44),0)</f>
        <v/>
      </c>
    </row>
    <row r="45">
      <c r="A45" t="inlineStr">
        <is>
          <t>深港</t>
        </is>
      </c>
      <c r="B45" t="inlineStr">
        <is>
          <t>6862</t>
        </is>
      </c>
      <c r="C45" t="inlineStr">
        <is>
          <t>海底捞</t>
        </is>
      </c>
      <c r="D45">
        <f>SUMIFS('期初批次'!$D$2:$D$41,'期初批次'!$B$2:$B$41,B45,'期初批次'!$I$2:$I$41,A45)</f>
        <v/>
      </c>
      <c r="E45">
        <f>SUMIFS('逐笔辅助'!$M$2:$M$191,'逐笔辅助'!$A$2:$A$191,"流水",'逐笔辅助'!$D$2:$D$191,A45,'逐笔辅助'!$E$2:$E$191,B45)</f>
        <v/>
      </c>
      <c r="F45">
        <f>SUMIFS('逐笔辅助'!$O$2:$O$191,'逐笔辅助'!$A$2:$A$191,"流水",'逐笔辅助'!$D$2:$D$191,A45,'逐笔辅助'!$E$2:$E$191,B45)</f>
        <v/>
      </c>
      <c r="G45">
        <f>D45+E45-F45</f>
        <v/>
      </c>
      <c r="H45">
        <f>IF((D45+E45)&gt;0,IF(A45="深港",(SUMIFS('期初批次'!$M$2:$M$41,'期初批次'!$B$2:$B$41,B45,'期初批次'!$I$2:$I$41,A45)+SUMIFS('逐笔辅助'!$J$2:$J$191,'逐笔辅助'!$A$2:$A$191,"流水",'逐笔辅助'!$D$2:$D$191,A45,'逐笔辅助'!$G$2:$G$191,"买入",'逐笔辅助'!$E$2:$E$191,B45))/(D45+E45),(SUMIFS('期初批次'!$E$2:$E$41,'期初批次'!$B$2:$B$41,B45,'期初批次'!$I$2:$I$41,A45)+SUMIFS('逐笔辅助'!$N$2:$N$191,'逐笔辅助'!$A$2:$A$191,"流水",'逐笔辅助'!$D$2:$D$191,A45,'逐笔辅助'!$E$2:$E$191,B45))/(D45+E45)),"")</f>
        <v/>
      </c>
      <c r="I45">
        <f>IF((D45+E45)&gt;0,(SUMIFS('期初批次'!$E$2:$E$41,'期初批次'!$B$2:$B$41,B45,'期初批次'!$I$2:$I$41,A45)+SUMIFS('逐笔辅助'!$N$2:$N$191,'逐笔辅助'!$A$2:$A$191,"流水",'逐笔辅助'!$D$2:$D$191,A45,'逐笔辅助'!$E$2:$E$191,B45))/(D45+E45),"")</f>
        <v/>
      </c>
      <c r="J45">
        <f>IFERROR(INDEX('期初批次'!$J$2:$J$41,MATCH(TRUE,('期初批次'!$B$2:$B$41=B45)*('期初批次'!$I$2:$I$41=A45),0)),IF(A45="深港",TEXT(--B45,"0000")&amp;".HK",IF(--B45&gt;=600000,TEXT(--B45,"000000")&amp;".SH",TEXT(--B45,"000000")&amp;".SZ")))</f>
        <v/>
      </c>
      <c r="K45">
        <f>IF(J45="","",IFERROR(INDEX('估值日行情'!$C$3:$C$61,MATCH(J45,'估值日行情'!$A$3:$A$61,0)),""))</f>
        <v/>
      </c>
      <c r="L45">
        <f>IF(A45="深港",IFERROR('FX_RATES_TO_CNY_HIST'!$B$3,""),1)</f>
        <v/>
      </c>
      <c r="M45">
        <f>IF(K45&lt;&gt;"",K45*L45,"")</f>
        <v/>
      </c>
      <c r="N45">
        <f>IF(G45&gt;0,G45*H45,0)</f>
        <v/>
      </c>
      <c r="O45">
        <f>IF(G45&gt;0,G45*I45,0)</f>
        <v/>
      </c>
      <c r="P45">
        <f>IF(G45&gt;0,G45*K45,0)</f>
        <v/>
      </c>
      <c r="Q45">
        <f>IF(G45&gt;0,G45*M45,0)</f>
        <v/>
      </c>
      <c r="R45">
        <f>IF(G45&gt;0,P45-N45,0)</f>
        <v/>
      </c>
      <c r="S45">
        <f>IF(G45&gt;0,Q45-T45,0)</f>
        <v/>
      </c>
      <c r="T45">
        <f>SUMIFS('期初批次'!$E$2:$E$41,'期初批次'!$B$2:$B$41,B45,'期初批次'!$I$2:$I$41,A45)+SUMIFS('逐笔辅助'!$N$2:$N$191,'逐笔辅助'!$A$2:$A$191,"流水",'逐笔辅助'!$D$2:$D$191,A45,'逐笔辅助'!$E$2:$E$191,B45)-SUMIFS('逐笔辅助'!$P$2:$P$191,'逐笔辅助'!$A$2:$A$191,"流水",'逐笔辅助'!$D$2:$D$191,A45,'逐笔辅助'!$E$2:$E$191,B45)+SUMIFS('逐笔辅助'!$U$2:$U$191,'逐笔辅助'!$A$2:$A$191,"流水",'逐笔辅助'!$D$2:$D$191,A45,'逐笔辅助'!$E$2:$E$191,B45)</f>
        <v/>
      </c>
      <c r="U45">
        <f>E45-F45</f>
        <v/>
      </c>
      <c r="V45">
        <f>IF(E45&gt;0,SUMIFS('逐笔辅助'!$N$2:$N$191,'逐笔辅助'!$A$2:$A$191,"流水",'逐笔辅助'!$D$2:$D$191,A45,'逐笔辅助'!$E$2:$E$191,B45)/E45,"")</f>
        <v/>
      </c>
      <c r="W45">
        <f>IF(AND(U45&gt;0,M45&lt;&gt;""),U45*(M45-V45),0)</f>
        <v/>
      </c>
    </row>
    <row r="46">
      <c r="A46" t="inlineStr">
        <is>
          <t>深港</t>
        </is>
      </c>
      <c r="B46" t="inlineStr">
        <is>
          <t>728</t>
        </is>
      </c>
      <c r="C46" t="inlineStr">
        <is>
          <t>中国电信</t>
        </is>
      </c>
      <c r="D46">
        <f>SUMIFS('期初批次'!$D$2:$D$41,'期初批次'!$B$2:$B$41,B46,'期初批次'!$I$2:$I$41,A46)</f>
        <v/>
      </c>
      <c r="E46">
        <f>SUMIFS('逐笔辅助'!$M$2:$M$191,'逐笔辅助'!$A$2:$A$191,"流水",'逐笔辅助'!$D$2:$D$191,A46,'逐笔辅助'!$E$2:$E$191,B46)</f>
        <v/>
      </c>
      <c r="F46">
        <f>SUMIFS('逐笔辅助'!$O$2:$O$191,'逐笔辅助'!$A$2:$A$191,"流水",'逐笔辅助'!$D$2:$D$191,A46,'逐笔辅助'!$E$2:$E$191,B46)</f>
        <v/>
      </c>
      <c r="G46">
        <f>D46+E46-F46</f>
        <v/>
      </c>
      <c r="H46">
        <f>IF((D46+E46)&gt;0,IF(A46="深港",(SUMIFS('期初批次'!$M$2:$M$41,'期初批次'!$B$2:$B$41,B46,'期初批次'!$I$2:$I$41,A46)+SUMIFS('逐笔辅助'!$J$2:$J$191,'逐笔辅助'!$A$2:$A$191,"流水",'逐笔辅助'!$D$2:$D$191,A46,'逐笔辅助'!$G$2:$G$191,"买入",'逐笔辅助'!$E$2:$E$191,B46))/(D46+E46),(SUMIFS('期初批次'!$E$2:$E$41,'期初批次'!$B$2:$B$41,B46,'期初批次'!$I$2:$I$41,A46)+SUMIFS('逐笔辅助'!$N$2:$N$191,'逐笔辅助'!$A$2:$A$191,"流水",'逐笔辅助'!$D$2:$D$191,A46,'逐笔辅助'!$E$2:$E$191,B46))/(D46+E46)),"")</f>
        <v/>
      </c>
      <c r="I46">
        <f>IF((D46+E46)&gt;0,(SUMIFS('期初批次'!$E$2:$E$41,'期初批次'!$B$2:$B$41,B46,'期初批次'!$I$2:$I$41,A46)+SUMIFS('逐笔辅助'!$N$2:$N$191,'逐笔辅助'!$A$2:$A$191,"流水",'逐笔辅助'!$D$2:$D$191,A46,'逐笔辅助'!$E$2:$E$191,B46))/(D46+E46),"")</f>
        <v/>
      </c>
      <c r="J46">
        <f>IFERROR(INDEX('期初批次'!$J$2:$J$41,MATCH(TRUE,('期初批次'!$B$2:$B$41=B46)*('期初批次'!$I$2:$I$41=A46),0)),IF(A46="深港",TEXT(--B46,"0000")&amp;".HK",IF(--B46&gt;=600000,TEXT(--B46,"000000")&amp;".SH",TEXT(--B46,"000000")&amp;".SZ")))</f>
        <v/>
      </c>
      <c r="K46">
        <f>IF(J46="","",IFERROR(INDEX('估值日行情'!$C$3:$C$61,MATCH(J46,'估值日行情'!$A$3:$A$61,0)),""))</f>
        <v/>
      </c>
      <c r="L46">
        <f>IF(A46="深港",IFERROR('FX_RATES_TO_CNY_HIST'!$B$3,""),1)</f>
        <v/>
      </c>
      <c r="M46">
        <f>IF(K46&lt;&gt;"",K46*L46,"")</f>
        <v/>
      </c>
      <c r="N46">
        <f>IF(G46&gt;0,G46*H46,0)</f>
        <v/>
      </c>
      <c r="O46">
        <f>IF(G46&gt;0,G46*I46,0)</f>
        <v/>
      </c>
      <c r="P46">
        <f>IF(G46&gt;0,G46*K46,0)</f>
        <v/>
      </c>
      <c r="Q46">
        <f>IF(G46&gt;0,G46*M46,0)</f>
        <v/>
      </c>
      <c r="R46">
        <f>IF(G46&gt;0,P46-N46,0)</f>
        <v/>
      </c>
      <c r="S46">
        <f>IF(G46&gt;0,Q46-T46,0)</f>
        <v/>
      </c>
      <c r="T46">
        <f>SUMIFS('期初批次'!$E$2:$E$41,'期初批次'!$B$2:$B$41,B46,'期初批次'!$I$2:$I$41,A46)+SUMIFS('逐笔辅助'!$N$2:$N$191,'逐笔辅助'!$A$2:$A$191,"流水",'逐笔辅助'!$D$2:$D$191,A46,'逐笔辅助'!$E$2:$E$191,B46)-SUMIFS('逐笔辅助'!$P$2:$P$191,'逐笔辅助'!$A$2:$A$191,"流水",'逐笔辅助'!$D$2:$D$191,A46,'逐笔辅助'!$E$2:$E$191,B46)+SUMIFS('逐笔辅助'!$U$2:$U$191,'逐笔辅助'!$A$2:$A$191,"流水",'逐笔辅助'!$D$2:$D$191,A46,'逐笔辅助'!$E$2:$E$191,B46)</f>
        <v/>
      </c>
      <c r="U46">
        <f>E46-F46</f>
        <v/>
      </c>
      <c r="V46">
        <f>IF(E46&gt;0,SUMIFS('逐笔辅助'!$N$2:$N$191,'逐笔辅助'!$A$2:$A$191,"流水",'逐笔辅助'!$D$2:$D$191,A46,'逐笔辅助'!$E$2:$E$191,B46)/E46,"")</f>
        <v/>
      </c>
      <c r="W46">
        <f>IF(AND(U46&gt;0,M46&lt;&gt;""),U46*(M46-V46),0)</f>
        <v/>
      </c>
    </row>
    <row r="47">
      <c r="A47" t="inlineStr">
        <is>
          <t>深港</t>
        </is>
      </c>
      <c r="B47" t="inlineStr">
        <is>
          <t>762</t>
        </is>
      </c>
      <c r="C47" t="inlineStr">
        <is>
          <t>中国联通</t>
        </is>
      </c>
      <c r="D47">
        <f>SUMIFS('期初批次'!$D$2:$D$41,'期初批次'!$B$2:$B$41,B47,'期初批次'!$I$2:$I$41,A47)</f>
        <v/>
      </c>
      <c r="E47">
        <f>SUMIFS('逐笔辅助'!$M$2:$M$191,'逐笔辅助'!$A$2:$A$191,"流水",'逐笔辅助'!$D$2:$D$191,A47,'逐笔辅助'!$E$2:$E$191,B47)</f>
        <v/>
      </c>
      <c r="F47">
        <f>SUMIFS('逐笔辅助'!$O$2:$O$191,'逐笔辅助'!$A$2:$A$191,"流水",'逐笔辅助'!$D$2:$D$191,A47,'逐笔辅助'!$E$2:$E$191,B47)</f>
        <v/>
      </c>
      <c r="G47">
        <f>D47+E47-F47</f>
        <v/>
      </c>
      <c r="H47">
        <f>IF((D47+E47)&gt;0,IF(A47="深港",(SUMIFS('期初批次'!$M$2:$M$41,'期初批次'!$B$2:$B$41,B47,'期初批次'!$I$2:$I$41,A47)+SUMIFS('逐笔辅助'!$J$2:$J$191,'逐笔辅助'!$A$2:$A$191,"流水",'逐笔辅助'!$D$2:$D$191,A47,'逐笔辅助'!$G$2:$G$191,"买入",'逐笔辅助'!$E$2:$E$191,B47))/(D47+E47),(SUMIFS('期初批次'!$E$2:$E$41,'期初批次'!$B$2:$B$41,B47,'期初批次'!$I$2:$I$41,A47)+SUMIFS('逐笔辅助'!$N$2:$N$191,'逐笔辅助'!$A$2:$A$191,"流水",'逐笔辅助'!$D$2:$D$191,A47,'逐笔辅助'!$E$2:$E$191,B47))/(D47+E47)),"")</f>
        <v/>
      </c>
      <c r="I47">
        <f>IF((D47+E47)&gt;0,(SUMIFS('期初批次'!$E$2:$E$41,'期初批次'!$B$2:$B$41,B47,'期初批次'!$I$2:$I$41,A47)+SUMIFS('逐笔辅助'!$N$2:$N$191,'逐笔辅助'!$A$2:$A$191,"流水",'逐笔辅助'!$D$2:$D$191,A47,'逐笔辅助'!$E$2:$E$191,B47))/(D47+E47),"")</f>
        <v/>
      </c>
      <c r="J47">
        <f>IFERROR(INDEX('期初批次'!$J$2:$J$41,MATCH(TRUE,('期初批次'!$B$2:$B$41=B47)*('期初批次'!$I$2:$I$41=A47),0)),IF(A47="深港",TEXT(--B47,"0000")&amp;".HK",IF(--B47&gt;=600000,TEXT(--B47,"000000")&amp;".SH",TEXT(--B47,"000000")&amp;".SZ")))</f>
        <v/>
      </c>
      <c r="K47">
        <f>IF(J47="","",IFERROR(INDEX('估值日行情'!$C$3:$C$61,MATCH(J47,'估值日行情'!$A$3:$A$61,0)),""))</f>
        <v/>
      </c>
      <c r="L47">
        <f>IF(A47="深港",IFERROR('FX_RATES_TO_CNY_HIST'!$B$3,""),1)</f>
        <v/>
      </c>
      <c r="M47">
        <f>IF(K47&lt;&gt;"",K47*L47,"")</f>
        <v/>
      </c>
      <c r="N47">
        <f>IF(G47&gt;0,G47*H47,0)</f>
        <v/>
      </c>
      <c r="O47">
        <f>IF(G47&gt;0,G47*I47,0)</f>
        <v/>
      </c>
      <c r="P47">
        <f>IF(G47&gt;0,G47*K47,0)</f>
        <v/>
      </c>
      <c r="Q47">
        <f>IF(G47&gt;0,G47*M47,0)</f>
        <v/>
      </c>
      <c r="R47">
        <f>IF(G47&gt;0,P47-N47,0)</f>
        <v/>
      </c>
      <c r="S47">
        <f>IF(G47&gt;0,Q47-T47,0)</f>
        <v/>
      </c>
      <c r="T47">
        <f>SUMIFS('期初批次'!$E$2:$E$41,'期初批次'!$B$2:$B$41,B47,'期初批次'!$I$2:$I$41,A47)+SUMIFS('逐笔辅助'!$N$2:$N$191,'逐笔辅助'!$A$2:$A$191,"流水",'逐笔辅助'!$D$2:$D$191,A47,'逐笔辅助'!$E$2:$E$191,B47)-SUMIFS('逐笔辅助'!$P$2:$P$191,'逐笔辅助'!$A$2:$A$191,"流水",'逐笔辅助'!$D$2:$D$191,A47,'逐笔辅助'!$E$2:$E$191,B47)+SUMIFS('逐笔辅助'!$U$2:$U$191,'逐笔辅助'!$A$2:$A$191,"流水",'逐笔辅助'!$D$2:$D$191,A47,'逐笔辅助'!$E$2:$E$191,B47)</f>
        <v/>
      </c>
      <c r="U47">
        <f>E47-F47</f>
        <v/>
      </c>
      <c r="V47">
        <f>IF(E47&gt;0,SUMIFS('逐笔辅助'!$N$2:$N$191,'逐笔辅助'!$A$2:$A$191,"流水",'逐笔辅助'!$D$2:$D$191,A47,'逐笔辅助'!$E$2:$E$191,B47)/E47,"")</f>
        <v/>
      </c>
      <c r="W47">
        <f>IF(AND(U47&gt;0,M47&lt;&gt;""),U47*(M47-V47),0)</f>
        <v/>
      </c>
    </row>
    <row r="48">
      <c r="A48" t="inlineStr">
        <is>
          <t>深港</t>
        </is>
      </c>
      <c r="B48" t="inlineStr">
        <is>
          <t>788</t>
        </is>
      </c>
      <c r="C48" t="inlineStr">
        <is>
          <t>中国铁塔</t>
        </is>
      </c>
      <c r="D48">
        <f>SUMIFS('期初批次'!$D$2:$D$41,'期初批次'!$B$2:$B$41,B48,'期初批次'!$I$2:$I$41,A48)</f>
        <v/>
      </c>
      <c r="E48">
        <f>SUMIFS('逐笔辅助'!$M$2:$M$191,'逐笔辅助'!$A$2:$A$191,"流水",'逐笔辅助'!$D$2:$D$191,A48,'逐笔辅助'!$E$2:$E$191,B48)</f>
        <v/>
      </c>
      <c r="F48">
        <f>SUMIFS('逐笔辅助'!$O$2:$O$191,'逐笔辅助'!$A$2:$A$191,"流水",'逐笔辅助'!$D$2:$D$191,A48,'逐笔辅助'!$E$2:$E$191,B48)</f>
        <v/>
      </c>
      <c r="G48">
        <f>D48+E48-F48</f>
        <v/>
      </c>
      <c r="H48">
        <f>IF((D48+E48)&gt;0,IF(A48="深港",(SUMIFS('期初批次'!$M$2:$M$41,'期初批次'!$B$2:$B$41,B48,'期初批次'!$I$2:$I$41,A48)+SUMIFS('逐笔辅助'!$J$2:$J$191,'逐笔辅助'!$A$2:$A$191,"流水",'逐笔辅助'!$D$2:$D$191,A48,'逐笔辅助'!$G$2:$G$191,"买入",'逐笔辅助'!$E$2:$E$191,B48))/(D48+E48),(SUMIFS('期初批次'!$E$2:$E$41,'期初批次'!$B$2:$B$41,B48,'期初批次'!$I$2:$I$41,A48)+SUMIFS('逐笔辅助'!$N$2:$N$191,'逐笔辅助'!$A$2:$A$191,"流水",'逐笔辅助'!$D$2:$D$191,A48,'逐笔辅助'!$E$2:$E$191,B48))/(D48+E48)),"")</f>
        <v/>
      </c>
      <c r="I48">
        <f>IF((D48+E48)&gt;0,(SUMIFS('期初批次'!$E$2:$E$41,'期初批次'!$B$2:$B$41,B48,'期初批次'!$I$2:$I$41,A48)+SUMIFS('逐笔辅助'!$N$2:$N$191,'逐笔辅助'!$A$2:$A$191,"流水",'逐笔辅助'!$D$2:$D$191,A48,'逐笔辅助'!$E$2:$E$191,B48))/(D48+E48),"")</f>
        <v/>
      </c>
      <c r="J48">
        <f>IFERROR(INDEX('期初批次'!$J$2:$J$41,MATCH(TRUE,('期初批次'!$B$2:$B$41=B48)*('期初批次'!$I$2:$I$41=A48),0)),IF(A48="深港",TEXT(--B48,"0000")&amp;".HK",IF(--B48&gt;=600000,TEXT(--B48,"000000")&amp;".SH",TEXT(--B48,"000000")&amp;".SZ")))</f>
        <v/>
      </c>
      <c r="K48">
        <f>IF(J48="","",IFERROR(INDEX('估值日行情'!$C$3:$C$61,MATCH(J48,'估值日行情'!$A$3:$A$61,0)),""))</f>
        <v/>
      </c>
      <c r="L48">
        <f>IF(A48="深港",IFERROR('FX_RATES_TO_CNY_HIST'!$B$3,""),1)</f>
        <v/>
      </c>
      <c r="M48">
        <f>IF(K48&lt;&gt;"",K48*L48,"")</f>
        <v/>
      </c>
      <c r="N48">
        <f>IF(G48&gt;0,G48*H48,0)</f>
        <v/>
      </c>
      <c r="O48">
        <f>IF(G48&gt;0,G48*I48,0)</f>
        <v/>
      </c>
      <c r="P48">
        <f>IF(G48&gt;0,G48*K48,0)</f>
        <v/>
      </c>
      <c r="Q48">
        <f>IF(G48&gt;0,G48*M48,0)</f>
        <v/>
      </c>
      <c r="R48">
        <f>IF(G48&gt;0,P48-N48,0)</f>
        <v/>
      </c>
      <c r="S48">
        <f>IF(G48&gt;0,Q48-T48,0)</f>
        <v/>
      </c>
      <c r="T48">
        <f>SUMIFS('期初批次'!$E$2:$E$41,'期初批次'!$B$2:$B$41,B48,'期初批次'!$I$2:$I$41,A48)+SUMIFS('逐笔辅助'!$N$2:$N$191,'逐笔辅助'!$A$2:$A$191,"流水",'逐笔辅助'!$D$2:$D$191,A48,'逐笔辅助'!$E$2:$E$191,B48)-SUMIFS('逐笔辅助'!$P$2:$P$191,'逐笔辅助'!$A$2:$A$191,"流水",'逐笔辅助'!$D$2:$D$191,A48,'逐笔辅助'!$E$2:$E$191,B48)+SUMIFS('逐笔辅助'!$U$2:$U$191,'逐笔辅助'!$A$2:$A$191,"流水",'逐笔辅助'!$D$2:$D$191,A48,'逐笔辅助'!$E$2:$E$191,B48)</f>
        <v/>
      </c>
      <c r="U48">
        <f>E48-F48</f>
        <v/>
      </c>
      <c r="V48">
        <f>IF(E48&gt;0,SUMIFS('逐笔辅助'!$N$2:$N$191,'逐笔辅助'!$A$2:$A$191,"流水",'逐笔辅助'!$D$2:$D$191,A48,'逐笔辅助'!$E$2:$E$191,B48)/E48,"")</f>
        <v/>
      </c>
      <c r="W48">
        <f>IF(AND(U48&gt;0,M48&lt;&gt;""),U48*(M48-V48),0)</f>
        <v/>
      </c>
    </row>
    <row r="49">
      <c r="A49" t="inlineStr">
        <is>
          <t>深港</t>
        </is>
      </c>
      <c r="B49" t="inlineStr">
        <is>
          <t>811</t>
        </is>
      </c>
      <c r="C49" t="inlineStr">
        <is>
          <t>新华文轩</t>
        </is>
      </c>
      <c r="D49">
        <f>SUMIFS('期初批次'!$D$2:$D$41,'期初批次'!$B$2:$B$41,B49,'期初批次'!$I$2:$I$41,A49)</f>
        <v/>
      </c>
      <c r="E49">
        <f>SUMIFS('逐笔辅助'!$M$2:$M$191,'逐笔辅助'!$A$2:$A$191,"流水",'逐笔辅助'!$D$2:$D$191,A49,'逐笔辅助'!$E$2:$E$191,B49)</f>
        <v/>
      </c>
      <c r="F49">
        <f>SUMIFS('逐笔辅助'!$O$2:$O$191,'逐笔辅助'!$A$2:$A$191,"流水",'逐笔辅助'!$D$2:$D$191,A49,'逐笔辅助'!$E$2:$E$191,B49)</f>
        <v/>
      </c>
      <c r="G49">
        <f>D49+E49-F49</f>
        <v/>
      </c>
      <c r="H49">
        <f>IF((D49+E49)&gt;0,IF(A49="深港",(SUMIFS('期初批次'!$M$2:$M$41,'期初批次'!$B$2:$B$41,B49,'期初批次'!$I$2:$I$41,A49)+SUMIFS('逐笔辅助'!$J$2:$J$191,'逐笔辅助'!$A$2:$A$191,"流水",'逐笔辅助'!$D$2:$D$191,A49,'逐笔辅助'!$G$2:$G$191,"买入",'逐笔辅助'!$E$2:$E$191,B49))/(D49+E49),(SUMIFS('期初批次'!$E$2:$E$41,'期初批次'!$B$2:$B$41,B49,'期初批次'!$I$2:$I$41,A49)+SUMIFS('逐笔辅助'!$N$2:$N$191,'逐笔辅助'!$A$2:$A$191,"流水",'逐笔辅助'!$D$2:$D$191,A49,'逐笔辅助'!$E$2:$E$191,B49))/(D49+E49)),"")</f>
        <v/>
      </c>
      <c r="I49">
        <f>IF((D49+E49)&gt;0,(SUMIFS('期初批次'!$E$2:$E$41,'期初批次'!$B$2:$B$41,B49,'期初批次'!$I$2:$I$41,A49)+SUMIFS('逐笔辅助'!$N$2:$N$191,'逐笔辅助'!$A$2:$A$191,"流水",'逐笔辅助'!$D$2:$D$191,A49,'逐笔辅助'!$E$2:$E$191,B49))/(D49+E49),"")</f>
        <v/>
      </c>
      <c r="J49">
        <f>IFERROR(INDEX('期初批次'!$J$2:$J$41,MATCH(TRUE,('期初批次'!$B$2:$B$41=B49)*('期初批次'!$I$2:$I$41=A49),0)),IF(A49="深港",TEXT(--B49,"0000")&amp;".HK",IF(--B49&gt;=600000,TEXT(--B49,"000000")&amp;".SH",TEXT(--B49,"000000")&amp;".SZ")))</f>
        <v/>
      </c>
      <c r="K49">
        <f>IF(J49="","",IFERROR(INDEX('估值日行情'!$C$3:$C$61,MATCH(J49,'估值日行情'!$A$3:$A$61,0)),""))</f>
        <v/>
      </c>
      <c r="L49">
        <f>IF(A49="深港",IFERROR('FX_RATES_TO_CNY_HIST'!$B$3,""),1)</f>
        <v/>
      </c>
      <c r="M49">
        <f>IF(K49&lt;&gt;"",K49*L49,"")</f>
        <v/>
      </c>
      <c r="N49">
        <f>IF(G49&gt;0,G49*H49,0)</f>
        <v/>
      </c>
      <c r="O49">
        <f>IF(G49&gt;0,G49*I49,0)</f>
        <v/>
      </c>
      <c r="P49">
        <f>IF(G49&gt;0,G49*K49,0)</f>
        <v/>
      </c>
      <c r="Q49">
        <f>IF(G49&gt;0,G49*M49,0)</f>
        <v/>
      </c>
      <c r="R49">
        <f>IF(G49&gt;0,P49-N49,0)</f>
        <v/>
      </c>
      <c r="S49">
        <f>IF(G49&gt;0,Q49-T49,0)</f>
        <v/>
      </c>
      <c r="T49">
        <f>SUMIFS('期初批次'!$E$2:$E$41,'期初批次'!$B$2:$B$41,B49,'期初批次'!$I$2:$I$41,A49)+SUMIFS('逐笔辅助'!$N$2:$N$191,'逐笔辅助'!$A$2:$A$191,"流水",'逐笔辅助'!$D$2:$D$191,A49,'逐笔辅助'!$E$2:$E$191,B49)-SUMIFS('逐笔辅助'!$P$2:$P$191,'逐笔辅助'!$A$2:$A$191,"流水",'逐笔辅助'!$D$2:$D$191,A49,'逐笔辅助'!$E$2:$E$191,B49)+SUMIFS('逐笔辅助'!$U$2:$U$191,'逐笔辅助'!$A$2:$A$191,"流水",'逐笔辅助'!$D$2:$D$191,A49,'逐笔辅助'!$E$2:$E$191,B49)</f>
        <v/>
      </c>
      <c r="U49">
        <f>E49-F49</f>
        <v/>
      </c>
      <c r="V49">
        <f>IF(E49&gt;0,SUMIFS('逐笔辅助'!$N$2:$N$191,'逐笔辅助'!$A$2:$A$191,"流水",'逐笔辅助'!$D$2:$D$191,A49,'逐笔辅助'!$E$2:$E$191,B49)/E49,"")</f>
        <v/>
      </c>
      <c r="W49">
        <f>IF(AND(U49&gt;0,M49&lt;&gt;""),U49*(M49-V49),0)</f>
        <v/>
      </c>
    </row>
    <row r="50">
      <c r="A50" t="inlineStr">
        <is>
          <t>深港</t>
        </is>
      </c>
      <c r="B50" t="inlineStr">
        <is>
          <t>836</t>
        </is>
      </c>
      <c r="C50" t="inlineStr">
        <is>
          <t>华润电力</t>
        </is>
      </c>
      <c r="D50">
        <f>SUMIFS('期初批次'!$D$2:$D$41,'期初批次'!$B$2:$B$41,B50,'期初批次'!$I$2:$I$41,A50)</f>
        <v/>
      </c>
      <c r="E50">
        <f>SUMIFS('逐笔辅助'!$M$2:$M$191,'逐笔辅助'!$A$2:$A$191,"流水",'逐笔辅助'!$D$2:$D$191,A50,'逐笔辅助'!$E$2:$E$191,B50)</f>
        <v/>
      </c>
      <c r="F50">
        <f>SUMIFS('逐笔辅助'!$O$2:$O$191,'逐笔辅助'!$A$2:$A$191,"流水",'逐笔辅助'!$D$2:$D$191,A50,'逐笔辅助'!$E$2:$E$191,B50)</f>
        <v/>
      </c>
      <c r="G50">
        <f>D50+E50-F50</f>
        <v/>
      </c>
      <c r="H50">
        <f>IF((D50+E50)&gt;0,IF(A50="深港",(SUMIFS('期初批次'!$M$2:$M$41,'期初批次'!$B$2:$B$41,B50,'期初批次'!$I$2:$I$41,A50)+SUMIFS('逐笔辅助'!$J$2:$J$191,'逐笔辅助'!$A$2:$A$191,"流水",'逐笔辅助'!$D$2:$D$191,A50,'逐笔辅助'!$G$2:$G$191,"买入",'逐笔辅助'!$E$2:$E$191,B50))/(D50+E50),(SUMIFS('期初批次'!$E$2:$E$41,'期初批次'!$B$2:$B$41,B50,'期初批次'!$I$2:$I$41,A50)+SUMIFS('逐笔辅助'!$N$2:$N$191,'逐笔辅助'!$A$2:$A$191,"流水",'逐笔辅助'!$D$2:$D$191,A50,'逐笔辅助'!$E$2:$E$191,B50))/(D50+E50)),"")</f>
        <v/>
      </c>
      <c r="I50">
        <f>IF((D50+E50)&gt;0,(SUMIFS('期初批次'!$E$2:$E$41,'期初批次'!$B$2:$B$41,B50,'期初批次'!$I$2:$I$41,A50)+SUMIFS('逐笔辅助'!$N$2:$N$191,'逐笔辅助'!$A$2:$A$191,"流水",'逐笔辅助'!$D$2:$D$191,A50,'逐笔辅助'!$E$2:$E$191,B50))/(D50+E50),"")</f>
        <v/>
      </c>
      <c r="J50">
        <f>IFERROR(INDEX('期初批次'!$J$2:$J$41,MATCH(TRUE,('期初批次'!$B$2:$B$41=B50)*('期初批次'!$I$2:$I$41=A50),0)),IF(A50="深港",TEXT(--B50,"0000")&amp;".HK",IF(--B50&gt;=600000,TEXT(--B50,"000000")&amp;".SH",TEXT(--B50,"000000")&amp;".SZ")))</f>
        <v/>
      </c>
      <c r="K50">
        <f>IF(J50="","",IFERROR(INDEX('估值日行情'!$C$3:$C$61,MATCH(J50,'估值日行情'!$A$3:$A$61,0)),""))</f>
        <v/>
      </c>
      <c r="L50">
        <f>IF(A50="深港",IFERROR('FX_RATES_TO_CNY_HIST'!$B$3,""),1)</f>
        <v/>
      </c>
      <c r="M50">
        <f>IF(K50&lt;&gt;"",K50*L50,"")</f>
        <v/>
      </c>
      <c r="N50">
        <f>IF(G50&gt;0,G50*H50,0)</f>
        <v/>
      </c>
      <c r="O50">
        <f>IF(G50&gt;0,G50*I50,0)</f>
        <v/>
      </c>
      <c r="P50">
        <f>IF(G50&gt;0,G50*K50,0)</f>
        <v/>
      </c>
      <c r="Q50">
        <f>IF(G50&gt;0,G50*M50,0)</f>
        <v/>
      </c>
      <c r="R50">
        <f>IF(G50&gt;0,P50-N50,0)</f>
        <v/>
      </c>
      <c r="S50">
        <f>IF(G50&gt;0,Q50-T50,0)</f>
        <v/>
      </c>
      <c r="T50">
        <f>SUMIFS('期初批次'!$E$2:$E$41,'期初批次'!$B$2:$B$41,B50,'期初批次'!$I$2:$I$41,A50)+SUMIFS('逐笔辅助'!$N$2:$N$191,'逐笔辅助'!$A$2:$A$191,"流水",'逐笔辅助'!$D$2:$D$191,A50,'逐笔辅助'!$E$2:$E$191,B50)-SUMIFS('逐笔辅助'!$P$2:$P$191,'逐笔辅助'!$A$2:$A$191,"流水",'逐笔辅助'!$D$2:$D$191,A50,'逐笔辅助'!$E$2:$E$191,B50)+SUMIFS('逐笔辅助'!$U$2:$U$191,'逐笔辅助'!$A$2:$A$191,"流水",'逐笔辅助'!$D$2:$D$191,A50,'逐笔辅助'!$E$2:$E$191,B50)</f>
        <v/>
      </c>
      <c r="U50">
        <f>E50-F50</f>
        <v/>
      </c>
      <c r="V50">
        <f>IF(E50&gt;0,SUMIFS('逐笔辅助'!$N$2:$N$191,'逐笔辅助'!$A$2:$A$191,"流水",'逐笔辅助'!$D$2:$D$191,A50,'逐笔辅助'!$E$2:$E$191,B50)/E50,"")</f>
        <v/>
      </c>
      <c r="W50">
        <f>IF(AND(U50&gt;0,M50&lt;&gt;""),U50*(M50-V50),0)</f>
        <v/>
      </c>
    </row>
    <row r="51">
      <c r="A51" t="inlineStr">
        <is>
          <t>深港</t>
        </is>
      </c>
      <c r="B51" t="inlineStr">
        <is>
          <t>883</t>
        </is>
      </c>
      <c r="C51" t="inlineStr">
        <is>
          <t>中国海洋石油</t>
        </is>
      </c>
      <c r="D51">
        <f>SUMIFS('期初批次'!$D$2:$D$41,'期初批次'!$B$2:$B$41,B51,'期初批次'!$I$2:$I$41,A51)</f>
        <v/>
      </c>
      <c r="E51">
        <f>SUMIFS('逐笔辅助'!$M$2:$M$191,'逐笔辅助'!$A$2:$A$191,"流水",'逐笔辅助'!$D$2:$D$191,A51,'逐笔辅助'!$E$2:$E$191,B51)</f>
        <v/>
      </c>
      <c r="F51">
        <f>SUMIFS('逐笔辅助'!$O$2:$O$191,'逐笔辅助'!$A$2:$A$191,"流水",'逐笔辅助'!$D$2:$D$191,A51,'逐笔辅助'!$E$2:$E$191,B51)</f>
        <v/>
      </c>
      <c r="G51">
        <f>D51+E51-F51</f>
        <v/>
      </c>
      <c r="H51">
        <f>IF((D51+E51)&gt;0,IF(A51="深港",(SUMIFS('期初批次'!$M$2:$M$41,'期初批次'!$B$2:$B$41,B51,'期初批次'!$I$2:$I$41,A51)+SUMIFS('逐笔辅助'!$J$2:$J$191,'逐笔辅助'!$A$2:$A$191,"流水",'逐笔辅助'!$D$2:$D$191,A51,'逐笔辅助'!$G$2:$G$191,"买入",'逐笔辅助'!$E$2:$E$191,B51))/(D51+E51),(SUMIFS('期初批次'!$E$2:$E$41,'期初批次'!$B$2:$B$41,B51,'期初批次'!$I$2:$I$41,A51)+SUMIFS('逐笔辅助'!$N$2:$N$191,'逐笔辅助'!$A$2:$A$191,"流水",'逐笔辅助'!$D$2:$D$191,A51,'逐笔辅助'!$E$2:$E$191,B51))/(D51+E51)),"")</f>
        <v/>
      </c>
      <c r="I51">
        <f>IF((D51+E51)&gt;0,(SUMIFS('期初批次'!$E$2:$E$41,'期初批次'!$B$2:$B$41,B51,'期初批次'!$I$2:$I$41,A51)+SUMIFS('逐笔辅助'!$N$2:$N$191,'逐笔辅助'!$A$2:$A$191,"流水",'逐笔辅助'!$D$2:$D$191,A51,'逐笔辅助'!$E$2:$E$191,B51))/(D51+E51),"")</f>
        <v/>
      </c>
      <c r="J51">
        <f>IFERROR(INDEX('期初批次'!$J$2:$J$41,MATCH(TRUE,('期初批次'!$B$2:$B$41=B51)*('期初批次'!$I$2:$I$41=A51),0)),IF(A51="深港",TEXT(--B51,"0000")&amp;".HK",IF(--B51&gt;=600000,TEXT(--B51,"000000")&amp;".SH",TEXT(--B51,"000000")&amp;".SZ")))</f>
        <v/>
      </c>
      <c r="K51">
        <f>IF(J51="","",IFERROR(INDEX('估值日行情'!$C$3:$C$61,MATCH(J51,'估值日行情'!$A$3:$A$61,0)),""))</f>
        <v/>
      </c>
      <c r="L51">
        <f>IF(A51="深港",IFERROR('FX_RATES_TO_CNY_HIST'!$B$3,""),1)</f>
        <v/>
      </c>
      <c r="M51">
        <f>IF(K51&lt;&gt;"",K51*L51,"")</f>
        <v/>
      </c>
      <c r="N51">
        <f>IF(G51&gt;0,G51*H51,0)</f>
        <v/>
      </c>
      <c r="O51">
        <f>IF(G51&gt;0,G51*I51,0)</f>
        <v/>
      </c>
      <c r="P51">
        <f>IF(G51&gt;0,G51*K51,0)</f>
        <v/>
      </c>
      <c r="Q51">
        <f>IF(G51&gt;0,G51*M51,0)</f>
        <v/>
      </c>
      <c r="R51">
        <f>IF(G51&gt;0,P51-N51,0)</f>
        <v/>
      </c>
      <c r="S51">
        <f>IF(G51&gt;0,Q51-T51,0)</f>
        <v/>
      </c>
      <c r="T51">
        <f>SUMIFS('期初批次'!$E$2:$E$41,'期初批次'!$B$2:$B$41,B51,'期初批次'!$I$2:$I$41,A51)+SUMIFS('逐笔辅助'!$N$2:$N$191,'逐笔辅助'!$A$2:$A$191,"流水",'逐笔辅助'!$D$2:$D$191,A51,'逐笔辅助'!$E$2:$E$191,B51)-SUMIFS('逐笔辅助'!$P$2:$P$191,'逐笔辅助'!$A$2:$A$191,"流水",'逐笔辅助'!$D$2:$D$191,A51,'逐笔辅助'!$E$2:$E$191,B51)+SUMIFS('逐笔辅助'!$U$2:$U$191,'逐笔辅助'!$A$2:$A$191,"流水",'逐笔辅助'!$D$2:$D$191,A51,'逐笔辅助'!$E$2:$E$191,B51)</f>
        <v/>
      </c>
      <c r="U51">
        <f>E51-F51</f>
        <v/>
      </c>
      <c r="V51">
        <f>IF(E51&gt;0,SUMIFS('逐笔辅助'!$N$2:$N$191,'逐笔辅助'!$A$2:$A$191,"流水",'逐笔辅助'!$D$2:$D$191,A51,'逐笔辅助'!$E$2:$E$191,B51)/E51,"")</f>
        <v/>
      </c>
      <c r="W51">
        <f>IF(AND(U51&gt;0,M51&lt;&gt;""),U51*(M51-V51),0)</f>
        <v/>
      </c>
    </row>
    <row r="52">
      <c r="A52" t="inlineStr">
        <is>
          <t>深港</t>
        </is>
      </c>
      <c r="B52" t="inlineStr">
        <is>
          <t>939</t>
        </is>
      </c>
      <c r="C52" t="inlineStr">
        <is>
          <t>建设银行</t>
        </is>
      </c>
      <c r="D52">
        <f>SUMIFS('期初批次'!$D$2:$D$41,'期初批次'!$B$2:$B$41,B52,'期初批次'!$I$2:$I$41,A52)</f>
        <v/>
      </c>
      <c r="E52">
        <f>SUMIFS('逐笔辅助'!$M$2:$M$191,'逐笔辅助'!$A$2:$A$191,"流水",'逐笔辅助'!$D$2:$D$191,A52,'逐笔辅助'!$E$2:$E$191,B52)</f>
        <v/>
      </c>
      <c r="F52">
        <f>SUMIFS('逐笔辅助'!$O$2:$O$191,'逐笔辅助'!$A$2:$A$191,"流水",'逐笔辅助'!$D$2:$D$191,A52,'逐笔辅助'!$E$2:$E$191,B52)</f>
        <v/>
      </c>
      <c r="G52">
        <f>D52+E52-F52</f>
        <v/>
      </c>
      <c r="H52">
        <f>IF((D52+E52)&gt;0,IF(A52="深港",(SUMIFS('期初批次'!$M$2:$M$41,'期初批次'!$B$2:$B$41,B52,'期初批次'!$I$2:$I$41,A52)+SUMIFS('逐笔辅助'!$J$2:$J$191,'逐笔辅助'!$A$2:$A$191,"流水",'逐笔辅助'!$D$2:$D$191,A52,'逐笔辅助'!$G$2:$G$191,"买入",'逐笔辅助'!$E$2:$E$191,B52))/(D52+E52),(SUMIFS('期初批次'!$E$2:$E$41,'期初批次'!$B$2:$B$41,B52,'期初批次'!$I$2:$I$41,A52)+SUMIFS('逐笔辅助'!$N$2:$N$191,'逐笔辅助'!$A$2:$A$191,"流水",'逐笔辅助'!$D$2:$D$191,A52,'逐笔辅助'!$E$2:$E$191,B52))/(D52+E52)),"")</f>
        <v/>
      </c>
      <c r="I52">
        <f>IF((D52+E52)&gt;0,(SUMIFS('期初批次'!$E$2:$E$41,'期初批次'!$B$2:$B$41,B52,'期初批次'!$I$2:$I$41,A52)+SUMIFS('逐笔辅助'!$N$2:$N$191,'逐笔辅助'!$A$2:$A$191,"流水",'逐笔辅助'!$D$2:$D$191,A52,'逐笔辅助'!$E$2:$E$191,B52))/(D52+E52),"")</f>
        <v/>
      </c>
      <c r="J52">
        <f>IFERROR(INDEX('期初批次'!$J$2:$J$41,MATCH(TRUE,('期初批次'!$B$2:$B$41=B52)*('期初批次'!$I$2:$I$41=A52),0)),IF(A52="深港",TEXT(--B52,"0000")&amp;".HK",IF(--B52&gt;=600000,TEXT(--B52,"000000")&amp;".SH",TEXT(--B52,"000000")&amp;".SZ")))</f>
        <v/>
      </c>
      <c r="K52">
        <f>IF(J52="","",IFERROR(INDEX('估值日行情'!$C$3:$C$61,MATCH(J52,'估值日行情'!$A$3:$A$61,0)),""))</f>
        <v/>
      </c>
      <c r="L52">
        <f>IF(A52="深港",IFERROR('FX_RATES_TO_CNY_HIST'!$B$3,""),1)</f>
        <v/>
      </c>
      <c r="M52">
        <f>IF(K52&lt;&gt;"",K52*L52,"")</f>
        <v/>
      </c>
      <c r="N52">
        <f>IF(G52&gt;0,G52*H52,0)</f>
        <v/>
      </c>
      <c r="O52">
        <f>IF(G52&gt;0,G52*I52,0)</f>
        <v/>
      </c>
      <c r="P52">
        <f>IF(G52&gt;0,G52*K52,0)</f>
        <v/>
      </c>
      <c r="Q52">
        <f>IF(G52&gt;0,G52*M52,0)</f>
        <v/>
      </c>
      <c r="R52">
        <f>IF(G52&gt;0,P52-N52,0)</f>
        <v/>
      </c>
      <c r="S52">
        <f>IF(G52&gt;0,Q52-T52,0)</f>
        <v/>
      </c>
      <c r="T52">
        <f>SUMIFS('期初批次'!$E$2:$E$41,'期初批次'!$B$2:$B$41,B52,'期初批次'!$I$2:$I$41,A52)+SUMIFS('逐笔辅助'!$N$2:$N$191,'逐笔辅助'!$A$2:$A$191,"流水",'逐笔辅助'!$D$2:$D$191,A52,'逐笔辅助'!$E$2:$E$191,B52)-SUMIFS('逐笔辅助'!$P$2:$P$191,'逐笔辅助'!$A$2:$A$191,"流水",'逐笔辅助'!$D$2:$D$191,A52,'逐笔辅助'!$E$2:$E$191,B52)+SUMIFS('逐笔辅助'!$U$2:$U$191,'逐笔辅助'!$A$2:$A$191,"流水",'逐笔辅助'!$D$2:$D$191,A52,'逐笔辅助'!$E$2:$E$191,B52)</f>
        <v/>
      </c>
      <c r="U52">
        <f>E52-F52</f>
        <v/>
      </c>
      <c r="V52">
        <f>IF(E52&gt;0,SUMIFS('逐笔辅助'!$N$2:$N$191,'逐笔辅助'!$A$2:$A$191,"流水",'逐笔辅助'!$D$2:$D$191,A52,'逐笔辅助'!$E$2:$E$191,B52)/E52,"")</f>
        <v/>
      </c>
      <c r="W52">
        <f>IF(AND(U52&gt;0,M52&lt;&gt;""),U52*(M52-V52),0)</f>
        <v/>
      </c>
    </row>
    <row r="53">
      <c r="A53" t="inlineStr">
        <is>
          <t>深港</t>
        </is>
      </c>
      <c r="B53" t="inlineStr">
        <is>
          <t>941</t>
        </is>
      </c>
      <c r="C53" t="inlineStr">
        <is>
          <t>中国移动</t>
        </is>
      </c>
      <c r="D53">
        <f>SUMIFS('期初批次'!$D$2:$D$41,'期初批次'!$B$2:$B$41,B53,'期初批次'!$I$2:$I$41,A53)</f>
        <v/>
      </c>
      <c r="E53">
        <f>SUMIFS('逐笔辅助'!$M$2:$M$191,'逐笔辅助'!$A$2:$A$191,"流水",'逐笔辅助'!$D$2:$D$191,A53,'逐笔辅助'!$E$2:$E$191,B53)</f>
        <v/>
      </c>
      <c r="F53">
        <f>SUMIFS('逐笔辅助'!$O$2:$O$191,'逐笔辅助'!$A$2:$A$191,"流水",'逐笔辅助'!$D$2:$D$191,A53,'逐笔辅助'!$E$2:$E$191,B53)</f>
        <v/>
      </c>
      <c r="G53">
        <f>D53+E53-F53</f>
        <v/>
      </c>
      <c r="H53">
        <f>IF((D53+E53)&gt;0,IF(A53="深港",(SUMIFS('期初批次'!$M$2:$M$41,'期初批次'!$B$2:$B$41,B53,'期初批次'!$I$2:$I$41,A53)+SUMIFS('逐笔辅助'!$J$2:$J$191,'逐笔辅助'!$A$2:$A$191,"流水",'逐笔辅助'!$D$2:$D$191,A53,'逐笔辅助'!$G$2:$G$191,"买入",'逐笔辅助'!$E$2:$E$191,B53))/(D53+E53),(SUMIFS('期初批次'!$E$2:$E$41,'期初批次'!$B$2:$B$41,B53,'期初批次'!$I$2:$I$41,A53)+SUMIFS('逐笔辅助'!$N$2:$N$191,'逐笔辅助'!$A$2:$A$191,"流水",'逐笔辅助'!$D$2:$D$191,A53,'逐笔辅助'!$E$2:$E$191,B53))/(D53+E53)),"")</f>
        <v/>
      </c>
      <c r="I53">
        <f>IF((D53+E53)&gt;0,(SUMIFS('期初批次'!$E$2:$E$41,'期初批次'!$B$2:$B$41,B53,'期初批次'!$I$2:$I$41,A53)+SUMIFS('逐笔辅助'!$N$2:$N$191,'逐笔辅助'!$A$2:$A$191,"流水",'逐笔辅助'!$D$2:$D$191,A53,'逐笔辅助'!$E$2:$E$191,B53))/(D53+E53),"")</f>
        <v/>
      </c>
      <c r="J53">
        <f>IFERROR(INDEX('期初批次'!$J$2:$J$41,MATCH(TRUE,('期初批次'!$B$2:$B$41=B53)*('期初批次'!$I$2:$I$41=A53),0)),IF(A53="深港",TEXT(--B53,"0000")&amp;".HK",IF(--B53&gt;=600000,TEXT(--B53,"000000")&amp;".SH",TEXT(--B53,"000000")&amp;".SZ")))</f>
        <v/>
      </c>
      <c r="K53">
        <f>IF(J53="","",IFERROR(INDEX('估值日行情'!$C$3:$C$61,MATCH(J53,'估值日行情'!$A$3:$A$61,0)),""))</f>
        <v/>
      </c>
      <c r="L53">
        <f>IF(A53="深港",IFERROR('FX_RATES_TO_CNY_HIST'!$B$3,""),1)</f>
        <v/>
      </c>
      <c r="M53">
        <f>IF(K53&lt;&gt;"",K53*L53,"")</f>
        <v/>
      </c>
      <c r="N53">
        <f>IF(G53&gt;0,G53*H53,0)</f>
        <v/>
      </c>
      <c r="O53">
        <f>IF(G53&gt;0,G53*I53,0)</f>
        <v/>
      </c>
      <c r="P53">
        <f>IF(G53&gt;0,G53*K53,0)</f>
        <v/>
      </c>
      <c r="Q53">
        <f>IF(G53&gt;0,G53*M53,0)</f>
        <v/>
      </c>
      <c r="R53">
        <f>IF(G53&gt;0,P53-N53,0)</f>
        <v/>
      </c>
      <c r="S53">
        <f>IF(G53&gt;0,Q53-T53,0)</f>
        <v/>
      </c>
      <c r="T53">
        <f>SUMIFS('期初批次'!$E$2:$E$41,'期初批次'!$B$2:$B$41,B53,'期初批次'!$I$2:$I$41,A53)+SUMIFS('逐笔辅助'!$N$2:$N$191,'逐笔辅助'!$A$2:$A$191,"流水",'逐笔辅助'!$D$2:$D$191,A53,'逐笔辅助'!$E$2:$E$191,B53)-SUMIFS('逐笔辅助'!$P$2:$P$191,'逐笔辅助'!$A$2:$A$191,"流水",'逐笔辅助'!$D$2:$D$191,A53,'逐笔辅助'!$E$2:$E$191,B53)+SUMIFS('逐笔辅助'!$U$2:$U$191,'逐笔辅助'!$A$2:$A$191,"流水",'逐笔辅助'!$D$2:$D$191,A53,'逐笔辅助'!$E$2:$E$191,B53)</f>
        <v/>
      </c>
      <c r="U53">
        <f>E53-F53</f>
        <v/>
      </c>
      <c r="V53">
        <f>IF(E53&gt;0,SUMIFS('逐笔辅助'!$N$2:$N$191,'逐笔辅助'!$A$2:$A$191,"流水",'逐笔辅助'!$D$2:$D$191,A53,'逐笔辅助'!$E$2:$E$191,B53)/E53,"")</f>
        <v/>
      </c>
      <c r="W53">
        <f>IF(AND(U53&gt;0,M53&lt;&gt;""),U53*(M53-V53),0)</f>
        <v/>
      </c>
    </row>
    <row r="54">
      <c r="A54" t="inlineStr">
        <is>
          <t>深港</t>
        </is>
      </c>
      <c r="B54" t="inlineStr">
        <is>
          <t>995</t>
        </is>
      </c>
      <c r="C54" t="inlineStr">
        <is>
          <t>安徽皖通高速公路</t>
        </is>
      </c>
      <c r="D54">
        <f>SUMIFS('期初批次'!$D$2:$D$41,'期初批次'!$B$2:$B$41,B54,'期初批次'!$I$2:$I$41,A54)</f>
        <v/>
      </c>
      <c r="E54">
        <f>SUMIFS('逐笔辅助'!$M$2:$M$191,'逐笔辅助'!$A$2:$A$191,"流水",'逐笔辅助'!$D$2:$D$191,A54,'逐笔辅助'!$E$2:$E$191,B54)</f>
        <v/>
      </c>
      <c r="F54">
        <f>SUMIFS('逐笔辅助'!$O$2:$O$191,'逐笔辅助'!$A$2:$A$191,"流水",'逐笔辅助'!$D$2:$D$191,A54,'逐笔辅助'!$E$2:$E$191,B54)</f>
        <v/>
      </c>
      <c r="G54">
        <f>D54+E54-F54</f>
        <v/>
      </c>
      <c r="H54">
        <f>IF((D54+E54)&gt;0,IF(A54="深港",(SUMIFS('期初批次'!$M$2:$M$41,'期初批次'!$B$2:$B$41,B54,'期初批次'!$I$2:$I$41,A54)+SUMIFS('逐笔辅助'!$J$2:$J$191,'逐笔辅助'!$A$2:$A$191,"流水",'逐笔辅助'!$D$2:$D$191,A54,'逐笔辅助'!$G$2:$G$191,"买入",'逐笔辅助'!$E$2:$E$191,B54))/(D54+E54),(SUMIFS('期初批次'!$E$2:$E$41,'期初批次'!$B$2:$B$41,B54,'期初批次'!$I$2:$I$41,A54)+SUMIFS('逐笔辅助'!$N$2:$N$191,'逐笔辅助'!$A$2:$A$191,"流水",'逐笔辅助'!$D$2:$D$191,A54,'逐笔辅助'!$E$2:$E$191,B54))/(D54+E54)),"")</f>
        <v/>
      </c>
      <c r="I54">
        <f>IF((D54+E54)&gt;0,(SUMIFS('期初批次'!$E$2:$E$41,'期初批次'!$B$2:$B$41,B54,'期初批次'!$I$2:$I$41,A54)+SUMIFS('逐笔辅助'!$N$2:$N$191,'逐笔辅助'!$A$2:$A$191,"流水",'逐笔辅助'!$D$2:$D$191,A54,'逐笔辅助'!$E$2:$E$191,B54))/(D54+E54),"")</f>
        <v/>
      </c>
      <c r="J54">
        <f>IFERROR(INDEX('期初批次'!$J$2:$J$41,MATCH(TRUE,('期初批次'!$B$2:$B$41=B54)*('期初批次'!$I$2:$I$41=A54),0)),IF(A54="深港",TEXT(--B54,"0000")&amp;".HK",IF(--B54&gt;=600000,TEXT(--B54,"000000")&amp;".SH",TEXT(--B54,"000000")&amp;".SZ")))</f>
        <v/>
      </c>
      <c r="K54">
        <f>IF(J54="","",IFERROR(INDEX('估值日行情'!$C$3:$C$61,MATCH(J54,'估值日行情'!$A$3:$A$61,0)),""))</f>
        <v/>
      </c>
      <c r="L54">
        <f>IF(A54="深港",IFERROR('FX_RATES_TO_CNY_HIST'!$B$3,""),1)</f>
        <v/>
      </c>
      <c r="M54">
        <f>IF(K54&lt;&gt;"",K54*L54,"")</f>
        <v/>
      </c>
      <c r="N54">
        <f>IF(G54&gt;0,G54*H54,0)</f>
        <v/>
      </c>
      <c r="O54">
        <f>IF(G54&gt;0,G54*I54,0)</f>
        <v/>
      </c>
      <c r="P54">
        <f>IF(G54&gt;0,G54*K54,0)</f>
        <v/>
      </c>
      <c r="Q54">
        <f>IF(G54&gt;0,G54*M54,0)</f>
        <v/>
      </c>
      <c r="R54">
        <f>IF(G54&gt;0,P54-N54,0)</f>
        <v/>
      </c>
      <c r="S54">
        <f>IF(G54&gt;0,Q54-T54,0)</f>
        <v/>
      </c>
      <c r="T54">
        <f>SUMIFS('期初批次'!$E$2:$E$41,'期初批次'!$B$2:$B$41,B54,'期初批次'!$I$2:$I$41,A54)+SUMIFS('逐笔辅助'!$N$2:$N$191,'逐笔辅助'!$A$2:$A$191,"流水",'逐笔辅助'!$D$2:$D$191,A54,'逐笔辅助'!$E$2:$E$191,B54)-SUMIFS('逐笔辅助'!$P$2:$P$191,'逐笔辅助'!$A$2:$A$191,"流水",'逐笔辅助'!$D$2:$D$191,A54,'逐笔辅助'!$E$2:$E$191,B54)+SUMIFS('逐笔辅助'!$U$2:$U$191,'逐笔辅助'!$A$2:$A$191,"流水",'逐笔辅助'!$D$2:$D$191,A54,'逐笔辅助'!$E$2:$E$191,B54)</f>
        <v/>
      </c>
      <c r="U54">
        <f>E54-F54</f>
        <v/>
      </c>
      <c r="V54">
        <f>IF(E54&gt;0,SUMIFS('逐笔辅助'!$N$2:$N$191,'逐笔辅助'!$A$2:$A$191,"流水",'逐笔辅助'!$D$2:$D$191,A54,'逐笔辅助'!$E$2:$E$191,B54)/E54,"")</f>
        <v/>
      </c>
      <c r="W54">
        <f>IF(AND(U54&gt;0,M54&lt;&gt;""),U54*(M54-V54),0)</f>
        <v/>
      </c>
    </row>
    <row r="55">
      <c r="A55" t="inlineStr">
        <is>
          <t>深港</t>
        </is>
      </c>
      <c r="B55" t="inlineStr">
        <is>
          <t>998</t>
        </is>
      </c>
      <c r="C55" t="inlineStr">
        <is>
          <t>中信银行</t>
        </is>
      </c>
      <c r="D55">
        <f>SUMIFS('期初批次'!$D$2:$D$41,'期初批次'!$B$2:$B$41,B55,'期初批次'!$I$2:$I$41,A55)</f>
        <v/>
      </c>
      <c r="E55">
        <f>SUMIFS('逐笔辅助'!$M$2:$M$191,'逐笔辅助'!$A$2:$A$191,"流水",'逐笔辅助'!$D$2:$D$191,A55,'逐笔辅助'!$E$2:$E$191,B55)</f>
        <v/>
      </c>
      <c r="F55">
        <f>SUMIFS('逐笔辅助'!$O$2:$O$191,'逐笔辅助'!$A$2:$A$191,"流水",'逐笔辅助'!$D$2:$D$191,A55,'逐笔辅助'!$E$2:$E$191,B55)</f>
        <v/>
      </c>
      <c r="G55">
        <f>D55+E55-F55</f>
        <v/>
      </c>
      <c r="H55">
        <f>IF((D55+E55)&gt;0,IF(A55="深港",(SUMIFS('期初批次'!$M$2:$M$41,'期初批次'!$B$2:$B$41,B55,'期初批次'!$I$2:$I$41,A55)+SUMIFS('逐笔辅助'!$J$2:$J$191,'逐笔辅助'!$A$2:$A$191,"流水",'逐笔辅助'!$D$2:$D$191,A55,'逐笔辅助'!$G$2:$G$191,"买入",'逐笔辅助'!$E$2:$E$191,B55))/(D55+E55),(SUMIFS('期初批次'!$E$2:$E$41,'期初批次'!$B$2:$B$41,B55,'期初批次'!$I$2:$I$41,A55)+SUMIFS('逐笔辅助'!$N$2:$N$191,'逐笔辅助'!$A$2:$A$191,"流水",'逐笔辅助'!$D$2:$D$191,A55,'逐笔辅助'!$E$2:$E$191,B55))/(D55+E55)),"")</f>
        <v/>
      </c>
      <c r="I55">
        <f>IF((D55+E55)&gt;0,(SUMIFS('期初批次'!$E$2:$E$41,'期初批次'!$B$2:$B$41,B55,'期初批次'!$I$2:$I$41,A55)+SUMIFS('逐笔辅助'!$N$2:$N$191,'逐笔辅助'!$A$2:$A$191,"流水",'逐笔辅助'!$D$2:$D$191,A55,'逐笔辅助'!$E$2:$E$191,B55))/(D55+E55),"")</f>
        <v/>
      </c>
      <c r="J55">
        <f>IFERROR(INDEX('期初批次'!$J$2:$J$41,MATCH(TRUE,('期初批次'!$B$2:$B$41=B55)*('期初批次'!$I$2:$I$41=A55),0)),IF(A55="深港",TEXT(--B55,"0000")&amp;".HK",IF(--B55&gt;=600000,TEXT(--B55,"000000")&amp;".SH",TEXT(--B55,"000000")&amp;".SZ")))</f>
        <v/>
      </c>
      <c r="K55">
        <f>IF(J55="","",IFERROR(INDEX('估值日行情'!$C$3:$C$61,MATCH(J55,'估值日行情'!$A$3:$A$61,0)),""))</f>
        <v/>
      </c>
      <c r="L55">
        <f>IF(A55="深港",IFERROR('FX_RATES_TO_CNY_HIST'!$B$3,""),1)</f>
        <v/>
      </c>
      <c r="M55">
        <f>IF(K55&lt;&gt;"",K55*L55,"")</f>
        <v/>
      </c>
      <c r="N55">
        <f>IF(G55&gt;0,G55*H55,0)</f>
        <v/>
      </c>
      <c r="O55">
        <f>IF(G55&gt;0,G55*I55,0)</f>
        <v/>
      </c>
      <c r="P55">
        <f>IF(G55&gt;0,G55*K55,0)</f>
        <v/>
      </c>
      <c r="Q55">
        <f>IF(G55&gt;0,G55*M55,0)</f>
        <v/>
      </c>
      <c r="R55">
        <f>IF(G55&gt;0,P55-N55,0)</f>
        <v/>
      </c>
      <c r="S55">
        <f>IF(G55&gt;0,Q55-T55,0)</f>
        <v/>
      </c>
      <c r="T55">
        <f>SUMIFS('期初批次'!$E$2:$E$41,'期初批次'!$B$2:$B$41,B55,'期初批次'!$I$2:$I$41,A55)+SUMIFS('逐笔辅助'!$N$2:$N$191,'逐笔辅助'!$A$2:$A$191,"流水",'逐笔辅助'!$D$2:$D$191,A55,'逐笔辅助'!$E$2:$E$191,B55)-SUMIFS('逐笔辅助'!$P$2:$P$191,'逐笔辅助'!$A$2:$A$191,"流水",'逐笔辅助'!$D$2:$D$191,A55,'逐笔辅助'!$E$2:$E$191,B55)+SUMIFS('逐笔辅助'!$U$2:$U$191,'逐笔辅助'!$A$2:$A$191,"流水",'逐笔辅助'!$D$2:$D$191,A55,'逐笔辅助'!$E$2:$E$191,B55)</f>
        <v/>
      </c>
      <c r="U55">
        <f>E55-F55</f>
        <v/>
      </c>
      <c r="V55">
        <f>IF(E55&gt;0,SUMIFS('逐笔辅助'!$N$2:$N$191,'逐笔辅助'!$A$2:$A$191,"流水",'逐笔辅助'!$D$2:$D$191,A55,'逐笔辅助'!$E$2:$E$191,B55)/E55,"")</f>
        <v/>
      </c>
      <c r="W55">
        <f>IF(AND(U55&gt;0,M55&lt;&gt;""),U55*(M55-V55),0)</f>
        <v/>
      </c>
    </row>
    <row r="56">
      <c r="A56" t="inlineStr">
        <is>
          <t>深港</t>
        </is>
      </c>
      <c r="B56" t="inlineStr">
        <is>
          <t>9985</t>
        </is>
      </c>
      <c r="C56" t="inlineStr">
        <is>
          <t>卫龙美味</t>
        </is>
      </c>
      <c r="D56">
        <f>SUMIFS('期初批次'!$D$2:$D$41,'期初批次'!$B$2:$B$41,B56,'期初批次'!$I$2:$I$41,A56)</f>
        <v/>
      </c>
      <c r="E56">
        <f>SUMIFS('逐笔辅助'!$M$2:$M$191,'逐笔辅助'!$A$2:$A$191,"流水",'逐笔辅助'!$D$2:$D$191,A56,'逐笔辅助'!$E$2:$E$191,B56)</f>
        <v/>
      </c>
      <c r="F56">
        <f>SUMIFS('逐笔辅助'!$O$2:$O$191,'逐笔辅助'!$A$2:$A$191,"流水",'逐笔辅助'!$D$2:$D$191,A56,'逐笔辅助'!$E$2:$E$191,B56)</f>
        <v/>
      </c>
      <c r="G56">
        <f>D56+E56-F56</f>
        <v/>
      </c>
      <c r="H56">
        <f>IF((D56+E56)&gt;0,IF(A56="深港",(SUMIFS('期初批次'!$M$2:$M$41,'期初批次'!$B$2:$B$41,B56,'期初批次'!$I$2:$I$41,A56)+SUMIFS('逐笔辅助'!$J$2:$J$191,'逐笔辅助'!$A$2:$A$191,"流水",'逐笔辅助'!$D$2:$D$191,A56,'逐笔辅助'!$G$2:$G$191,"买入",'逐笔辅助'!$E$2:$E$191,B56))/(D56+E56),(SUMIFS('期初批次'!$E$2:$E$41,'期初批次'!$B$2:$B$41,B56,'期初批次'!$I$2:$I$41,A56)+SUMIFS('逐笔辅助'!$N$2:$N$191,'逐笔辅助'!$A$2:$A$191,"流水",'逐笔辅助'!$D$2:$D$191,A56,'逐笔辅助'!$E$2:$E$191,B56))/(D56+E56)),"")</f>
        <v/>
      </c>
      <c r="I56">
        <f>IF((D56+E56)&gt;0,(SUMIFS('期初批次'!$E$2:$E$41,'期初批次'!$B$2:$B$41,B56,'期初批次'!$I$2:$I$41,A56)+SUMIFS('逐笔辅助'!$N$2:$N$191,'逐笔辅助'!$A$2:$A$191,"流水",'逐笔辅助'!$D$2:$D$191,A56,'逐笔辅助'!$E$2:$E$191,B56))/(D56+E56),"")</f>
        <v/>
      </c>
      <c r="J56">
        <f>IFERROR(INDEX('期初批次'!$J$2:$J$41,MATCH(TRUE,('期初批次'!$B$2:$B$41=B56)*('期初批次'!$I$2:$I$41=A56),0)),IF(A56="深港",TEXT(--B56,"0000")&amp;".HK",IF(--B56&gt;=600000,TEXT(--B56,"000000")&amp;".SH",TEXT(--B56,"000000")&amp;".SZ")))</f>
        <v/>
      </c>
      <c r="K56">
        <f>IF(J56="","",IFERROR(INDEX('估值日行情'!$C$3:$C$61,MATCH(J56,'估值日行情'!$A$3:$A$61,0)),""))</f>
        <v/>
      </c>
      <c r="L56">
        <f>IF(A56="深港",IFERROR('FX_RATES_TO_CNY_HIST'!$B$3,""),1)</f>
        <v/>
      </c>
      <c r="M56">
        <f>IF(K56&lt;&gt;"",K56*L56,"")</f>
        <v/>
      </c>
      <c r="N56">
        <f>IF(G56&gt;0,G56*H56,0)</f>
        <v/>
      </c>
      <c r="O56">
        <f>IF(G56&gt;0,G56*I56,0)</f>
        <v/>
      </c>
      <c r="P56">
        <f>IF(G56&gt;0,G56*K56,0)</f>
        <v/>
      </c>
      <c r="Q56">
        <f>IF(G56&gt;0,G56*M56,0)</f>
        <v/>
      </c>
      <c r="R56">
        <f>IF(G56&gt;0,P56-N56,0)</f>
        <v/>
      </c>
      <c r="S56">
        <f>IF(G56&gt;0,Q56-T56,0)</f>
        <v/>
      </c>
      <c r="T56">
        <f>SUMIFS('期初批次'!$E$2:$E$41,'期初批次'!$B$2:$B$41,B56,'期初批次'!$I$2:$I$41,A56)+SUMIFS('逐笔辅助'!$N$2:$N$191,'逐笔辅助'!$A$2:$A$191,"流水",'逐笔辅助'!$D$2:$D$191,A56,'逐笔辅助'!$E$2:$E$191,B56)-SUMIFS('逐笔辅助'!$P$2:$P$191,'逐笔辅助'!$A$2:$A$191,"流水",'逐笔辅助'!$D$2:$D$191,A56,'逐笔辅助'!$E$2:$E$191,B56)+SUMIFS('逐笔辅助'!$U$2:$U$191,'逐笔辅助'!$A$2:$A$191,"流水",'逐笔辅助'!$D$2:$D$191,A56,'逐笔辅助'!$E$2:$E$191,B56)</f>
        <v/>
      </c>
      <c r="U56">
        <f>E56-F56</f>
        <v/>
      </c>
      <c r="V56">
        <f>IF(E56&gt;0,SUMIFS('逐笔辅助'!$N$2:$N$191,'逐笔辅助'!$A$2:$A$191,"流水",'逐笔辅助'!$D$2:$D$191,A56,'逐笔辅助'!$E$2:$E$191,B56)/E56,"")</f>
        <v/>
      </c>
      <c r="W56">
        <f>IF(AND(U56&gt;0,M56&lt;&gt;""),U56*(M56-V56),0)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" t="inlineStr">
        <is>
          <t>前海考核校验 — 数据边界</t>
        </is>
      </c>
    </row>
    <row r="3">
      <c r="A3" t="inlineStr">
        <is>
          <t>三轨说明</t>
        </is>
      </c>
      <c r="B3" t="inlineStr">
        <is>
          <t>领导考核=FIFO；运营财务=流水加权；第三轨=全账加权(期初+流水)</t>
        </is>
      </c>
    </row>
    <row r="4">
      <c r="A4" t="inlineStr">
        <is>
          <t>允许读取的目录</t>
        </is>
      </c>
      <c r="B4" t="inlineStr">
        <is>
          <t>E:\work\mcp\mathema-git\mcp-valuation-engine\docs\customer\QIANHAI\scripts\input</t>
        </is>
      </c>
    </row>
    <row r="5">
      <c r="A5" t="inlineStr">
        <is>
          <t>交易流水</t>
        </is>
      </c>
      <c r="B5" t="inlineStr">
        <is>
          <t>E:\work\mcp\mathema-git\mcp-valuation-engine\docs\customer\QIANHAI\scripts\input\交易流水.xls</t>
        </is>
      </c>
    </row>
    <row r="6">
      <c r="A6" t="inlineStr">
        <is>
          <t>初始持仓</t>
        </is>
      </c>
      <c r="B6" t="inlineStr">
        <is>
          <t>E:\work\mcp\mathema-git\mcp-valuation-engine\docs\customer\QIANHAI\scripts\input\初始持仓.xls</t>
        </is>
      </c>
    </row>
    <row r="7">
      <c r="A7" t="inlineStr">
        <is>
          <t>初始资金</t>
        </is>
      </c>
      <c r="B7" t="inlineStr">
        <is>
          <t>E:\work\mcp\mathema-git\mcp-valuation-engine\docs\customer\QIANHAI\scripts\input\初始资金.xls</t>
        </is>
      </c>
    </row>
    <row r="8">
      <c r="A8" t="inlineStr">
        <is>
          <t>市场数据目录</t>
        </is>
      </c>
      <c r="B8" t="inlineStr">
        <is>
          <t>E:\work\mcp\mathema-git\mcp-valuation-engine\batches\batch_20260612_081705\market_data\snapshots</t>
        </is>
      </c>
    </row>
    <row r="9">
      <c r="A9" t="inlineStr">
        <is>
          <t>估值日(行情)</t>
        </is>
      </c>
      <c r="B9" t="inlineStr">
        <is>
          <t>2026-06-01</t>
        </is>
      </c>
    </row>
    <row r="10">
      <c r="A10" t="inlineStr">
        <is>
          <t>FX 即期(静态)</t>
        </is>
      </c>
      <c r="B10" t="inlineStr">
        <is>
          <t>E:\work\mcp\mathema-git\mcp-valuation-engine\batches\batch_20260612_081705\market_data\snapshots\FX_RATES_TO_CNY.csv</t>
        </is>
      </c>
    </row>
    <row r="11">
      <c r="A11" t="inlineStr">
        <is>
          <t>FX 历史</t>
        </is>
      </c>
      <c r="B11" t="inlineStr">
        <is>
          <t>E:\work\mcp\mathema-git\mcp-valuation-engine\market_data_qh\snapshots\FX_RATES_TO_CNY_HIST.csv</t>
        </is>
      </c>
    </row>
    <row r="12">
      <c r="A12" t="inlineStr">
        <is>
          <t>期初折算日</t>
        </is>
      </c>
      <c r="B12" t="inlineStr">
        <is>
          <t>2026-01-01</t>
        </is>
      </c>
    </row>
    <row r="13">
      <c r="A13" t="inlineStr">
        <is>
          <t>期初 HKD→CNY</t>
        </is>
      </c>
      <c r="B13" t="inlineStr">
        <is>
          <t>2026-01-01 → 见 FX_RATES_TO_CNY_HIST!B5</t>
        </is>
      </c>
    </row>
    <row r="14">
      <c r="A14" t="inlineStr">
        <is>
          <t>估值日 HKD→CNY</t>
        </is>
      </c>
      <c r="B14" t="inlineStr">
        <is>
          <t>2026-06-01 → 见 FX_RATES_TO_CNY_HIST!B3</t>
        </is>
      </c>
    </row>
    <row r="15">
      <c r="A15" t="inlineStr">
        <is>
          <t>补充行情</t>
        </is>
      </c>
      <c r="B15" t="inlineStr">
        <is>
          <t>E:\work\mcp\mathema-git\mcp-valuation-engine\docs\customer\QIANHAI\EQUITY_SPOT_PRICES_HIST-20260603\EQUITY_SPOT_PRICES_HIST.csv</t>
        </is>
      </c>
    </row>
    <row r="16">
      <c r="A16" t="inlineStr"/>
      <c r="B16" t="inlineStr"/>
    </row>
    <row r="17">
      <c r="A17" t="inlineStr">
        <is>
          <t>运营财务轨</t>
        </is>
      </c>
      <c r="B17" t="inlineStr">
        <is>
          <t>RPNL=逐笔辅助 T(加权·CNY)；MTM=期末持仓 W（流水净持仓×(估值日价−流水买入均价)）</t>
        </is>
      </c>
    </row>
    <row r="18">
      <c r="A18" t="inlineStr">
        <is>
          <t>领导考核轨</t>
        </is>
      </c>
      <c r="B18" t="inlineStr">
        <is>
          <t>RPNL=逐笔辅助 U(CNY)；MTM=期末持仓 S(CNY·全账FIFO)=市值(CNY)−FIFO剩余成本(T·本币透传)</t>
        </is>
      </c>
    </row>
    <row r="19">
      <c r="A19" t="inlineStr">
        <is>
          <t>盯市 Excel 链路(原币→报表币)</t>
        </is>
      </c>
      <c r="B19" t="inlineStr">
        <is>
          <t>逐笔 Y→估值日行情!price(原币)；AE=净持仓×原币市价−原币成本；AF=深港时×AA。期末持仓 R/S 同源。</t>
        </is>
      </c>
    </row>
    <row r="20">
      <c r="A20" t="inlineStr">
        <is>
          <t>估值日行情兜底</t>
        </is>
      </c>
      <c r="B20" t="inlineStr">
        <is>
          <t>主行情+用户补充行情合并后，仍缺失则取初始持仓市价(CNY)÷期初汇率得 HKD；备注列标注来源。</t>
        </is>
      </c>
    </row>
    <row r="21">
      <c r="A21" t="inlineStr">
        <is>
          <t>逐笔辅助币种</t>
        </is>
      </c>
      <c r="B21" t="inlineStr">
        <is>
          <t>深港：I/J=HKD，K/L=CNY；场内：原币=CNY。期初深港成本按期初折算日汇率转 HKD。汇总仅用 AF(CNY)。</t>
        </is>
      </c>
    </row>
    <row r="22">
      <c r="A22" t="inlineStr">
        <is>
          <t>FIFO U 列口径</t>
        </is>
      </c>
      <c r="B22" t="inlineStr">
        <is>
          <t>全账先买先卖：期初 lot（逐笔辅助期初行 L 列）优先消耗，再按日期匹配流水买入。W 列=加权均价算式；X 列=FIFO 拆至各成本批次（含 L 单元格引用）。</t>
        </is>
      </c>
    </row>
    <row r="23">
      <c r="A23" t="inlineStr">
        <is>
          <t>第三轨汇总</t>
        </is>
      </c>
      <c r="B23" t="inlineStr">
        <is>
          <t>Part_II_a_第三轨：RPNL=逐笔辅助 AJ；MTM=期末持仓 Q−O；逐笔列 AG–AL。</t>
        </is>
      </c>
    </row>
    <row r="24">
      <c r="A24" t="inlineStr">
        <is>
          <t>第三轨 AG–AL 列</t>
        </is>
      </c>
      <c r="B24" t="inlineStr">
        <is>
          <t>全账加权均价（期初+流水买入）；AJ=卖出行 RPNL；AK=第三轨减运营轨(T)。独立试算簿见 --trial-output。</t>
        </is>
      </c>
    </row>
    <row r="25">
      <c r="A25" t="inlineStr">
        <is>
          <t>生成脚本</t>
        </is>
      </c>
      <c r="B25" t="inlineStr">
        <is>
          <t>docs/customer/QIANHAI/scripts/gen_qianhai_validation_excel.py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2026-06-12T00:20:02Z</dcterms:created>
  <dcterms:modified xmlns:dcterms="http://purl.org/dc/terms/" xmlns:xsi="http://www.w3.org/2001/XMLSchema-instance" xsi:type="dcterms:W3CDTF">2026-06-12T00:20:03Z</dcterms:modified>
</cp:coreProperties>
</file>